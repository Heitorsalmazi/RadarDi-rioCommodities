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BGIK27" sheetId="35" state="visible" r:id="rId35"/>
    <sheet xmlns:r="http://schemas.openxmlformats.org/officeDocument/2006/relationships" name="CCMH26" sheetId="36" state="hidden" r:id="rId36"/>
    <sheet xmlns:r="http://schemas.openxmlformats.org/officeDocument/2006/relationships" name="CCMK26" sheetId="37" state="hidden" r:id="rId37"/>
    <sheet xmlns:r="http://schemas.openxmlformats.org/officeDocument/2006/relationships" name="CCMN26" sheetId="38" state="visible" r:id="rId38"/>
    <sheet xmlns:r="http://schemas.openxmlformats.org/officeDocument/2006/relationships" name="CCMU26" sheetId="39" state="visible" r:id="rId39"/>
    <sheet xmlns:r="http://schemas.openxmlformats.org/officeDocument/2006/relationships" name="CCMX26" sheetId="40" state="visible" r:id="rId40"/>
    <sheet xmlns:r="http://schemas.openxmlformats.org/officeDocument/2006/relationships" name="CCMF27" sheetId="41" state="visible" r:id="rId41"/>
    <sheet xmlns:r="http://schemas.openxmlformats.org/officeDocument/2006/relationships" name="CCMH27" sheetId="42" state="visible" r:id="rId42"/>
    <sheet xmlns:r="http://schemas.openxmlformats.org/officeDocument/2006/relationships" name="CCMK27" sheetId="43" state="visible" r:id="rId43"/>
    <sheet xmlns:r="http://schemas.openxmlformats.org/officeDocument/2006/relationships" name="CCMN27" sheetId="44" state="visible" r:id="rId44"/>
    <sheet xmlns:r="http://schemas.openxmlformats.org/officeDocument/2006/relationships" name="CCMU27" sheetId="45" state="visible" r:id="rId45"/>
    <sheet xmlns:r="http://schemas.openxmlformats.org/officeDocument/2006/relationships" name="CCMX27" sheetId="46" state="visible" r:id="rId46"/>
    <sheet xmlns:r="http://schemas.openxmlformats.org/officeDocument/2006/relationships" name="SJCH26" sheetId="47" state="hidden" r:id="rId47"/>
    <sheet xmlns:r="http://schemas.openxmlformats.org/officeDocument/2006/relationships" name="SJCK26" sheetId="48" state="hidden" r:id="rId48"/>
    <sheet xmlns:r="http://schemas.openxmlformats.org/officeDocument/2006/relationships" name="SJCN26" sheetId="49" state="visible" r:id="rId49"/>
    <sheet xmlns:r="http://schemas.openxmlformats.org/officeDocument/2006/relationships" name="SJCQ26" sheetId="50" state="visible" r:id="rId50"/>
    <sheet xmlns:r="http://schemas.openxmlformats.org/officeDocument/2006/relationships" name="SJCU26" sheetId="51" state="visible" r:id="rId51"/>
    <sheet xmlns:r="http://schemas.openxmlformats.org/officeDocument/2006/relationships" name="SJCX26" sheetId="52" state="visible" r:id="rId52"/>
    <sheet xmlns:r="http://schemas.openxmlformats.org/officeDocument/2006/relationships" name="SJCF27" sheetId="53" state="visible" r:id="rId53"/>
    <sheet xmlns:r="http://schemas.openxmlformats.org/officeDocument/2006/relationships" name="SJCH27" sheetId="54" state="visible" r:id="rId54"/>
    <sheet xmlns:r="http://schemas.openxmlformats.org/officeDocument/2006/relationships" name="SJCK27" sheetId="55" state="visible" r:id="rId55"/>
    <sheet xmlns:r="http://schemas.openxmlformats.org/officeDocument/2006/relationships" name="SJCN27" sheetId="56" state="visible" r:id="rId56"/>
    <sheet xmlns:r="http://schemas.openxmlformats.org/officeDocument/2006/relationships" name="DOLN26" sheetId="57" state="visible" r:id="rId57"/>
    <sheet xmlns:r="http://schemas.openxmlformats.org/officeDocument/2006/relationships" name="DOLQ26" sheetId="58" state="visible" r:id="rId58"/>
    <sheet xmlns:r="http://schemas.openxmlformats.org/officeDocument/2006/relationships" name="DOLU26" sheetId="59" state="visible" r:id="rId59"/>
    <sheet xmlns:r="http://schemas.openxmlformats.org/officeDocument/2006/relationships" name="DOLV26" sheetId="60" state="visible" r:id="rId60"/>
    <sheet xmlns:r="http://schemas.openxmlformats.org/officeDocument/2006/relationships" name="DOLX26" sheetId="61" state="visible" r:id="rId61"/>
    <sheet xmlns:r="http://schemas.openxmlformats.org/officeDocument/2006/relationships" name="DOLZ26" sheetId="62" state="visible" r:id="rId62"/>
    <sheet xmlns:r="http://schemas.openxmlformats.org/officeDocument/2006/relationships" name="DOLF27" sheetId="63" state="visible" r:id="rId63"/>
    <sheet xmlns:r="http://schemas.openxmlformats.org/officeDocument/2006/relationships" name="DOLG27" sheetId="64" state="visible" r:id="rId64"/>
    <sheet xmlns:r="http://schemas.openxmlformats.org/officeDocument/2006/relationships" name="DOLH27" sheetId="65" state="visible" r:id="rId65"/>
    <sheet xmlns:r="http://schemas.openxmlformats.org/officeDocument/2006/relationships" name="DOLJ27" sheetId="66" state="visible" r:id="rId66"/>
    <sheet xmlns:r="http://schemas.openxmlformats.org/officeDocument/2006/relationships" name="DOLK27" sheetId="67" state="visible" r:id="rId67"/>
    <sheet xmlns:r="http://schemas.openxmlformats.org/officeDocument/2006/relationships" name="DOLM27" sheetId="68" state="visible" r:id="rId68"/>
    <sheet xmlns:r="http://schemas.openxmlformats.org/officeDocument/2006/relationships" name="DOLN27" sheetId="69" state="visible" r:id="rId69"/>
    <sheet xmlns:r="http://schemas.openxmlformats.org/officeDocument/2006/relationships" name="DOLQ27" sheetId="70" state="visible" r:id="rId70"/>
    <sheet xmlns:r="http://schemas.openxmlformats.org/officeDocument/2006/relationships" name="DOLV27" sheetId="71" state="visible" r:id="rId71"/>
    <sheet xmlns:r="http://schemas.openxmlformats.org/officeDocument/2006/relationships" name="DOLF28" sheetId="72" state="visible" r:id="rId72"/>
    <sheet xmlns:r="http://schemas.openxmlformats.org/officeDocument/2006/relationships" name="DOLJ28" sheetId="73" state="visible" r:id="rId73"/>
    <sheet xmlns:r="http://schemas.openxmlformats.org/officeDocument/2006/relationships" name="DOLN28" sheetId="74" state="visible" r:id="rId74"/>
    <sheet xmlns:r="http://schemas.openxmlformats.org/officeDocument/2006/relationships" name="DOLV28" sheetId="75" state="visible" r:id="rId75"/>
    <sheet xmlns:r="http://schemas.openxmlformats.org/officeDocument/2006/relationships" name="DOLF29" sheetId="76" state="visible" r:id="rId76"/>
    <sheet xmlns:r="http://schemas.openxmlformats.org/officeDocument/2006/relationships" name="DOLJ29" sheetId="77" state="visible" r:id="rId77"/>
    <sheet xmlns:r="http://schemas.openxmlformats.org/officeDocument/2006/relationships" name="DOLN29" sheetId="78" state="visible" r:id="rId78"/>
    <sheet xmlns:r="http://schemas.openxmlformats.org/officeDocument/2006/relationships" name="DOLF30" sheetId="79" state="visible" r:id="rId79"/>
    <sheet xmlns:r="http://schemas.openxmlformats.org/officeDocument/2006/relationships" name="DOLN30" sheetId="80" state="visible" r:id="rId80"/>
    <sheet xmlns:r="http://schemas.openxmlformats.org/officeDocument/2006/relationships" name="DOLF31" sheetId="81" state="visible" r:id="rId81"/>
    <sheet xmlns:r="http://schemas.openxmlformats.org/officeDocument/2006/relationships" name="IGP-M Referência" sheetId="82" state="visible" r:id="rId82"/>
    <sheet xmlns:r="http://schemas.openxmlformats.org/officeDocument/2006/relationships" name="REPOSIÇÃO SCOT" sheetId="83" state="visible" r:id="rId83"/>
  </sheets>
  <externalReferences>
    <externalReference xmlns:r="http://schemas.openxmlformats.org/officeDocument/2006/relationships" r:id="rId84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9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  <font>
      <name val="Aptos Narrow"/>
      <family val="2"/>
      <i val="1"/>
      <color rgb="FF888888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0E0"/>
        <bgColor indexed="64"/>
      </patternFill>
    </fill>
    <fill>
      <patternFill patternType="solid">
        <fgColor rgb="FFE0F0FF"/>
        <bgColor indexed="64"/>
      </patternFill>
    </fill>
    <fill>
      <patternFill patternType="solid">
        <fgColor rgb="FF2E7D32"/>
      </patternFill>
    </fill>
    <fill>
      <patternFill patternType="solid">
        <fgColor rgb="FFFFF2CC"/>
        <bgColor indexed="64"/>
      </patternFill>
    </fill>
    <fill>
      <patternFill patternType="solid">
        <fgColor rgb="FFFFFDE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8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2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top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1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2" fontId="0" fillId="0" borderId="0" pivotButton="0" quotePrefix="0" xfId="0"/>
    <xf numFmtId="0" fontId="7" fillId="6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6" fontId="1" fillId="0" borderId="5" applyAlignment="1" pivotButton="0" quotePrefix="0" xfId="0">
      <alignment horizontal="center" vertical="center"/>
    </xf>
    <xf numFmtId="2" fontId="1" fillId="0" borderId="5" applyAlignment="1" pivotButton="0" quotePrefix="0" xfId="0">
      <alignment horizontal="center" vertical="center"/>
    </xf>
    <xf numFmtId="2" fontId="1" fillId="0" borderId="4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4" fontId="1" fillId="0" borderId="3" applyAlignment="1" pivotButton="0" quotePrefix="0" xfId="0">
      <alignment horizontal="center" vertical="center"/>
    </xf>
    <xf numFmtId="49" fontId="1" fillId="0" borderId="3" applyAlignment="1" pivotButton="0" quotePrefix="0" xfId="0">
      <alignment horizontal="center" vertical="center"/>
    </xf>
    <xf numFmtId="164" fontId="0" fillId="0" borderId="3" applyAlignment="1" pivotButton="0" quotePrefix="0" xfId="0">
      <alignment horizontal="center" vertical="center"/>
    </xf>
    <xf numFmtId="49" fontId="1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0" fontId="1" fillId="7" borderId="3" applyAlignment="1" pivotButton="0" quotePrefix="0" xfId="0">
      <alignment horizontal="center" vertical="center"/>
    </xf>
    <xf numFmtId="168" fontId="0" fillId="8" borderId="3" applyAlignment="1" pivotButton="0" quotePrefix="0" xfId="0">
      <alignment horizontal="center" vertical="center"/>
    </xf>
    <xf numFmtId="164" fontId="0" fillId="8" borderId="3" applyAlignment="1" pivotButton="0" quotePrefix="0" xfId="0">
      <alignment horizontal="center" vertical="center"/>
    </xf>
    <xf numFmtId="169" fontId="0" fillId="8" borderId="3" applyAlignment="1" pivotButton="0" quotePrefix="0" xfId="0">
      <alignment horizontal="center" vertical="center"/>
    </xf>
    <xf numFmtId="2" fontId="0" fillId="8" borderId="3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3" applyAlignment="1" pivotButton="0" quotePrefix="0" xfId="0">
      <alignment horizontal="center" vertical="center"/>
    </xf>
    <xf numFmtId="164" fontId="2" fillId="0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2" fontId="2" fillId="0" borderId="3" applyAlignment="1" pivotButton="0" quotePrefix="0" xfId="0">
      <alignment horizontal="center" vertical="center"/>
    </xf>
    <xf numFmtId="169" fontId="2" fillId="8" borderId="3" applyAlignment="1" pivotButton="0" quotePrefix="0" xfId="0">
      <alignment horizontal="center" vertical="center"/>
    </xf>
    <xf numFmtId="2" fontId="2" fillId="8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/>
    </xf>
    <xf numFmtId="2" fontId="2" fillId="0" borderId="5" applyAlignment="1" pivotButton="0" quotePrefix="0" xfId="0">
      <alignment horizontal="center" vertical="center"/>
    </xf>
    <xf numFmtId="2" fontId="0" fillId="0" borderId="5" applyAlignment="1" pivotButton="0" quotePrefix="0" xfId="0">
      <alignment horizontal="center" vertical="center"/>
    </xf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externalLink" Target="/xl/externalLinks/externalLink1.xml" Id="rId84"/><Relationship Type="http://schemas.openxmlformats.org/officeDocument/2006/relationships/styles" Target="styles.xml" Id="rId85"/><Relationship Type="http://schemas.openxmlformats.org/officeDocument/2006/relationships/theme" Target="theme/theme1.xml" Id="rId86"/></Relationships>
</file>

<file path=xl/comments/comment1.xml><?xml version="1.0" encoding="utf-8"?>
<comments xmlns="http://schemas.openxmlformats.org/spreadsheetml/2006/main">
  <authors>
    <author>User</author>
  </authors>
  <commentList>
    <comment ref="B1" authorId="0" shapeId="0">
      <text>
        <t>User:
Valores corrigidos pelo IGP-M (FGV) com base em dezembro de 2025.
Fórmula: Preço corrigido = Preço nominal × (Índice IGP-M dez/25 / Índice IGP-M do mês)
Fonte: dadosdemercado.com.br (dados FGV)
Corrigido em: jun/2026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tabSelected="1" topLeftCell="A41" workbookViewId="0">
      <selection activeCell="H56" sqref="H56"/>
    </sheetView>
  </sheetViews>
  <sheetFormatPr baseColWidth="8" defaultRowHeight="15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7" min="5" max="5"/>
    <col width="17" bestFit="1" customWidth="1" style="18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1">
      <c r="A1" s="7" t="inlineStr">
        <is>
          <t>Data</t>
        </is>
      </c>
      <c r="B1" s="7" t="inlineStr">
        <is>
          <t>Média Boi Corrigida</t>
        </is>
      </c>
      <c r="C1" s="3" t="inlineStr">
        <is>
          <t>Média - Bezerro</t>
        </is>
      </c>
      <c r="D1" t="inlineStr">
        <is>
          <t>Fechamento</t>
        </is>
      </c>
      <c r="E1" s="17" t="inlineStr">
        <is>
          <t>Abates de Machos</t>
        </is>
      </c>
      <c r="F1" s="18" t="inlineStr">
        <is>
          <t>Abates de Femeas</t>
        </is>
      </c>
      <c r="G1" t="inlineStr">
        <is>
          <t>Abate total</t>
        </is>
      </c>
      <c r="H1" t="inlineStr">
        <is>
          <t>% Macho</t>
        </is>
      </c>
      <c r="I1" t="inlineStr">
        <is>
          <t>% Femea</t>
        </is>
      </c>
      <c r="J1" s="19" t="inlineStr">
        <is>
          <t>Média Histórica</t>
        </is>
      </c>
      <c r="K1" t="inlineStr">
        <is>
          <t>% Fêmeas + 12 meses</t>
        </is>
      </c>
      <c r="L1" t="inlineStr">
        <is>
          <t>=</t>
        </is>
      </c>
    </row>
    <row r="2">
      <c r="A2" s="20" t="n">
        <v>44562</v>
      </c>
      <c r="B2" s="8">
        <f>'[1]Cepea Mensal'!B296</f>
        <v/>
      </c>
      <c r="E2" s="17" t="n">
        <v>250230</v>
      </c>
      <c r="F2" s="18" t="n">
        <v>180298</v>
      </c>
      <c r="G2" s="21">
        <f>E2+F2</f>
        <v/>
      </c>
      <c r="H2" s="19">
        <f>E2/$G2</f>
        <v/>
      </c>
      <c r="I2" s="19">
        <f>F2/$G2</f>
        <v/>
      </c>
      <c r="J2" s="19" t="n">
        <v>0.4</v>
      </c>
    </row>
    <row r="3">
      <c r="A3" s="20" t="n">
        <v>44593</v>
      </c>
      <c r="B3" s="8">
        <f>'[1]Cepea Mensal'!B297</f>
        <v/>
      </c>
      <c r="E3" s="17" t="n">
        <v>183618</v>
      </c>
      <c r="F3" s="18" t="n">
        <v>164702</v>
      </c>
      <c r="G3" s="21">
        <f>E3+F3</f>
        <v/>
      </c>
      <c r="H3" s="19">
        <f>E3/$G3</f>
        <v/>
      </c>
      <c r="I3" s="19">
        <f>F3/$G3</f>
        <v/>
      </c>
      <c r="J3" s="19" t="n">
        <v>0.4</v>
      </c>
    </row>
    <row r="4">
      <c r="A4" s="20" t="n">
        <v>44621</v>
      </c>
      <c r="B4" s="8">
        <f>'[1]Cepea Mensal'!B298</f>
        <v/>
      </c>
      <c r="E4" s="17" t="n">
        <v>178361</v>
      </c>
      <c r="F4" s="18" t="n">
        <v>179156</v>
      </c>
      <c r="G4" s="21">
        <f>E4+F4</f>
        <v/>
      </c>
      <c r="H4" s="19">
        <f>E4/$G4</f>
        <v/>
      </c>
      <c r="I4" s="19">
        <f>F4/$G4</f>
        <v/>
      </c>
      <c r="J4" s="19" t="n">
        <v>0.4</v>
      </c>
    </row>
    <row r="5">
      <c r="A5" s="20" t="n">
        <v>44652</v>
      </c>
      <c r="B5" s="8">
        <f>'[1]Cepea Mensal'!B299</f>
        <v/>
      </c>
      <c r="E5" s="17" t="n">
        <v>179876</v>
      </c>
      <c r="F5" s="18" t="n">
        <v>150966</v>
      </c>
      <c r="G5" s="21">
        <f>E5+F5</f>
        <v/>
      </c>
      <c r="H5" s="19">
        <f>E5/$G5</f>
        <v/>
      </c>
      <c r="I5" s="19">
        <f>F5/$G5</f>
        <v/>
      </c>
      <c r="J5" s="19" t="n">
        <v>0.4</v>
      </c>
    </row>
    <row r="6">
      <c r="A6" s="20" t="n">
        <v>44682</v>
      </c>
      <c r="B6" s="8">
        <f>'[1]Cepea Mensal'!B300</f>
        <v/>
      </c>
      <c r="E6" s="17" t="n">
        <v>232298</v>
      </c>
      <c r="F6" s="18" t="n">
        <v>193704</v>
      </c>
      <c r="G6" s="21">
        <f>E6+F6</f>
        <v/>
      </c>
      <c r="H6" s="19">
        <f>E6/$G6</f>
        <v/>
      </c>
      <c r="I6" s="19">
        <f>F6/$G6</f>
        <v/>
      </c>
      <c r="J6" s="19" t="n">
        <v>0.4</v>
      </c>
    </row>
    <row r="7">
      <c r="A7" s="20" t="n">
        <v>44713</v>
      </c>
      <c r="B7" s="8">
        <f>'[1]Cepea Mensal'!B301</f>
        <v/>
      </c>
      <c r="E7" s="17" t="n">
        <v>248562</v>
      </c>
      <c r="F7" s="18" t="n">
        <v>196949</v>
      </c>
      <c r="G7" s="21">
        <f>E7+F7</f>
        <v/>
      </c>
      <c r="H7" s="19">
        <f>E7/$G7</f>
        <v/>
      </c>
      <c r="I7" s="19">
        <f>F7/$G7</f>
        <v/>
      </c>
      <c r="J7" s="19" t="n">
        <v>0.4</v>
      </c>
    </row>
    <row r="8">
      <c r="A8" s="20" t="n">
        <v>44743</v>
      </c>
      <c r="B8" s="8">
        <f>'[1]Cepea Mensal'!B302</f>
        <v/>
      </c>
      <c r="E8" s="17" t="n">
        <v>275019</v>
      </c>
      <c r="F8" s="18" t="n">
        <v>187150</v>
      </c>
      <c r="G8" s="21">
        <f>E8+F8</f>
        <v/>
      </c>
      <c r="H8" s="19">
        <f>E8/$G8</f>
        <v/>
      </c>
      <c r="I8" s="19">
        <f>F8/$G8</f>
        <v/>
      </c>
      <c r="J8" s="19" t="n">
        <v>0.4</v>
      </c>
    </row>
    <row r="9">
      <c r="A9" s="20" t="n">
        <v>44774</v>
      </c>
      <c r="B9" s="8">
        <f>'[1]Cepea Mensal'!B303</f>
        <v/>
      </c>
      <c r="E9" s="17" t="n">
        <v>290741</v>
      </c>
      <c r="F9" s="18" t="n">
        <v>170800</v>
      </c>
      <c r="G9" s="21">
        <f>E9+F9</f>
        <v/>
      </c>
      <c r="H9" s="19">
        <f>E9/$G9</f>
        <v/>
      </c>
      <c r="I9" s="19">
        <f>F9/$G9</f>
        <v/>
      </c>
      <c r="J9" s="19" t="n">
        <v>0.4</v>
      </c>
    </row>
    <row r="10">
      <c r="A10" s="20" t="n">
        <v>44805</v>
      </c>
      <c r="B10" s="8">
        <f>'[1]Cepea Mensal'!B304</f>
        <v/>
      </c>
      <c r="E10" s="17" t="n">
        <v>313834</v>
      </c>
      <c r="F10" s="18" t="n">
        <v>139174</v>
      </c>
      <c r="G10" s="21">
        <f>E10+F10</f>
        <v/>
      </c>
      <c r="H10" s="19">
        <f>E10/$G10</f>
        <v/>
      </c>
      <c r="I10" s="19">
        <f>F10/$G10</f>
        <v/>
      </c>
      <c r="J10" s="19" t="n">
        <v>0.4</v>
      </c>
    </row>
    <row r="11">
      <c r="A11" s="20" t="n">
        <v>44835</v>
      </c>
      <c r="B11" s="8">
        <f>'[1]Cepea Mensal'!B305</f>
        <v/>
      </c>
      <c r="E11" s="17" t="n">
        <v>276429</v>
      </c>
      <c r="F11" s="18" t="n">
        <v>123879</v>
      </c>
      <c r="G11" s="21">
        <f>E11+F11</f>
        <v/>
      </c>
      <c r="H11" s="19">
        <f>E11/$G11</f>
        <v/>
      </c>
      <c r="I11" s="19">
        <f>F11/$G11</f>
        <v/>
      </c>
      <c r="J11" s="19" t="n">
        <v>0.4</v>
      </c>
    </row>
    <row r="12">
      <c r="A12" s="20" t="n">
        <v>44866</v>
      </c>
      <c r="B12" s="8">
        <f>'[1]Cepea Mensal'!B306</f>
        <v/>
      </c>
      <c r="E12" s="17" t="n">
        <v>291794</v>
      </c>
      <c r="F12" s="18" t="n">
        <v>143733</v>
      </c>
      <c r="G12" s="21">
        <f>E12+F12</f>
        <v/>
      </c>
      <c r="H12" s="19">
        <f>E12/$G12</f>
        <v/>
      </c>
      <c r="I12" s="19">
        <f>F12/$G12</f>
        <v/>
      </c>
      <c r="J12" s="19" t="n">
        <v>0.4</v>
      </c>
    </row>
    <row r="13">
      <c r="A13" s="20" t="n">
        <v>44896</v>
      </c>
      <c r="B13" s="8">
        <f>'[1]Cepea Mensal'!B307</f>
        <v/>
      </c>
      <c r="E13" s="17" t="n">
        <v>271623</v>
      </c>
      <c r="F13" s="18" t="n">
        <v>166625</v>
      </c>
      <c r="G13" s="21">
        <f>E13+F13</f>
        <v/>
      </c>
      <c r="H13" s="19">
        <f>E13/$G13</f>
        <v/>
      </c>
      <c r="I13" s="19">
        <f>F13/$G13</f>
        <v/>
      </c>
      <c r="J13" s="19" t="n">
        <v>0.4</v>
      </c>
    </row>
    <row r="14">
      <c r="A14" s="20" t="n">
        <v>44927</v>
      </c>
      <c r="B14" s="8">
        <f>'[1]Cepea Mensal'!B308</f>
        <v/>
      </c>
      <c r="C14" s="3" t="n">
        <v>2395.324090909091</v>
      </c>
      <c r="E14" s="18" t="n">
        <v>279332</v>
      </c>
      <c r="F14" s="18" t="n">
        <v>194910</v>
      </c>
      <c r="G14" s="21">
        <f>E14+F14</f>
        <v/>
      </c>
      <c r="H14" s="19">
        <f>E14/$G14</f>
        <v/>
      </c>
      <c r="I14" s="19">
        <f>F14/$G14</f>
        <v/>
      </c>
      <c r="J14" s="19" t="n">
        <v>0.4</v>
      </c>
      <c r="K14" s="22">
        <f>I2</f>
        <v/>
      </c>
    </row>
    <row r="15">
      <c r="A15" s="20" t="n">
        <v>44958</v>
      </c>
      <c r="B15" s="8">
        <f>'[1]Cepea Mensal'!B309</f>
        <v/>
      </c>
      <c r="C15" s="3" t="n">
        <v>2377.47</v>
      </c>
      <c r="E15" s="18" t="n">
        <v>197336</v>
      </c>
      <c r="F15" s="18" t="n">
        <v>207772</v>
      </c>
      <c r="G15" s="21">
        <f>E15+F15</f>
        <v/>
      </c>
      <c r="H15" s="19">
        <f>E15/$G15</f>
        <v/>
      </c>
      <c r="I15" s="19">
        <f>F15/$G15</f>
        <v/>
      </c>
      <c r="J15" s="19" t="n">
        <v>0.4</v>
      </c>
      <c r="K15" s="22">
        <f>I3</f>
        <v/>
      </c>
    </row>
    <row r="16">
      <c r="A16" s="20" t="n">
        <v>44986</v>
      </c>
      <c r="B16" s="8">
        <f>'[1]Cepea Mensal'!B310</f>
        <v/>
      </c>
      <c r="C16" s="3" t="n">
        <v>2372.334782608696</v>
      </c>
      <c r="E16" s="18" t="n">
        <v>217210</v>
      </c>
      <c r="F16" s="18" t="n">
        <v>255275</v>
      </c>
      <c r="G16" s="21">
        <f>E16+F16</f>
        <v/>
      </c>
      <c r="H16" s="19">
        <f>E16/$G16</f>
        <v/>
      </c>
      <c r="I16" s="19">
        <f>F16/$G16</f>
        <v/>
      </c>
      <c r="J16" s="19" t="n">
        <v>0.4</v>
      </c>
      <c r="K16" s="22">
        <f>I4</f>
        <v/>
      </c>
    </row>
    <row r="17">
      <c r="A17" s="20" t="n">
        <v>45017</v>
      </c>
      <c r="B17" s="8">
        <f>'[1]Cepea Mensal'!B311</f>
        <v/>
      </c>
      <c r="C17" s="3" t="n">
        <v>2429.538333333333</v>
      </c>
      <c r="E17" s="18" t="n">
        <v>221359</v>
      </c>
      <c r="F17" s="18" t="n">
        <v>228207</v>
      </c>
      <c r="G17" s="21">
        <f>E17+F17</f>
        <v/>
      </c>
      <c r="H17" s="19">
        <f>E17/$G17</f>
        <v/>
      </c>
      <c r="I17" s="19">
        <f>F17/$G17</f>
        <v/>
      </c>
      <c r="J17" s="19" t="n">
        <v>0.4</v>
      </c>
      <c r="K17" s="22">
        <f>I5</f>
        <v/>
      </c>
    </row>
    <row r="18">
      <c r="A18" s="20" t="n">
        <v>45047</v>
      </c>
      <c r="B18" s="8">
        <f>'[1]Cepea Mensal'!B312</f>
        <v/>
      </c>
      <c r="C18" s="3" t="n">
        <v>2280.334090909091</v>
      </c>
      <c r="E18" s="18" t="n">
        <v>261595</v>
      </c>
      <c r="F18" s="18" t="n">
        <v>290617</v>
      </c>
      <c r="G18" s="21">
        <f>E18+F18</f>
        <v/>
      </c>
      <c r="H18" s="19">
        <f>E18/$G18</f>
        <v/>
      </c>
      <c r="I18" s="19">
        <f>F18/$G18</f>
        <v/>
      </c>
      <c r="J18" s="19" t="n">
        <v>0.4</v>
      </c>
      <c r="K18" s="22">
        <f>I6</f>
        <v/>
      </c>
    </row>
    <row r="19">
      <c r="A19" s="20" t="n">
        <v>45078</v>
      </c>
      <c r="B19" s="8">
        <f>'[1]Cepea Mensal'!B313</f>
        <v/>
      </c>
      <c r="C19" s="3" t="n">
        <v>2186.696666666666</v>
      </c>
      <c r="E19" s="18" t="n">
        <v>252112</v>
      </c>
      <c r="F19" s="18" t="n">
        <v>267688</v>
      </c>
      <c r="G19" s="21">
        <f>E19+F19</f>
        <v/>
      </c>
      <c r="H19" s="19">
        <f>E19/$G19</f>
        <v/>
      </c>
      <c r="I19" s="19">
        <f>F19/$G19</f>
        <v/>
      </c>
      <c r="J19" s="19" t="n">
        <v>0.4</v>
      </c>
      <c r="K19" s="22">
        <f>I7</f>
        <v/>
      </c>
    </row>
    <row r="20">
      <c r="A20" s="20" t="n">
        <v>45108</v>
      </c>
      <c r="B20" s="8">
        <f>'[1]Cepea Mensal'!B314</f>
        <v/>
      </c>
      <c r="C20" s="3" t="n">
        <v>2176.604285714286</v>
      </c>
      <c r="E20" s="18" t="n">
        <v>280943</v>
      </c>
      <c r="F20" s="18" t="n">
        <v>245647</v>
      </c>
      <c r="G20" s="21">
        <f>E20+F20</f>
        <v/>
      </c>
      <c r="H20" s="19">
        <f>E20/$G20</f>
        <v/>
      </c>
      <c r="I20" s="19">
        <f>F20/$G20</f>
        <v/>
      </c>
      <c r="J20" s="19" t="n">
        <v>0.4</v>
      </c>
      <c r="K20" s="22">
        <f>I8</f>
        <v/>
      </c>
    </row>
    <row r="21">
      <c r="A21" s="20" t="n">
        <v>45139</v>
      </c>
      <c r="B21" s="8">
        <f>'[1]Cepea Mensal'!B315</f>
        <v/>
      </c>
      <c r="C21" s="3" t="n">
        <v>2070.354782608695</v>
      </c>
      <c r="E21" s="18" t="n">
        <v>342069</v>
      </c>
      <c r="F21" s="18" t="n">
        <v>239442</v>
      </c>
      <c r="G21" s="21">
        <f>E21+F21</f>
        <v/>
      </c>
      <c r="H21" s="19">
        <f>E21/$G21</f>
        <v/>
      </c>
      <c r="I21" s="19">
        <f>F21/$G21</f>
        <v/>
      </c>
      <c r="J21" s="19" t="n">
        <v>0.4</v>
      </c>
      <c r="K21" s="22">
        <f>I9</f>
        <v/>
      </c>
    </row>
    <row r="22">
      <c r="A22" s="20" t="n">
        <v>45170</v>
      </c>
      <c r="B22" s="8">
        <f>'[1]Cepea Mensal'!B316</f>
        <v/>
      </c>
      <c r="C22" s="3" t="n">
        <v>2005.3475</v>
      </c>
      <c r="E22" s="18" t="n">
        <v>346752</v>
      </c>
      <c r="F22" s="18" t="n">
        <v>210619</v>
      </c>
      <c r="G22" s="21">
        <f>E22+F22</f>
        <v/>
      </c>
      <c r="H22" s="19">
        <f>E22/$G22</f>
        <v/>
      </c>
      <c r="I22" s="19">
        <f>F22/$G22</f>
        <v/>
      </c>
      <c r="J22" s="19" t="n">
        <v>0.4</v>
      </c>
      <c r="K22" s="22">
        <f>I10</f>
        <v/>
      </c>
    </row>
    <row r="23">
      <c r="A23" s="20" t="n">
        <v>45200</v>
      </c>
      <c r="B23" s="8">
        <f>'[1]Cepea Mensal'!B317</f>
        <v/>
      </c>
      <c r="C23" s="3" t="n">
        <v>2058.338095238095</v>
      </c>
      <c r="E23" s="18" t="n">
        <v>343212</v>
      </c>
      <c r="F23" s="18" t="n">
        <v>209644</v>
      </c>
      <c r="G23" s="21">
        <f>E23+F23</f>
        <v/>
      </c>
      <c r="H23" s="19">
        <f>E23/$G23</f>
        <v/>
      </c>
      <c r="I23" s="19">
        <f>F23/$G23</f>
        <v/>
      </c>
      <c r="J23" s="19" t="n">
        <v>0.4</v>
      </c>
      <c r="K23" s="22">
        <f>I11</f>
        <v/>
      </c>
    </row>
    <row r="24">
      <c r="A24" s="20" t="n">
        <v>45231</v>
      </c>
      <c r="B24" s="8">
        <f>'[1]Cepea Mensal'!B318</f>
        <v/>
      </c>
      <c r="C24" s="3" t="n">
        <v>2059.0095</v>
      </c>
      <c r="E24" s="18" t="n">
        <v>329816</v>
      </c>
      <c r="F24" s="18" t="n">
        <v>226974</v>
      </c>
      <c r="G24" s="21">
        <f>E24+F24</f>
        <v/>
      </c>
      <c r="H24" s="19">
        <f>E24/$G24</f>
        <v/>
      </c>
      <c r="I24" s="19">
        <f>F24/$G24</f>
        <v/>
      </c>
      <c r="J24" s="19" t="n">
        <v>0.4</v>
      </c>
      <c r="K24" s="22">
        <f>I12</f>
        <v/>
      </c>
    </row>
    <row r="25">
      <c r="A25" s="20" t="n">
        <v>45261</v>
      </c>
      <c r="B25" s="8">
        <f>'[1]Cepea Mensal'!B319</f>
        <v/>
      </c>
      <c r="C25" s="3" t="n">
        <v>2109.326315789474</v>
      </c>
      <c r="E25" s="18" t="n">
        <v>285793</v>
      </c>
      <c r="F25" s="18" t="n">
        <v>229377</v>
      </c>
      <c r="G25" s="21">
        <f>E25+F25</f>
        <v/>
      </c>
      <c r="H25" s="19">
        <f>E25/$G25</f>
        <v/>
      </c>
      <c r="I25" s="19">
        <f>F25/$G25</f>
        <v/>
      </c>
      <c r="J25" s="19" t="n">
        <v>0.4</v>
      </c>
      <c r="K25" s="22">
        <f>I13</f>
        <v/>
      </c>
    </row>
    <row r="26">
      <c r="A26" s="20" t="n">
        <v>45292</v>
      </c>
      <c r="B26" s="8">
        <f>'[1]Cepea Mensal'!B320</f>
        <v/>
      </c>
      <c r="C26" s="3" t="n">
        <v>2085.746818181819</v>
      </c>
      <c r="E26" s="18" t="n">
        <v>306660</v>
      </c>
      <c r="F26" s="18" t="n">
        <v>308478</v>
      </c>
      <c r="G26" s="21">
        <f>E26+F26</f>
        <v/>
      </c>
      <c r="H26" s="19">
        <f>E26/$G26</f>
        <v/>
      </c>
      <c r="I26" s="19">
        <f>F26/$G26</f>
        <v/>
      </c>
      <c r="J26" s="19" t="n">
        <v>0.4</v>
      </c>
      <c r="K26" s="22">
        <f>I14</f>
        <v/>
      </c>
    </row>
    <row r="27">
      <c r="A27" s="20" t="n">
        <v>45323</v>
      </c>
      <c r="B27" s="8">
        <f>'[1]Cepea Mensal'!B321</f>
        <v/>
      </c>
      <c r="C27" s="3" t="n">
        <v>2053.885263157895</v>
      </c>
      <c r="E27" s="18" t="n">
        <v>254525</v>
      </c>
      <c r="F27" s="18" t="n">
        <v>324998</v>
      </c>
      <c r="G27" s="21">
        <f>E27+F27</f>
        <v/>
      </c>
      <c r="H27" s="19">
        <f>E27/$G27</f>
        <v/>
      </c>
      <c r="I27" s="19">
        <f>F27/$G27</f>
        <v/>
      </c>
      <c r="J27" s="19" t="n">
        <v>0.4</v>
      </c>
      <c r="K27" s="22">
        <f>I15</f>
        <v/>
      </c>
    </row>
    <row r="28">
      <c r="A28" s="20" t="n">
        <v>45352</v>
      </c>
      <c r="B28" s="8">
        <f>'[1]Cepea Mensal'!B322</f>
        <v/>
      </c>
      <c r="C28" s="3" t="n">
        <v>2058.8905</v>
      </c>
      <c r="E28" s="18" t="n">
        <v>256928</v>
      </c>
      <c r="F28" s="18" t="n">
        <v>317676</v>
      </c>
      <c r="G28" s="21">
        <f>E28+F28</f>
        <v/>
      </c>
      <c r="H28" s="19">
        <f>E28/$G28</f>
        <v/>
      </c>
      <c r="I28" s="19">
        <f>F28/$G28</f>
        <v/>
      </c>
      <c r="J28" s="19" t="n">
        <v>0.4</v>
      </c>
      <c r="K28" s="22">
        <f>I16</f>
        <v/>
      </c>
    </row>
    <row r="29">
      <c r="A29" s="20" t="n">
        <v>45383</v>
      </c>
      <c r="B29" s="8">
        <f>'[1]Cepea Mensal'!B323</f>
        <v/>
      </c>
      <c r="C29" s="3" t="n">
        <v>2086.955</v>
      </c>
      <c r="E29" s="18" t="n">
        <v>275847</v>
      </c>
      <c r="F29" s="18" t="n">
        <v>343834</v>
      </c>
      <c r="G29" s="21">
        <f>E29+F29</f>
        <v/>
      </c>
      <c r="H29" s="19">
        <f>E29/$G29</f>
        <v/>
      </c>
      <c r="I29" s="19">
        <f>F29/$G29</f>
        <v/>
      </c>
      <c r="J29" s="19" t="n">
        <v>0.4</v>
      </c>
      <c r="K29" s="22">
        <f>I17</f>
        <v/>
      </c>
    </row>
    <row r="30">
      <c r="A30" s="20" t="n">
        <v>45413</v>
      </c>
      <c r="B30" s="8">
        <f>'[1]Cepea Mensal'!B324</f>
        <v/>
      </c>
      <c r="C30" s="3" t="n">
        <v>2091.288571428572</v>
      </c>
      <c r="E30" s="18" t="n">
        <v>304395</v>
      </c>
      <c r="F30" s="18" t="n">
        <v>323099</v>
      </c>
      <c r="G30" s="21">
        <f>E30+F30</f>
        <v/>
      </c>
      <c r="H30" s="19">
        <f>E30/$G30</f>
        <v/>
      </c>
      <c r="I30" s="19">
        <f>F30/$G30</f>
        <v/>
      </c>
      <c r="J30" s="19" t="n">
        <v>0.4</v>
      </c>
      <c r="K30" s="22">
        <f>I18</f>
        <v/>
      </c>
    </row>
    <row r="31">
      <c r="A31" s="20" t="n">
        <v>45444</v>
      </c>
      <c r="B31" s="8">
        <f>'[1]Cepea Mensal'!B325</f>
        <v/>
      </c>
      <c r="C31" s="3" t="n">
        <v>2063.0195</v>
      </c>
      <c r="E31" s="18" t="n">
        <v>302085</v>
      </c>
      <c r="F31" s="18" t="n">
        <v>298663</v>
      </c>
      <c r="G31" s="21">
        <f>E31+F31</f>
        <v/>
      </c>
      <c r="H31" s="19">
        <f>E31/$G31</f>
        <v/>
      </c>
      <c r="I31" s="19">
        <f>F31/$G31</f>
        <v/>
      </c>
      <c r="J31" s="19" t="n">
        <v>0.4</v>
      </c>
      <c r="K31" s="22">
        <f>I19</f>
        <v/>
      </c>
    </row>
    <row r="32">
      <c r="A32" s="20" t="n">
        <v>45474</v>
      </c>
      <c r="B32" s="8">
        <f>'[1]Cepea Mensal'!B326</f>
        <v/>
      </c>
      <c r="C32" s="3" t="n">
        <v>2020.665217391304</v>
      </c>
      <c r="E32" s="18" t="n">
        <v>360962</v>
      </c>
      <c r="F32" s="18" t="n">
        <v>328204</v>
      </c>
      <c r="G32" s="21">
        <f>E32+F32</f>
        <v/>
      </c>
      <c r="H32" s="19">
        <f>E32/$G32</f>
        <v/>
      </c>
      <c r="I32" s="19">
        <f>F32/$G32</f>
        <v/>
      </c>
      <c r="J32" s="19" t="n">
        <v>0.4</v>
      </c>
      <c r="K32" s="22">
        <f>I20</f>
        <v/>
      </c>
    </row>
    <row r="33">
      <c r="A33" s="20" t="n">
        <v>45505</v>
      </c>
      <c r="B33" s="8">
        <f>'[1]Cepea Mensal'!B327</f>
        <v/>
      </c>
      <c r="C33" s="3" t="n">
        <v>2063.221818181818</v>
      </c>
      <c r="E33" s="18" t="n">
        <v>384283</v>
      </c>
      <c r="F33" s="18" t="n">
        <v>282699</v>
      </c>
      <c r="G33" s="21">
        <f>E33+F33</f>
        <v/>
      </c>
      <c r="H33" s="19">
        <f>E33/$G33</f>
        <v/>
      </c>
      <c r="I33" s="19">
        <f>F33/$G33</f>
        <v/>
      </c>
      <c r="J33" s="19" t="n">
        <v>0.4</v>
      </c>
      <c r="K33" s="22">
        <f>I21</f>
        <v/>
      </c>
    </row>
    <row r="34">
      <c r="A34" s="20" t="n">
        <v>45536</v>
      </c>
      <c r="B34" s="8">
        <f>'[1]Cepea Mensal'!B328</f>
        <v/>
      </c>
      <c r="C34" s="3" t="n">
        <v>2096.122380952381</v>
      </c>
      <c r="E34" s="18" t="n">
        <v>406246</v>
      </c>
      <c r="F34" s="18" t="n">
        <v>240801</v>
      </c>
      <c r="G34" s="21">
        <f>E34+F34</f>
        <v/>
      </c>
      <c r="H34" s="19">
        <f>E34/$G34</f>
        <v/>
      </c>
      <c r="I34" s="19">
        <f>F34/$G34</f>
        <v/>
      </c>
      <c r="J34" s="19" t="n">
        <v>0.4</v>
      </c>
      <c r="K34" s="22">
        <f>I22</f>
        <v/>
      </c>
    </row>
    <row r="35">
      <c r="A35" s="20" t="n">
        <v>45566</v>
      </c>
      <c r="B35" s="8">
        <f>'[1]Cepea Mensal'!B329</f>
        <v/>
      </c>
      <c r="C35" s="3" t="n">
        <v>2205.462173913043</v>
      </c>
      <c r="E35" s="18" t="n">
        <v>402814</v>
      </c>
      <c r="F35" s="18" t="n">
        <v>224375</v>
      </c>
      <c r="G35" s="21">
        <f>E35+F35</f>
        <v/>
      </c>
      <c r="H35" s="19">
        <f>E35/$G35</f>
        <v/>
      </c>
      <c r="I35" s="19">
        <f>F35/$G35</f>
        <v/>
      </c>
      <c r="J35" s="19" t="n">
        <v>0.4</v>
      </c>
      <c r="K35" s="22">
        <f>I23</f>
        <v/>
      </c>
    </row>
    <row r="36">
      <c r="A36" s="20" t="n">
        <v>45597</v>
      </c>
      <c r="B36" s="8">
        <f>'[1]Cepea Mensal'!B330</f>
        <v/>
      </c>
      <c r="C36" s="3" t="n">
        <v>2575.596315789473</v>
      </c>
      <c r="E36" s="18" t="n">
        <v>351910</v>
      </c>
      <c r="F36" s="18" t="n">
        <v>237024</v>
      </c>
      <c r="G36" s="21">
        <f>E36+F36</f>
        <v/>
      </c>
      <c r="H36" s="19">
        <f>E36/$G36</f>
        <v/>
      </c>
      <c r="I36" s="19">
        <f>F36/$G36</f>
        <v/>
      </c>
      <c r="J36" s="19" t="n">
        <v>0.4</v>
      </c>
      <c r="K36" s="22">
        <f>I24</f>
        <v/>
      </c>
    </row>
    <row r="37">
      <c r="A37" s="20" t="n">
        <v>45627</v>
      </c>
      <c r="B37" s="8">
        <f>'[1]Cepea Mensal'!B331</f>
        <v/>
      </c>
      <c r="C37" s="3" t="n">
        <v>2672.611578947368</v>
      </c>
      <c r="E37" s="18" t="n">
        <v>281650</v>
      </c>
      <c r="F37" s="18" t="n">
        <v>239004</v>
      </c>
      <c r="G37" s="21">
        <f>E37+F37</f>
        <v/>
      </c>
      <c r="H37" s="19">
        <f>E37/$G37</f>
        <v/>
      </c>
      <c r="I37" s="19">
        <f>F37/$G37</f>
        <v/>
      </c>
      <c r="J37" s="19" t="n">
        <v>0.4</v>
      </c>
      <c r="K37" s="22">
        <f>I25</f>
        <v/>
      </c>
    </row>
    <row r="38">
      <c r="A38" s="20" t="n">
        <v>45658</v>
      </c>
      <c r="B38" s="8">
        <f>'[1]Cepea Mensal'!B332</f>
        <v/>
      </c>
      <c r="C38" s="3" t="n">
        <v>2633.844545454545</v>
      </c>
      <c r="E38" s="18" t="n">
        <v>284753</v>
      </c>
      <c r="F38" s="18" t="n">
        <v>329872</v>
      </c>
      <c r="G38" s="21">
        <f>E38+F38</f>
        <v/>
      </c>
      <c r="H38" s="19">
        <f>E38/$G38</f>
        <v/>
      </c>
      <c r="I38" s="19">
        <f>F38/$G38</f>
        <v/>
      </c>
      <c r="J38" s="19" t="n">
        <v>0.4</v>
      </c>
      <c r="K38" s="22">
        <f>I26</f>
        <v/>
      </c>
    </row>
    <row r="39">
      <c r="A39" s="20" t="n">
        <v>45689</v>
      </c>
      <c r="B39" s="8">
        <f>'[1]Cepea Mensal'!B333</f>
        <v/>
      </c>
      <c r="C39" s="3" t="n">
        <v>2667.645</v>
      </c>
      <c r="E39" s="18" t="n">
        <v>245851</v>
      </c>
      <c r="F39" s="18" t="n">
        <v>311843</v>
      </c>
      <c r="G39" s="21">
        <f>E39+F39</f>
        <v/>
      </c>
      <c r="H39" s="19">
        <f>E39/$G39</f>
        <v/>
      </c>
      <c r="I39" s="19">
        <f>F39/$G39</f>
        <v/>
      </c>
      <c r="J39" s="19" t="n">
        <v>0.4</v>
      </c>
      <c r="K39" s="22">
        <f>I27</f>
        <v/>
      </c>
    </row>
    <row r="40">
      <c r="A40" s="20" t="n">
        <v>45717</v>
      </c>
      <c r="B40" s="8">
        <f>'[1]Cepea Mensal'!B334</f>
        <v/>
      </c>
      <c r="C40" s="3" t="n">
        <v>2682.98</v>
      </c>
      <c r="E40" s="18" t="n">
        <v>246940</v>
      </c>
      <c r="F40" s="18" t="n">
        <v>300139</v>
      </c>
      <c r="G40" s="21">
        <f>E40+F40</f>
        <v/>
      </c>
      <c r="H40" s="19">
        <f>E40/$G40</f>
        <v/>
      </c>
      <c r="I40" s="19">
        <f>F40/$G40</f>
        <v/>
      </c>
      <c r="J40" s="19" t="n">
        <v>0.4</v>
      </c>
      <c r="K40" s="22">
        <f>I28</f>
        <v/>
      </c>
    </row>
    <row r="41">
      <c r="A41" s="20" t="n">
        <v>45748</v>
      </c>
      <c r="B41" s="8">
        <f>'[1]Cepea Mensal'!B335</f>
        <v/>
      </c>
      <c r="C41" s="3" t="n">
        <v>2821.728</v>
      </c>
      <c r="E41" s="18" t="n">
        <v>251116</v>
      </c>
      <c r="F41" s="18" t="n">
        <v>330365</v>
      </c>
      <c r="G41" s="21">
        <f>E41+F41</f>
        <v/>
      </c>
      <c r="H41" s="19">
        <f>E41/$G41</f>
        <v/>
      </c>
      <c r="I41" s="19">
        <f>F41/$G41</f>
        <v/>
      </c>
      <c r="J41" s="19" t="n">
        <v>0.4</v>
      </c>
      <c r="K41" s="22">
        <f>I29</f>
        <v/>
      </c>
    </row>
    <row r="42">
      <c r="A42" s="20" t="n">
        <v>45778</v>
      </c>
      <c r="B42" s="8">
        <f>'[1]Cepea Mensal'!B336</f>
        <v/>
      </c>
      <c r="C42" s="3" t="n">
        <v>2921.02238095238</v>
      </c>
      <c r="E42" s="18" t="n">
        <v>279092</v>
      </c>
      <c r="F42" s="18" t="n">
        <v>332857</v>
      </c>
      <c r="G42" s="21">
        <f>E42+F42</f>
        <v/>
      </c>
      <c r="H42" s="19">
        <f>E42/$G42</f>
        <v/>
      </c>
      <c r="I42" s="19">
        <f>F42/$G42</f>
        <v/>
      </c>
      <c r="J42" s="19" t="n">
        <v>0.4</v>
      </c>
      <c r="K42" s="22">
        <f>I30</f>
        <v/>
      </c>
    </row>
    <row r="43">
      <c r="A43" s="20" t="n">
        <v>45809</v>
      </c>
      <c r="B43" s="8">
        <f>'[1]Cepea Mensal'!B337</f>
        <v/>
      </c>
      <c r="C43" s="3" t="n">
        <v>2919.716</v>
      </c>
      <c r="E43" s="18" t="n">
        <v>290288</v>
      </c>
      <c r="F43" s="18" t="n">
        <v>322870</v>
      </c>
      <c r="G43" s="21">
        <f>E43+F43</f>
        <v/>
      </c>
      <c r="H43" s="19">
        <f>E43/$G43</f>
        <v/>
      </c>
      <c r="I43" s="19">
        <f>F43/$G43</f>
        <v/>
      </c>
      <c r="J43" s="19" t="n">
        <v>0.4</v>
      </c>
      <c r="K43" s="22">
        <f>I31</f>
        <v/>
      </c>
    </row>
    <row r="44">
      <c r="A44" s="20" t="n">
        <v>45839</v>
      </c>
      <c r="B44" s="8">
        <f>'[1]Cepea Mensal'!B338</f>
        <v/>
      </c>
      <c r="C44" s="3" t="n">
        <v>2860.389565217391</v>
      </c>
      <c r="E44" s="18" t="n">
        <v>339047</v>
      </c>
      <c r="F44" s="18" t="n">
        <v>317447</v>
      </c>
      <c r="G44" s="21">
        <f>E44+F44</f>
        <v/>
      </c>
      <c r="H44" s="19">
        <f>E44/$G44</f>
        <v/>
      </c>
      <c r="I44" s="19">
        <f>F44/$G44</f>
        <v/>
      </c>
      <c r="J44" s="19" t="n">
        <v>0.4</v>
      </c>
      <c r="K44" s="22">
        <f>I32</f>
        <v/>
      </c>
    </row>
    <row r="45">
      <c r="A45" s="20" t="n">
        <v>45870</v>
      </c>
      <c r="B45" s="8">
        <f>'[1]Cepea Mensal'!B339</f>
        <v/>
      </c>
      <c r="C45" s="3" t="n">
        <v>2854.039047619048</v>
      </c>
      <c r="E45" s="18" t="n">
        <v>359320</v>
      </c>
      <c r="F45" s="18" t="n">
        <v>301422</v>
      </c>
      <c r="G45" s="21">
        <f>E45+F45</f>
        <v/>
      </c>
      <c r="H45" s="19">
        <f>E45/$G45</f>
        <v/>
      </c>
      <c r="I45" s="19">
        <f>F45/$G45</f>
        <v/>
      </c>
      <c r="J45" s="19" t="n">
        <v>0.4</v>
      </c>
      <c r="K45" s="22">
        <f>I33</f>
        <v/>
      </c>
    </row>
    <row r="46">
      <c r="A46" s="20" t="n">
        <v>45901</v>
      </c>
      <c r="B46" s="8">
        <f>'[1]Cepea Mensal'!B340</f>
        <v/>
      </c>
      <c r="C46" s="3" t="n">
        <v>2926.949999999999</v>
      </c>
      <c r="E46" s="18" t="n">
        <v>367368</v>
      </c>
      <c r="F46" s="18" t="n">
        <v>288944</v>
      </c>
      <c r="G46" s="21">
        <f>E46+F46</f>
        <v/>
      </c>
      <c r="H46" s="19">
        <f>E46/$G46</f>
        <v/>
      </c>
      <c r="I46" s="19">
        <f>F46/$G46</f>
        <v/>
      </c>
      <c r="J46" s="19" t="n">
        <v>0.4</v>
      </c>
      <c r="K46" s="22">
        <f>I34</f>
        <v/>
      </c>
    </row>
    <row r="47">
      <c r="A47" s="20" t="n">
        <v>45931</v>
      </c>
      <c r="B47" s="8">
        <f>'[1]Cepea Mensal'!B341</f>
        <v/>
      </c>
      <c r="C47" s="3" t="n">
        <v>2929.970869565217</v>
      </c>
      <c r="E47" s="18" t="n">
        <v>433965</v>
      </c>
      <c r="F47" s="18" t="n">
        <v>281349</v>
      </c>
      <c r="G47" s="21">
        <f>E47+F47</f>
        <v/>
      </c>
      <c r="H47" s="19">
        <f>E47/$G47</f>
        <v/>
      </c>
      <c r="I47" s="19">
        <f>F47/$G47</f>
        <v/>
      </c>
      <c r="J47" s="19" t="n">
        <v>0.4</v>
      </c>
      <c r="K47" s="22">
        <f>I35</f>
        <v/>
      </c>
    </row>
    <row r="48">
      <c r="A48" s="20" t="n">
        <v>45962</v>
      </c>
      <c r="B48" s="8">
        <f>'[1]Cepea Mensal'!B342</f>
        <v/>
      </c>
      <c r="C48" s="3" t="n">
        <v>2989.501578947368</v>
      </c>
      <c r="E48" s="18" t="n">
        <v>395007</v>
      </c>
      <c r="F48" s="18" t="n">
        <v>245034</v>
      </c>
      <c r="G48" s="21">
        <f>E48+F48</f>
        <v/>
      </c>
      <c r="H48" s="19">
        <f>E48/$G48</f>
        <v/>
      </c>
      <c r="I48" s="19">
        <f>F48/$G48</f>
        <v/>
      </c>
      <c r="J48" s="19" t="n">
        <v>0.4</v>
      </c>
      <c r="K48" s="22">
        <f>I36</f>
        <v/>
      </c>
    </row>
    <row r="49">
      <c r="A49" s="20" t="n">
        <v>45992</v>
      </c>
      <c r="B49" s="8">
        <f>AVERAGE('S.H BOI GORDO'!B7058:B7077)</f>
        <v/>
      </c>
      <c r="C49" s="3">
        <f>AVERAGE(BEZERRO!#REF!)</f>
        <v/>
      </c>
      <c r="E49" s="17" t="n">
        <v>352051</v>
      </c>
      <c r="F49" s="18" t="n">
        <v>255884</v>
      </c>
      <c r="G49" s="21">
        <f>E49+F49</f>
        <v/>
      </c>
      <c r="H49" s="19">
        <f>E49/$G49</f>
        <v/>
      </c>
      <c r="I49" s="19">
        <f>F49/$G49</f>
        <v/>
      </c>
      <c r="J49" s="19" t="n">
        <v>0.4</v>
      </c>
      <c r="K49" s="22">
        <f>I37</f>
        <v/>
      </c>
    </row>
    <row r="50">
      <c r="A50" s="20" t="n">
        <v>46023</v>
      </c>
      <c r="E50" s="17" t="n">
        <v>330486</v>
      </c>
      <c r="F50" s="18" t="n">
        <v>310553</v>
      </c>
      <c r="G50" s="21">
        <f>E50+F50</f>
        <v/>
      </c>
      <c r="H50" s="19">
        <f>E50/$G50</f>
        <v/>
      </c>
      <c r="I50" s="19">
        <f>F50/$G50</f>
        <v/>
      </c>
      <c r="J50" s="19" t="n">
        <v>0.4</v>
      </c>
      <c r="K50" s="22">
        <f>I38</f>
        <v/>
      </c>
    </row>
    <row r="51">
      <c r="A51" s="20" t="n">
        <v>46054</v>
      </c>
      <c r="E51" s="17" t="n">
        <v>266921</v>
      </c>
      <c r="F51" s="18" t="n">
        <v>299663</v>
      </c>
      <c r="G51" s="21">
        <f>E51+F51</f>
        <v/>
      </c>
      <c r="H51" s="19">
        <f>E51/$G51</f>
        <v/>
      </c>
      <c r="I51" s="19">
        <f>F51/$G51</f>
        <v/>
      </c>
      <c r="J51" s="19" t="n">
        <v>0.4</v>
      </c>
      <c r="K51" s="22">
        <f>I39</f>
        <v/>
      </c>
    </row>
    <row r="52">
      <c r="A52" s="20" t="n">
        <v>46082</v>
      </c>
      <c r="E52" s="17" t="n">
        <v>301883</v>
      </c>
      <c r="F52" s="18" t="n">
        <v>325030</v>
      </c>
      <c r="G52" s="21">
        <f>E52+F52</f>
        <v/>
      </c>
      <c r="H52" s="19">
        <f>E52/$G52</f>
        <v/>
      </c>
      <c r="I52" s="19">
        <f>F52/$G52</f>
        <v/>
      </c>
      <c r="J52" s="19" t="n">
        <v>0.4</v>
      </c>
      <c r="K52" s="22">
        <f>I40</f>
        <v/>
      </c>
    </row>
    <row r="53">
      <c r="A53" s="20" t="n">
        <v>46113</v>
      </c>
      <c r="E53" s="17" t="n">
        <v>281578</v>
      </c>
      <c r="F53" s="18" t="n">
        <v>305287</v>
      </c>
      <c r="G53" s="21">
        <f>E53+F53</f>
        <v/>
      </c>
      <c r="H53" s="19">
        <f>E53/$G53</f>
        <v/>
      </c>
      <c r="I53" s="19">
        <f>F53/$G53</f>
        <v/>
      </c>
      <c r="J53" s="19" t="n">
        <v>0.4</v>
      </c>
      <c r="K53" s="22">
        <f>I41</f>
        <v/>
      </c>
    </row>
    <row r="54">
      <c r="A54" s="20" t="n">
        <v>46143</v>
      </c>
      <c r="E54" s="17" t="n">
        <v>307272</v>
      </c>
      <c r="F54" s="18" t="n">
        <v>303530</v>
      </c>
      <c r="G54" s="21">
        <f>E54+F54</f>
        <v/>
      </c>
      <c r="H54" s="19">
        <f>E54/$G54</f>
        <v/>
      </c>
      <c r="I54" s="19">
        <f>F54/$G54</f>
        <v/>
      </c>
      <c r="J54" s="19" t="n">
        <v>0.4</v>
      </c>
      <c r="K54" s="22">
        <f>I42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729"/>
  <sheetViews>
    <sheetView workbookViewId="0">
      <selection activeCell="E22" sqref="E22"/>
    </sheetView>
  </sheetViews>
  <sheetFormatPr baseColWidth="8" defaultRowHeight="15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6"/>
    <col width="9.140625" customWidth="1" style="1" min="7" max="16384"/>
  </cols>
  <sheetData>
    <row r="1">
      <c r="A1" s="2" t="inlineStr">
        <is>
          <t>Data</t>
        </is>
      </c>
      <c r="B1" s="1" t="inlineStr">
        <is>
          <t>Preço</t>
        </is>
      </c>
      <c r="C1" s="50" t="inlineStr">
        <is>
          <t>Meses</t>
        </is>
      </c>
      <c r="D1" s="51" t="inlineStr">
        <is>
          <t>Média Corrigida</t>
        </is>
      </c>
      <c r="E1" s="52" t="inlineStr">
        <is>
          <t>Base 100</t>
        </is>
      </c>
      <c r="F1" s="55" t="inlineStr">
        <is>
          <t>Mês</t>
        </is>
      </c>
      <c r="G1" s="55" t="inlineStr">
        <is>
          <t>M.B 100 - Série Total</t>
        </is>
      </c>
      <c r="H1" s="55" t="inlineStr">
        <is>
          <t>B.100 +1 Desv</t>
        </is>
      </c>
      <c r="I1" s="55" t="inlineStr">
        <is>
          <t>B.100 +2 Desv</t>
        </is>
      </c>
      <c r="J1" s="55" t="inlineStr">
        <is>
          <t>B.100 -1 Desv</t>
        </is>
      </c>
      <c r="K1" s="55" t="inlineStr">
        <is>
          <t>B.100 -2 Desv</t>
        </is>
      </c>
      <c r="L1" s="56" t="inlineStr">
        <is>
          <t>Desvio Padrão B.100</t>
        </is>
      </c>
      <c r="M1" s="55">
        <f>"M.B 100 - "&amp;YEAR(TODAY())</f>
        <v/>
      </c>
      <c r="N1" s="55">
        <f>"Média "&amp;YEAR(TODAY())</f>
        <v/>
      </c>
      <c r="O1" s="55" t="inlineStr">
        <is>
          <t>Preço Média</t>
        </is>
      </c>
      <c r="P1" s="56" t="inlineStr">
        <is>
          <t>Desvio Padrão</t>
        </is>
      </c>
      <c r="Q1" s="55" t="inlineStr">
        <is>
          <t>Preço +1 Desv.</t>
        </is>
      </c>
      <c r="R1" s="55" t="inlineStr">
        <is>
          <t>Preço +2 Desv.</t>
        </is>
      </c>
      <c r="S1" s="55" t="inlineStr">
        <is>
          <t>Preço -1 Desv.</t>
        </is>
      </c>
      <c r="T1" s="55" t="inlineStr">
        <is>
          <t>Preço -2 Desv.</t>
        </is>
      </c>
      <c r="V1" s="57" t="inlineStr">
        <is>
          <t>Razão Sazonal (aux)</t>
        </is>
      </c>
    </row>
    <row r="2">
      <c r="A2" s="9" t="inlineStr">
        <is>
          <t>21/05/2003</t>
        </is>
      </c>
      <c r="B2" s="8" t="n">
        <v>119.739434</v>
      </c>
      <c r="C2" s="15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2" s="48" t="inlineStr">
        <is>
          <t>Janeiro</t>
        </is>
      </c>
      <c r="G2" s="54" t="n">
        <v>100</v>
      </c>
      <c r="H2" s="54" t="n">
        <v>100</v>
      </c>
      <c r="I2" s="54" t="n">
        <v>100</v>
      </c>
      <c r="J2" s="54" t="n">
        <v>100</v>
      </c>
      <c r="K2" s="54" t="n">
        <v>100</v>
      </c>
      <c r="L2" s="54">
        <f t="array" ref="L2">IFERROR(_xlfn.STDEV.P(_xlfn._xlws.FILTER($E$2:$E$6000,(IFERROR(MONTH($C$2:$C$6000),0)=1)*ISNUMBER($D$2:$D$6000))),0)</f>
        <v/>
      </c>
      <c r="M2" s="54" t="n">
        <v>100</v>
      </c>
      <c r="N2" s="54">
        <f t="array" ref="N2">IFERROR(AVERAGE(_xlfn._xlws.FILTER($D$2:$D$6000,(IFERROR(MONTH($C$2:$C$6000),0)=1)*(IFERROR(YEAR($C$2:$C$6000),0)=YEAR(TODAY())))),"")</f>
        <v/>
      </c>
      <c r="O2" s="54">
        <f t="array" ref="O2">IFERROR(AVERAGE(_xlfn._xlws.FILTER($D$2:$D$6000,(IFERROR(MONTH($C$2:$C$6000),0)=1)*ISNUMBER($D$2:$D$6000))),"")</f>
        <v/>
      </c>
      <c r="P2" s="54">
        <f t="array" ref="P2">IFERROR(_xlfn.STDEV.P(_xlfn._xlws.FILTER($D$2:$D$6000,(IFERROR(MONTH($C$2:$C$6000),0)=1)*ISNUMBER($D$2:$D$6000))),"")</f>
        <v/>
      </c>
      <c r="Q2" s="54">
        <f>O2+(1*P2)</f>
        <v/>
      </c>
      <c r="R2" s="54">
        <f>O2+(2*P2)</f>
        <v/>
      </c>
      <c r="S2" s="54">
        <f>O2+(-1*P2)</f>
        <v/>
      </c>
      <c r="T2" s="54">
        <f>O2+(-2*P2)</f>
        <v/>
      </c>
      <c r="V2" s="1">
        <f>1</f>
        <v/>
      </c>
    </row>
    <row r="3">
      <c r="A3" s="9" t="inlineStr">
        <is>
          <t>22/05/2003</t>
        </is>
      </c>
      <c r="B3" s="8" t="n">
        <v>117.897918</v>
      </c>
      <c r="C3" s="15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3" s="71" t="inlineStr">
        <is>
          <t>Fevereiro</t>
        </is>
      </c>
      <c r="G3" s="72">
        <f>G$2*O3/O$2</f>
        <v/>
      </c>
      <c r="H3" s="72">
        <f>$G3+(1*$L3)</f>
        <v/>
      </c>
      <c r="I3" s="72">
        <f>$G3+(2*$L3)</f>
        <v/>
      </c>
      <c r="J3" s="72">
        <f>$G3+(-1*$L3)</f>
        <v/>
      </c>
      <c r="K3" s="72">
        <f>$G3+(-2*$L3)</f>
        <v/>
      </c>
      <c r="L3" s="72">
        <f t="array" ref="L3">IFERROR(_xlfn.STDEV.P(_xlfn._xlws.FILTER($E$2:$E$6000,(IFERROR(MONTH($C$2:$C$6000),0)=2)*ISNUMBER($D$2:$D$6000))),0)</f>
        <v/>
      </c>
      <c r="M3" s="72">
        <f>IFERROR($M$2*N3/$N$2,"")</f>
        <v/>
      </c>
      <c r="N3" s="72">
        <f t="array" ref="N3">IFERROR(AVERAGE(_xlfn._xlws.FILTER($D$2:$D$6000,(IFERROR(MONTH($C$2:$C$6000),0)=2)*(IFERROR(YEAR($C$2:$C$6000),0)=YEAR(TODAY())))),"")</f>
        <v/>
      </c>
      <c r="O3" s="72">
        <f t="array" ref="O3">IFERROR(AVERAGE(_xlfn._xlws.FILTER($D$2:$D$6000,(IFERROR(MONTH($C$2:$C$6000),0)=2)*ISNUMBER($D$2:$D$6000))),"")</f>
        <v/>
      </c>
      <c r="P3" s="72">
        <f t="array" ref="P3">IFERROR(_xlfn.STDEV.P(_xlfn._xlws.FILTER($D$2:$D$6000,(IFERROR(MONTH($C$2:$C$6000),0)=2)*ISNUMBER($D$2:$D$6000))),"")</f>
        <v/>
      </c>
      <c r="Q3" s="72">
        <f>O3+(1*P3)</f>
        <v/>
      </c>
      <c r="R3" s="72">
        <f>O3+(2*P3)</f>
        <v/>
      </c>
      <c r="S3" s="72">
        <f>O3+(-1*P3)</f>
        <v/>
      </c>
      <c r="T3" s="72">
        <f>O3+(-2*P3)</f>
        <v/>
      </c>
      <c r="V3" s="23">
        <f>1</f>
        <v/>
      </c>
    </row>
    <row r="4">
      <c r="A4" s="9" t="inlineStr">
        <is>
          <t>23/05/2003</t>
        </is>
      </c>
      <c r="B4" s="8" t="n">
        <v>116.01548</v>
      </c>
      <c r="C4" s="15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4" s="71" t="inlineStr">
        <is>
          <t>Março</t>
        </is>
      </c>
      <c r="G4" s="72">
        <f>G$2*O4/O$2</f>
        <v/>
      </c>
      <c r="H4" s="72">
        <f>$G4+(1*$L4)</f>
        <v/>
      </c>
      <c r="I4" s="72">
        <f>$G4+(2*$L4)</f>
        <v/>
      </c>
      <c r="J4" s="72">
        <f>$G4+(-1*$L4)</f>
        <v/>
      </c>
      <c r="K4" s="72">
        <f>$G4+(-2*$L4)</f>
        <v/>
      </c>
      <c r="L4" s="72">
        <f t="array" ref="L4">IFERROR(_xlfn.STDEV.P(_xlfn._xlws.FILTER($E$2:$E$6000,(IFERROR(MONTH($C$2:$C$6000),0)=3)*ISNUMBER($D$2:$D$6000))),0)</f>
        <v/>
      </c>
      <c r="M4" s="72">
        <f>IFERROR($M$2*N4/$N$2,"")</f>
        <v/>
      </c>
      <c r="N4" s="72">
        <f t="array" ref="N4">IFERROR(AVERAGE(_xlfn._xlws.FILTER($D$2:$D$6000,(IFERROR(MONTH($C$2:$C$6000),0)=3)*(IFERROR(YEAR($C$2:$C$6000),0)=YEAR(TODAY())))),"")</f>
        <v/>
      </c>
      <c r="O4" s="72">
        <f t="array" ref="O4">IFERROR(AVERAGE(_xlfn._xlws.FILTER($D$2:$D$6000,(IFERROR(MONTH($C$2:$C$6000),0)=3)*ISNUMBER($D$2:$D$6000))),"")</f>
        <v/>
      </c>
      <c r="P4" s="72">
        <f t="array" ref="P4">IFERROR(_xlfn.STDEV.P(_xlfn._xlws.FILTER($D$2:$D$6000,(IFERROR(MONTH($C$2:$C$6000),0)=3)*ISNUMBER($D$2:$D$6000))),"")</f>
        <v/>
      </c>
      <c r="Q4" s="72">
        <f>O4+(1*P4)</f>
        <v/>
      </c>
      <c r="R4" s="72">
        <f>O4+(2*P4)</f>
        <v/>
      </c>
      <c r="S4" s="72">
        <f>O4+(-1*P4)</f>
        <v/>
      </c>
      <c r="T4" s="72">
        <f>O4+(-2*P4)</f>
        <v/>
      </c>
      <c r="V4" s="23">
        <f>1</f>
        <v/>
      </c>
    </row>
    <row r="5">
      <c r="A5" s="9" t="inlineStr">
        <is>
          <t>26/05/2003</t>
        </is>
      </c>
      <c r="B5" s="8" t="n">
        <v>113.887507</v>
      </c>
      <c r="C5" s="15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5" s="71" t="inlineStr">
        <is>
          <t>Abril</t>
        </is>
      </c>
      <c r="G5" s="72">
        <f>G$2*O5/O$2</f>
        <v/>
      </c>
      <c r="H5" s="72">
        <f>$G5+(1*$L5)</f>
        <v/>
      </c>
      <c r="I5" s="72">
        <f>$G5+(2*$L5)</f>
        <v/>
      </c>
      <c r="J5" s="72">
        <f>$G5+(-1*$L5)</f>
        <v/>
      </c>
      <c r="K5" s="72">
        <f>$G5+(-2*$L5)</f>
        <v/>
      </c>
      <c r="L5" s="72">
        <f t="array" ref="L5">IFERROR(_xlfn.STDEV.P(_xlfn._xlws.FILTER($E$2:$E$6000,(IFERROR(MONTH($C$2:$C$6000),0)=4)*ISNUMBER($D$2:$D$6000))),0)</f>
        <v/>
      </c>
      <c r="M5" s="72">
        <f>IFERROR($M$2*N5/$N$2,"")</f>
        <v/>
      </c>
      <c r="N5" s="72">
        <f t="array" ref="N5">IFERROR(AVERAGE(_xlfn._xlws.FILTER($D$2:$D$6000,(IFERROR(MONTH($C$2:$C$6000),0)=4)*(IFERROR(YEAR($C$2:$C$6000),0)=YEAR(TODAY())))),"")</f>
        <v/>
      </c>
      <c r="O5" s="72">
        <f t="array" ref="O5">IFERROR(AVERAGE(_xlfn._xlws.FILTER($D$2:$D$6000,(IFERROR(MONTH($C$2:$C$6000),0)=4)*ISNUMBER($D$2:$D$6000))),"")</f>
        <v/>
      </c>
      <c r="P5" s="72">
        <f t="array" ref="P5">IFERROR(_xlfn.STDEV.P(_xlfn._xlws.FILTER($D$2:$D$6000,(IFERROR(MONTH($C$2:$C$6000),0)=4)*ISNUMBER($D$2:$D$6000))),"")</f>
        <v/>
      </c>
      <c r="Q5" s="72">
        <f>O5+(1*P5)</f>
        <v/>
      </c>
      <c r="R5" s="72">
        <f>O5+(2*P5)</f>
        <v/>
      </c>
      <c r="S5" s="72">
        <f>O5+(-1*P5)</f>
        <v/>
      </c>
      <c r="T5" s="72">
        <f>O5+(-2*P5)</f>
        <v/>
      </c>
      <c r="V5" s="23">
        <f>1</f>
        <v/>
      </c>
    </row>
    <row r="6">
      <c r="A6" s="9" t="inlineStr">
        <is>
          <t>27/05/2003</t>
        </is>
      </c>
      <c r="B6" s="8" t="n">
        <v>113.601049</v>
      </c>
      <c r="C6" s="15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6" s="71" t="inlineStr">
        <is>
          <t>Maio</t>
        </is>
      </c>
      <c r="G6" s="72">
        <f>G$2*O6/O$2</f>
        <v/>
      </c>
      <c r="H6" s="72">
        <f>$G6+(1*$L6)</f>
        <v/>
      </c>
      <c r="I6" s="72">
        <f>$G6+(2*$L6)</f>
        <v/>
      </c>
      <c r="J6" s="72">
        <f>$G6+(-1*$L6)</f>
        <v/>
      </c>
      <c r="K6" s="72">
        <f>$G6+(-2*$L6)</f>
        <v/>
      </c>
      <c r="L6" s="72">
        <f t="array" ref="L6">IFERROR(_xlfn.STDEV.P(_xlfn._xlws.FILTER($E$2:$E$6000,(IFERROR(MONTH($C$2:$C$6000),0)=5)*ISNUMBER($D$2:$D$6000))),0)</f>
        <v/>
      </c>
      <c r="M6" s="72">
        <f>IFERROR($M$2*N6/$N$2,"")</f>
        <v/>
      </c>
      <c r="N6" s="72">
        <f t="array" ref="N6">IFERROR(AVERAGE(_xlfn._xlws.FILTER($D$2:$D$6000,(IFERROR(MONTH($C$2:$C$6000),0)=5)*(IFERROR(YEAR($C$2:$C$6000),0)=YEAR(TODAY())))),"")</f>
        <v/>
      </c>
      <c r="O6" s="72">
        <f t="array" ref="O6">IFERROR(AVERAGE(_xlfn._xlws.FILTER($D$2:$D$6000,(IFERROR(MONTH($C$2:$C$6000),0)=5)*ISNUMBER($D$2:$D$6000))),"")</f>
        <v/>
      </c>
      <c r="P6" s="72">
        <f t="array" ref="P6">IFERROR(_xlfn.STDEV.P(_xlfn._xlws.FILTER($D$2:$D$6000,(IFERROR(MONTH($C$2:$C$6000),0)=5)*ISNUMBER($D$2:$D$6000))),"")</f>
        <v/>
      </c>
      <c r="Q6" s="72">
        <f>O6+(1*P6)</f>
        <v/>
      </c>
      <c r="R6" s="72">
        <f>O6+(2*P6)</f>
        <v/>
      </c>
      <c r="S6" s="72">
        <f>O6+(-1*P6)</f>
        <v/>
      </c>
      <c r="T6" s="72">
        <f>O6+(-2*P6)</f>
        <v/>
      </c>
      <c r="V6" s="23">
        <f>1</f>
        <v/>
      </c>
    </row>
    <row r="7">
      <c r="A7" s="9" t="inlineStr">
        <is>
          <t>28/05/2003</t>
        </is>
      </c>
      <c r="B7" s="8" t="n">
        <v>112.455217</v>
      </c>
      <c r="C7" s="15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7" s="71" t="inlineStr">
        <is>
          <t>Junho</t>
        </is>
      </c>
      <c r="G7" s="72">
        <f>G$2*O7/O$2</f>
        <v/>
      </c>
      <c r="H7" s="72">
        <f>$G7+(1*$L7)</f>
        <v/>
      </c>
      <c r="I7" s="72">
        <f>$G7+(2*$L7)</f>
        <v/>
      </c>
      <c r="J7" s="72">
        <f>$G7+(-1*$L7)</f>
        <v/>
      </c>
      <c r="K7" s="72">
        <f>$G7+(-2*$L7)</f>
        <v/>
      </c>
      <c r="L7" s="72">
        <f t="array" ref="L7">IFERROR(_xlfn.STDEV.P(_xlfn._xlws.FILTER($E$2:$E$6000,(IFERROR(MONTH($C$2:$C$6000),0)=6)*ISNUMBER($D$2:$D$6000))),0)</f>
        <v/>
      </c>
      <c r="M7" s="72">
        <f>IFERROR($M$2*N7/$N$2,"")</f>
        <v/>
      </c>
      <c r="N7" s="72">
        <f t="array" ref="N7">IFERROR(AVERAGE(_xlfn._xlws.FILTER($D$2:$D$6000,(IFERROR(MONTH($C$2:$C$6000),0)=6)*(IFERROR(YEAR($C$2:$C$6000),0)=YEAR(TODAY())))),"")</f>
        <v/>
      </c>
      <c r="O7" s="72">
        <f t="array" ref="O7">IFERROR(AVERAGE(_xlfn._xlws.FILTER($D$2:$D$6000,(IFERROR(MONTH($C$2:$C$6000),0)=6)*ISNUMBER($D$2:$D$6000))),"")</f>
        <v/>
      </c>
      <c r="P7" s="72">
        <f t="array" ref="P7">IFERROR(_xlfn.STDEV.P(_xlfn._xlws.FILTER($D$2:$D$6000,(IFERROR(MONTH($C$2:$C$6000),0)=6)*ISNUMBER($D$2:$D$6000))),"")</f>
        <v/>
      </c>
      <c r="Q7" s="72">
        <f>O7+(1*P7)</f>
        <v/>
      </c>
      <c r="R7" s="72">
        <f>O7+(2*P7)</f>
        <v/>
      </c>
      <c r="S7" s="72">
        <f>O7+(-1*P7)</f>
        <v/>
      </c>
      <c r="T7" s="72">
        <f>O7+(-2*P7)</f>
        <v/>
      </c>
      <c r="V7" s="23">
        <f>1</f>
        <v/>
      </c>
    </row>
    <row r="8">
      <c r="A8" s="9" t="inlineStr">
        <is>
          <t>29/05/2003</t>
        </is>
      </c>
      <c r="B8" s="8" t="n">
        <v>111.432153</v>
      </c>
      <c r="C8" s="15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8" s="71" t="inlineStr">
        <is>
          <t>Julho</t>
        </is>
      </c>
      <c r="G8" s="72">
        <f>G$2*O8/O$2</f>
        <v/>
      </c>
      <c r="H8" s="72">
        <f>$G8+(1*$L8)</f>
        <v/>
      </c>
      <c r="I8" s="72">
        <f>$G8+(2*$L8)</f>
        <v/>
      </c>
      <c r="J8" s="72">
        <f>$G8+(-1*$L8)</f>
        <v/>
      </c>
      <c r="K8" s="72">
        <f>$G8+(-2*$L8)</f>
        <v/>
      </c>
      <c r="L8" s="72">
        <f t="array" ref="L8">IFERROR(_xlfn.STDEV.P(_xlfn._xlws.FILTER($E$2:$E$6000,(IFERROR(MONTH($C$2:$C$6000),0)=7)*ISNUMBER($D$2:$D$6000))),0)</f>
        <v/>
      </c>
      <c r="M8" s="72">
        <f>IFERROR($M$2*N8/$N$2,"")</f>
        <v/>
      </c>
      <c r="N8" s="72">
        <f t="array" ref="N8">IFERROR(AVERAGE(_xlfn._xlws.FILTER($D$2:$D$6000,(IFERROR(MONTH($C$2:$C$6000),0)=7)*(IFERROR(YEAR($C$2:$C$6000),0)=YEAR(TODAY())))),"")</f>
        <v/>
      </c>
      <c r="O8" s="72">
        <f t="array" ref="O8">IFERROR(AVERAGE(_xlfn._xlws.FILTER($D$2:$D$6000,(IFERROR(MONTH($C$2:$C$6000),0)=7)*ISNUMBER($D$2:$D$6000))),"")</f>
        <v/>
      </c>
      <c r="P8" s="72">
        <f t="array" ref="P8">IFERROR(_xlfn.STDEV.P(_xlfn._xlws.FILTER($D$2:$D$6000,(IFERROR(MONTH($C$2:$C$6000),0)=7)*ISNUMBER($D$2:$D$6000))),"")</f>
        <v/>
      </c>
      <c r="Q8" s="72">
        <f>O8+(1*P8)</f>
        <v/>
      </c>
      <c r="R8" s="72">
        <f>O8+(2*P8)</f>
        <v/>
      </c>
      <c r="S8" s="72">
        <f>O8+(-1*P8)</f>
        <v/>
      </c>
      <c r="T8" s="72">
        <f>O8+(-2*P8)</f>
        <v/>
      </c>
      <c r="V8" s="23">
        <f>1</f>
        <v/>
      </c>
    </row>
    <row r="9">
      <c r="A9" s="9" t="inlineStr">
        <is>
          <t>30/05/2003</t>
        </is>
      </c>
      <c r="B9" s="8" t="n">
        <v>110.654624</v>
      </c>
      <c r="C9" s="15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9" s="71" t="inlineStr">
        <is>
          <t>Agosto</t>
        </is>
      </c>
      <c r="G9" s="72">
        <f>G$2*O9/O$2</f>
        <v/>
      </c>
      <c r="H9" s="72">
        <f>$G9+(1*$L9)</f>
        <v/>
      </c>
      <c r="I9" s="72">
        <f>$G9+(2*$L9)</f>
        <v/>
      </c>
      <c r="J9" s="72">
        <f>$G9+(-1*$L9)</f>
        <v/>
      </c>
      <c r="K9" s="72">
        <f>$G9+(-2*$L9)</f>
        <v/>
      </c>
      <c r="L9" s="72">
        <f t="array" ref="L9">IFERROR(_xlfn.STDEV.P(_xlfn._xlws.FILTER($E$2:$E$6000,(IFERROR(MONTH($C$2:$C$6000),0)=8)*ISNUMBER($D$2:$D$6000))),0)</f>
        <v/>
      </c>
      <c r="M9" s="72">
        <f>IFERROR($M$2*N9/$N$2,"")</f>
        <v/>
      </c>
      <c r="N9" s="72">
        <f t="array" ref="N9">IFERROR(AVERAGE(_xlfn._xlws.FILTER($D$2:$D$6000,(IFERROR(MONTH($C$2:$C$6000),0)=8)*(IFERROR(YEAR($C$2:$C$6000),0)=YEAR(TODAY())))),"")</f>
        <v/>
      </c>
      <c r="O9" s="72">
        <f t="array" ref="O9">IFERROR(AVERAGE(_xlfn._xlws.FILTER($D$2:$D$6000,(IFERROR(MONTH($C$2:$C$6000),0)=8)*ISNUMBER($D$2:$D$6000))),"")</f>
        <v/>
      </c>
      <c r="P9" s="72">
        <f t="array" ref="P9">IFERROR(_xlfn.STDEV.P(_xlfn._xlws.FILTER($D$2:$D$6000,(IFERROR(MONTH($C$2:$C$6000),0)=8)*ISNUMBER($D$2:$D$6000))),"")</f>
        <v/>
      </c>
      <c r="Q9" s="72">
        <f>O9+(1*P9)</f>
        <v/>
      </c>
      <c r="R9" s="72">
        <f>O9+(2*P9)</f>
        <v/>
      </c>
      <c r="S9" s="72">
        <f>O9+(-1*P9)</f>
        <v/>
      </c>
      <c r="T9" s="72">
        <f>O9+(-2*P9)</f>
        <v/>
      </c>
      <c r="V9" s="23">
        <f>1</f>
        <v/>
      </c>
    </row>
    <row r="10">
      <c r="A10" s="9" t="inlineStr">
        <is>
          <t>02/06/2003</t>
        </is>
      </c>
      <c r="B10" s="8" t="n">
        <v>110.53227</v>
      </c>
      <c r="C10" s="15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0" s="71" t="inlineStr">
        <is>
          <t>Setembro</t>
        </is>
      </c>
      <c r="G10" s="72">
        <f>G$2*O10/O$2</f>
        <v/>
      </c>
      <c r="H10" s="72">
        <f>$G10+(1*$L10)</f>
        <v/>
      </c>
      <c r="I10" s="72">
        <f>$G10+(2*$L10)</f>
        <v/>
      </c>
      <c r="J10" s="72">
        <f>$G10+(-1*$L10)</f>
        <v/>
      </c>
      <c r="K10" s="72">
        <f>$G10+(-2*$L10)</f>
        <v/>
      </c>
      <c r="L10" s="72">
        <f t="array" ref="L10">IFERROR(_xlfn.STDEV.P(_xlfn._xlws.FILTER($E$2:$E$6000,(IFERROR(MONTH($C$2:$C$6000),0)=9)*ISNUMBER($D$2:$D$6000))),0)</f>
        <v/>
      </c>
      <c r="M10" s="72">
        <f>IFERROR($M$2*N10/$N$2,"")</f>
        <v/>
      </c>
      <c r="N10" s="72">
        <f t="array" ref="N10">IFERROR(AVERAGE(_xlfn._xlws.FILTER($D$2:$D$6000,(IFERROR(MONTH($C$2:$C$6000),0)=9)*(IFERROR(YEAR($C$2:$C$6000),0)=YEAR(TODAY())))),"")</f>
        <v/>
      </c>
      <c r="O10" s="72">
        <f t="array" ref="O10">IFERROR(AVERAGE(_xlfn._xlws.FILTER($D$2:$D$6000,(IFERROR(MONTH($C$2:$C$6000),0)=9)*ISNUMBER($D$2:$D$6000))),"")</f>
        <v/>
      </c>
      <c r="P10" s="72">
        <f t="array" ref="P10">IFERROR(_xlfn.STDEV.P(_xlfn._xlws.FILTER($D$2:$D$6000,(IFERROR(MONTH($C$2:$C$6000),0)=9)*ISNUMBER($D$2:$D$6000))),"")</f>
        <v/>
      </c>
      <c r="Q10" s="72">
        <f>O10+(1*P10)</f>
        <v/>
      </c>
      <c r="R10" s="72">
        <f>O10+(2*P10)</f>
        <v/>
      </c>
      <c r="S10" s="72">
        <f>O10+(-1*P10)</f>
        <v/>
      </c>
      <c r="T10" s="72">
        <f>O10+(-2*P10)</f>
        <v/>
      </c>
      <c r="V10" s="23">
        <f>1</f>
        <v/>
      </c>
    </row>
    <row r="11">
      <c r="A11" s="9" t="inlineStr">
        <is>
          <t>03/06/2003</t>
        </is>
      </c>
      <c r="B11" s="8" t="n">
        <v>110.201582</v>
      </c>
      <c r="C11" s="15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1" s="71" t="inlineStr">
        <is>
          <t>Outubro</t>
        </is>
      </c>
      <c r="G11" s="72">
        <f>G$2*O11/O$2</f>
        <v/>
      </c>
      <c r="H11" s="72">
        <f>$G11+(1*$L11)</f>
        <v/>
      </c>
      <c r="I11" s="72">
        <f>$G11+(2*$L11)</f>
        <v/>
      </c>
      <c r="J11" s="72">
        <f>$G11+(-1*$L11)</f>
        <v/>
      </c>
      <c r="K11" s="72">
        <f>$G11+(-2*$L11)</f>
        <v/>
      </c>
      <c r="L11" s="72">
        <f t="array" ref="L11">IFERROR(_xlfn.STDEV.P(_xlfn._xlws.FILTER($E$2:$E$6000,(IFERROR(MONTH($C$2:$C$6000),0)=10)*ISNUMBER($D$2:$D$6000))),0)</f>
        <v/>
      </c>
      <c r="M11" s="72">
        <f>IFERROR($M$2*N11/$N$2,"")</f>
        <v/>
      </c>
      <c r="N11" s="72">
        <f t="array" ref="N11">IFERROR(AVERAGE(_xlfn._xlws.FILTER($D$2:$D$6000,(IFERROR(MONTH($C$2:$C$6000),0)=10)*(IFERROR(YEAR($C$2:$C$6000),0)=YEAR(TODAY())))),"")</f>
        <v/>
      </c>
      <c r="O11" s="72">
        <f t="array" ref="O11">IFERROR(AVERAGE(_xlfn._xlws.FILTER($D$2:$D$6000,(IFERROR(MONTH($C$2:$C$6000),0)=10)*ISNUMBER($D$2:$D$6000))),"")</f>
        <v/>
      </c>
      <c r="P11" s="72">
        <f t="array" ref="P11">IFERROR(_xlfn.STDEV.P(_xlfn._xlws.FILTER($D$2:$D$6000,(IFERROR(MONTH($C$2:$C$6000),0)=10)*ISNUMBER($D$2:$D$6000))),"")</f>
        <v/>
      </c>
      <c r="Q11" s="72">
        <f>O11+(1*P11)</f>
        <v/>
      </c>
      <c r="R11" s="72">
        <f>O11+(2*P11)</f>
        <v/>
      </c>
      <c r="S11" s="72">
        <f>O11+(-1*P11)</f>
        <v/>
      </c>
      <c r="T11" s="72">
        <f>O11+(-2*P11)</f>
        <v/>
      </c>
      <c r="V11" s="23">
        <f>1</f>
        <v/>
      </c>
    </row>
    <row r="12">
      <c r="A12" s="9" t="inlineStr">
        <is>
          <t>04/06/2003</t>
        </is>
      </c>
      <c r="B12" s="8" t="n">
        <v>110.077574</v>
      </c>
      <c r="C12" s="15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2" s="71" t="inlineStr">
        <is>
          <t>Novembro</t>
        </is>
      </c>
      <c r="G12" s="72">
        <f>G$2*O12/O$2</f>
        <v/>
      </c>
      <c r="H12" s="72">
        <f>$G12+(1*$L12)</f>
        <v/>
      </c>
      <c r="I12" s="72">
        <f>$G12+(2*$L12)</f>
        <v/>
      </c>
      <c r="J12" s="72">
        <f>$G12+(-1*$L12)</f>
        <v/>
      </c>
      <c r="K12" s="72">
        <f>$G12+(-2*$L12)</f>
        <v/>
      </c>
      <c r="L12" s="72">
        <f t="array" ref="L12">IFERROR(_xlfn.STDEV.P(_xlfn._xlws.FILTER($E$2:$E$6000,(IFERROR(MONTH($C$2:$C$6000),0)=11)*ISNUMBER($D$2:$D$6000))),0)</f>
        <v/>
      </c>
      <c r="M12" s="72">
        <f>IFERROR($M$2*N12/$N$2,"")</f>
        <v/>
      </c>
      <c r="N12" s="72">
        <f t="array" ref="N12">IFERROR(AVERAGE(_xlfn._xlws.FILTER($D$2:$D$6000,(IFERROR(MONTH($C$2:$C$6000),0)=11)*(IFERROR(YEAR($C$2:$C$6000),0)=YEAR(TODAY())))),"")</f>
        <v/>
      </c>
      <c r="O12" s="72">
        <f t="array" ref="O12">IFERROR(AVERAGE(_xlfn._xlws.FILTER($D$2:$D$6000,(IFERROR(MONTH($C$2:$C$6000),0)=11)*ISNUMBER($D$2:$D$6000))),"")</f>
        <v/>
      </c>
      <c r="P12" s="72">
        <f t="array" ref="P12">IFERROR(_xlfn.STDEV.P(_xlfn._xlws.FILTER($D$2:$D$6000,(IFERROR(MONTH($C$2:$C$6000),0)=11)*ISNUMBER($D$2:$D$6000))),"")</f>
        <v/>
      </c>
      <c r="Q12" s="72">
        <f>O12+(1*P12)</f>
        <v/>
      </c>
      <c r="R12" s="72">
        <f>O12+(2*P12)</f>
        <v/>
      </c>
      <c r="S12" s="72">
        <f>O12+(-1*P12)</f>
        <v/>
      </c>
      <c r="T12" s="72">
        <f>O12+(-2*P12)</f>
        <v/>
      </c>
      <c r="V12" s="23">
        <f>1</f>
        <v/>
      </c>
    </row>
    <row r="13">
      <c r="A13" s="9" t="inlineStr">
        <is>
          <t>05/06/2003</t>
        </is>
      </c>
      <c r="B13" s="8" t="n">
        <v>109.746887</v>
      </c>
      <c r="C13" s="15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3" s="77" t="inlineStr">
        <is>
          <t>Dezembro</t>
        </is>
      </c>
      <c r="G13" s="78">
        <f>G$2*O13/O$2</f>
        <v/>
      </c>
      <c r="H13" s="78">
        <f>$G13+(1*$L13)</f>
        <v/>
      </c>
      <c r="I13" s="78">
        <f>$G13+(2*$L13)</f>
        <v/>
      </c>
      <c r="J13" s="78">
        <f>$G13+(-1*$L13)</f>
        <v/>
      </c>
      <c r="K13" s="78">
        <f>$G13+(-2*$L13)</f>
        <v/>
      </c>
      <c r="L13" s="78">
        <f t="array" ref="L13">IFERROR(_xlfn.STDEV.P(_xlfn._xlws.FILTER($E$2:$E$6000,(IFERROR(MONTH($C$2:$C$6000),0)=12)*ISNUMBER($D$2:$D$6000))),0)</f>
        <v/>
      </c>
      <c r="M13" s="78">
        <f>IFERROR($M$2*N13/$N$2,"")</f>
        <v/>
      </c>
      <c r="N13" s="78">
        <f t="array" ref="N13">IFERROR(AVERAGE(_xlfn._xlws.FILTER($D$2:$D$6000,(IFERROR(MONTH($C$2:$C$6000),0)=12)*(IFERROR(YEAR($C$2:$C$6000),0)=YEAR(TODAY())))),"")</f>
        <v/>
      </c>
      <c r="O13" s="78">
        <f t="array" ref="O13">IFERROR(AVERAGE(_xlfn._xlws.FILTER($D$2:$D$6000,(IFERROR(MONTH($C$2:$C$6000),0)=12)*ISNUMBER($D$2:$D$6000))),"")</f>
        <v/>
      </c>
      <c r="P13" s="78">
        <f t="array" ref="P13">IFERROR(_xlfn.STDEV.P(_xlfn._xlws.FILTER($D$2:$D$6000,(IFERROR(MONTH($C$2:$C$6000),0)=12)*ISNUMBER($D$2:$D$6000))),"")</f>
        <v/>
      </c>
      <c r="Q13" s="78">
        <f>O13+(1*P13)</f>
        <v/>
      </c>
      <c r="R13" s="78">
        <f>O13+(2*P13)</f>
        <v/>
      </c>
      <c r="S13" s="78">
        <f>O13+(-1*P13)</f>
        <v/>
      </c>
      <c r="T13" s="78">
        <f>O13+(-2*P13)</f>
        <v/>
      </c>
      <c r="V13" s="23">
        <f>1</f>
        <v/>
      </c>
    </row>
    <row r="14">
      <c r="A14" s="9" t="inlineStr">
        <is>
          <t>06/06/2003</t>
        </is>
      </c>
      <c r="B14" s="8" t="n">
        <v>109.250856</v>
      </c>
      <c r="C14" s="15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3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V14" s="23">
        <f>1</f>
        <v/>
      </c>
    </row>
    <row r="15">
      <c r="A15" s="9" t="inlineStr">
        <is>
          <t>09/06/2003</t>
        </is>
      </c>
      <c r="B15" s="8" t="n">
        <v>109.168184</v>
      </c>
      <c r="C15" s="15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3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V15" s="23">
        <f>1</f>
        <v/>
      </c>
    </row>
    <row r="16">
      <c r="A16" s="9" t="inlineStr">
        <is>
          <t>10/06/2003</t>
        </is>
      </c>
      <c r="B16" s="8" t="n">
        <v>108.30013</v>
      </c>
      <c r="C16" s="15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3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V16" s="23">
        <f>1</f>
        <v/>
      </c>
    </row>
    <row r="17">
      <c r="A17" s="9" t="inlineStr">
        <is>
          <t>11/06/2003</t>
        </is>
      </c>
      <c r="B17" s="8" t="n">
        <v>107.225395</v>
      </c>
      <c r="C17" s="15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3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V17" s="23">
        <f>1</f>
        <v/>
      </c>
    </row>
    <row r="18">
      <c r="A18" s="9" t="inlineStr">
        <is>
          <t>12/06/2003</t>
        </is>
      </c>
      <c r="B18" s="8" t="n">
        <v>106.274669</v>
      </c>
      <c r="C18" s="15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3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V18" s="23">
        <f>1</f>
        <v/>
      </c>
    </row>
    <row r="19">
      <c r="A19" s="9" t="inlineStr">
        <is>
          <t>13/06/2003</t>
        </is>
      </c>
      <c r="B19" s="8" t="n">
        <v>105.985318</v>
      </c>
      <c r="C19" s="15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9" t="inlineStr">
        <is>
          <t>16/06/2003</t>
        </is>
      </c>
      <c r="B20" s="8" t="n">
        <v>105.737302</v>
      </c>
      <c r="C20" s="15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9" t="inlineStr">
        <is>
          <t>17/06/2003</t>
        </is>
      </c>
      <c r="B21" s="8" t="n">
        <v>103.133139</v>
      </c>
      <c r="C21" s="15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9" t="inlineStr">
        <is>
          <t>18/06/2003</t>
        </is>
      </c>
      <c r="B22" s="8" t="n">
        <v>100.98367</v>
      </c>
      <c r="C22" s="15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9" t="inlineStr">
        <is>
          <t>20/06/2003</t>
        </is>
      </c>
      <c r="B23" s="8" t="n">
        <v>99.536913</v>
      </c>
      <c r="C23" s="15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9" t="inlineStr">
        <is>
          <t>23/06/2003</t>
        </is>
      </c>
      <c r="B24" s="8" t="n">
        <v>98.04882000000001</v>
      </c>
      <c r="C24" s="15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9" t="inlineStr">
        <is>
          <t>24/06/2003</t>
        </is>
      </c>
      <c r="B25" s="8" t="n">
        <v>96.230039</v>
      </c>
      <c r="C25" s="15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9" t="inlineStr">
        <is>
          <t>25/06/2003</t>
        </is>
      </c>
      <c r="B26" s="8" t="n">
        <v>95.940687</v>
      </c>
      <c r="C26" s="15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9" t="inlineStr">
        <is>
          <t>26/06/2003</t>
        </is>
      </c>
      <c r="B27" s="8" t="n">
        <v>96.106031</v>
      </c>
      <c r="C27" s="15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9" t="inlineStr">
        <is>
          <t>27/06/2003</t>
        </is>
      </c>
      <c r="B28" s="8" t="n">
        <v>96.35404699999999</v>
      </c>
      <c r="C28" s="15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9" t="inlineStr">
        <is>
          <t>30/06/2003</t>
        </is>
      </c>
      <c r="B29" s="8" t="n">
        <v>95.568664</v>
      </c>
      <c r="C29" s="15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9" t="inlineStr">
        <is>
          <t>01/07/2003</t>
        </is>
      </c>
      <c r="B30" s="8" t="n">
        <v>96.386848</v>
      </c>
      <c r="C30" s="15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9" t="inlineStr">
        <is>
          <t>02/07/2003</t>
        </is>
      </c>
      <c r="B31" s="8" t="n">
        <v>96.096276</v>
      </c>
      <c r="C31" s="15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9" t="inlineStr">
        <is>
          <t>03/07/2003</t>
        </is>
      </c>
      <c r="B32" s="8" t="n">
        <v>95.764194</v>
      </c>
      <c r="C32" s="15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9" t="inlineStr">
        <is>
          <t>04/07/2003</t>
        </is>
      </c>
      <c r="B33" s="8" t="n">
        <v>95.681173</v>
      </c>
      <c r="C33" s="15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9" t="inlineStr">
        <is>
          <t>07/07/2003</t>
        </is>
      </c>
      <c r="B34" s="8" t="n">
        <v>95.47362200000001</v>
      </c>
      <c r="C34" s="15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9" t="inlineStr">
        <is>
          <t>08/07/2003</t>
        </is>
      </c>
      <c r="B35" s="8" t="n">
        <v>95.764194</v>
      </c>
      <c r="C35" s="15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9" t="inlineStr">
        <is>
          <t>10/07/2003</t>
        </is>
      </c>
      <c r="B36" s="8" t="n">
        <v>95.930235</v>
      </c>
      <c r="C36" s="15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9" t="inlineStr">
        <is>
          <t>11/07/2003</t>
        </is>
      </c>
      <c r="B37" s="8" t="n">
        <v>95.84721399999999</v>
      </c>
      <c r="C37" s="15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9" t="inlineStr">
        <is>
          <t>14/07/2003</t>
        </is>
      </c>
      <c r="B38" s="8" t="n">
        <v>95.84721399999999</v>
      </c>
      <c r="C38" s="15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9" t="inlineStr">
        <is>
          <t>15/07/2003</t>
        </is>
      </c>
      <c r="B39" s="8" t="n">
        <v>95.80570400000001</v>
      </c>
      <c r="C39" s="15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9" t="inlineStr">
        <is>
          <t>16/07/2003</t>
        </is>
      </c>
      <c r="B40" s="8" t="n">
        <v>95.88872499999999</v>
      </c>
      <c r="C40" s="15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9" t="inlineStr">
        <is>
          <t>17/07/2003</t>
        </is>
      </c>
      <c r="B41" s="8" t="n">
        <v>96.096276</v>
      </c>
      <c r="C41" s="15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9" t="inlineStr">
        <is>
          <t>18/07/2003</t>
        </is>
      </c>
      <c r="B42" s="8" t="n">
        <v>97.051012</v>
      </c>
      <c r="C42" s="15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9" t="inlineStr">
        <is>
          <t>21/07/2003</t>
        </is>
      </c>
      <c r="B43" s="8" t="n">
        <v>98.25481000000001</v>
      </c>
      <c r="C43" s="15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9" t="inlineStr">
        <is>
          <t>22/07/2003</t>
        </is>
      </c>
      <c r="B44" s="8" t="n">
        <v>98.877464</v>
      </c>
      <c r="C44" s="15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9" t="inlineStr">
        <is>
          <t>23/07/2003</t>
        </is>
      </c>
      <c r="B45" s="8" t="n">
        <v>99.873711</v>
      </c>
      <c r="C45" s="15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9" t="inlineStr">
        <is>
          <t>24/07/2003</t>
        </is>
      </c>
      <c r="B46" s="8" t="n">
        <v>101.783183</v>
      </c>
      <c r="C46" s="15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9" t="inlineStr">
        <is>
          <t>25/07/2003</t>
        </is>
      </c>
      <c r="B47" s="8" t="n">
        <v>103.194532</v>
      </c>
      <c r="C47" s="15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9" t="inlineStr">
        <is>
          <t>28/07/2003</t>
        </is>
      </c>
      <c r="B48" s="8" t="n">
        <v>105.477597</v>
      </c>
      <c r="C48" s="15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9" t="inlineStr">
        <is>
          <t>29/07/2003</t>
        </is>
      </c>
      <c r="B49" s="8" t="n">
        <v>107.096498</v>
      </c>
      <c r="C49" s="15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9" t="inlineStr">
        <is>
          <t>30/07/2003</t>
        </is>
      </c>
      <c r="B50" s="8" t="n">
        <v>109.960706</v>
      </c>
      <c r="C50" s="15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9" t="inlineStr">
        <is>
          <t>31/07/2003</t>
        </is>
      </c>
      <c r="B51" s="8" t="n">
        <v>113.073977</v>
      </c>
      <c r="C51" s="15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9" t="inlineStr">
        <is>
          <t>01/08/2003</t>
        </is>
      </c>
      <c r="B52" s="8" t="n">
        <v>115.085757</v>
      </c>
      <c r="C52" s="15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9" t="inlineStr">
        <is>
          <t>04/08/2003</t>
        </is>
      </c>
      <c r="B53" s="8" t="n">
        <v>117.401532</v>
      </c>
      <c r="C53" s="15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9" t="inlineStr">
        <is>
          <t>05/08/2003</t>
        </is>
      </c>
      <c r="B54" s="8" t="n">
        <v>119.965426</v>
      </c>
      <c r="C54" s="15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9" t="inlineStr">
        <is>
          <t>06/08/2003</t>
        </is>
      </c>
      <c r="B55" s="8" t="n">
        <v>122.653379</v>
      </c>
      <c r="C55" s="15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9" t="inlineStr">
        <is>
          <t>07/08/2003</t>
        </is>
      </c>
      <c r="B56" s="8" t="n">
        <v>124.721036</v>
      </c>
      <c r="C56" s="15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9" t="inlineStr">
        <is>
          <t>08/08/2003</t>
        </is>
      </c>
      <c r="B57" s="8" t="n">
        <v>124.845095</v>
      </c>
      <c r="C57" s="15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9" t="inlineStr">
        <is>
          <t>11/08/2003</t>
        </is>
      </c>
      <c r="B58" s="8" t="n">
        <v>124.638329</v>
      </c>
      <c r="C58" s="15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9" t="inlineStr">
        <is>
          <t>12/08/2003</t>
        </is>
      </c>
      <c r="B59" s="8" t="n">
        <v>125.010508</v>
      </c>
      <c r="C59" s="15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9" t="inlineStr">
        <is>
          <t>13/08/2003</t>
        </is>
      </c>
      <c r="B60" s="8" t="n">
        <v>124.969154</v>
      </c>
      <c r="C60" s="15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9" t="inlineStr">
        <is>
          <t>14/08/2003</t>
        </is>
      </c>
      <c r="B61" s="8" t="n">
        <v>125.424039</v>
      </c>
      <c r="C61" s="15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9" t="inlineStr">
        <is>
          <t>15/08/2003</t>
        </is>
      </c>
      <c r="B62" s="8" t="n">
        <v>123.769914</v>
      </c>
      <c r="C62" s="15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9" t="inlineStr">
        <is>
          <t>18/08/2003</t>
        </is>
      </c>
      <c r="B63" s="8" t="n">
        <v>123.066911</v>
      </c>
      <c r="C63" s="15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9" t="inlineStr">
        <is>
          <t>19/08/2003</t>
        </is>
      </c>
      <c r="B64" s="8" t="n">
        <v>124.100739</v>
      </c>
      <c r="C64" s="15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9" t="inlineStr">
        <is>
          <t>20/08/2003</t>
        </is>
      </c>
      <c r="B65" s="8" t="n">
        <v>123.976679</v>
      </c>
      <c r="C65" s="15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9" t="inlineStr">
        <is>
          <t>21/08/2003</t>
        </is>
      </c>
      <c r="B66" s="8" t="n">
        <v>123.232323</v>
      </c>
      <c r="C66" s="15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9" t="inlineStr">
        <is>
          <t>22/08/2003</t>
        </is>
      </c>
      <c r="B67" s="8" t="n">
        <v>123.149617</v>
      </c>
      <c r="C67" s="15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9" t="inlineStr">
        <is>
          <t>25/08/2003</t>
        </is>
      </c>
      <c r="B68" s="8" t="n">
        <v>120.337604</v>
      </c>
      <c r="C68" s="15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9" t="inlineStr">
        <is>
          <t>26/08/2003</t>
        </is>
      </c>
      <c r="B69" s="8" t="n">
        <v>118.600773</v>
      </c>
      <c r="C69" s="15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9" t="inlineStr">
        <is>
          <t>27/08/2003</t>
        </is>
      </c>
      <c r="B70" s="8" t="n">
        <v>117.815063</v>
      </c>
      <c r="C70" s="15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9" t="inlineStr">
        <is>
          <t>28/08/2003</t>
        </is>
      </c>
      <c r="B71" s="8" t="n">
        <v>116.946648</v>
      </c>
      <c r="C71" s="15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9" t="inlineStr">
        <is>
          <t>29/08/2003</t>
        </is>
      </c>
      <c r="B72" s="8" t="n">
        <v>114.300047</v>
      </c>
      <c r="C72" s="15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9" t="inlineStr">
        <is>
          <t>01/09/2003</t>
        </is>
      </c>
      <c r="B73" s="8" t="n">
        <v>112.435715</v>
      </c>
      <c r="C73" s="15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9" t="inlineStr">
        <is>
          <t>02/09/2003</t>
        </is>
      </c>
      <c r="B74" s="8" t="n">
        <v>111.822652</v>
      </c>
      <c r="C74" s="15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9" t="inlineStr">
        <is>
          <t>03/09/2003</t>
        </is>
      </c>
      <c r="B75" s="8" t="n">
        <v>110.678269</v>
      </c>
      <c r="C75" s="15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9" t="inlineStr">
        <is>
          <t>04/09/2003</t>
        </is>
      </c>
      <c r="B76" s="8" t="n">
        <v>108.798209</v>
      </c>
      <c r="C76" s="15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9" t="inlineStr">
        <is>
          <t>05/09/2003</t>
        </is>
      </c>
      <c r="B77" s="8" t="n">
        <v>105.814637</v>
      </c>
      <c r="C77" s="15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9" t="inlineStr">
        <is>
          <t>08/09/2003</t>
        </is>
      </c>
      <c r="B78" s="8" t="n">
        <v>106.059862</v>
      </c>
      <c r="C78" s="15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9" t="inlineStr">
        <is>
          <t>09/09/2003</t>
        </is>
      </c>
      <c r="B79" s="8" t="n">
        <v>104.05719</v>
      </c>
      <c r="C79" s="15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9" t="inlineStr">
        <is>
          <t>10/09/2003</t>
        </is>
      </c>
      <c r="B80" s="8" t="n">
        <v>103.444128</v>
      </c>
      <c r="C80" s="15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9" t="inlineStr">
        <is>
          <t>11/09/2003</t>
        </is>
      </c>
      <c r="B81" s="8" t="n">
        <v>100.991877</v>
      </c>
      <c r="C81" s="15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9" t="inlineStr">
        <is>
          <t>12/09/2003</t>
        </is>
      </c>
      <c r="B82" s="8" t="n">
        <v>100.133589</v>
      </c>
      <c r="C82" s="15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9" t="inlineStr">
        <is>
          <t>15/09/2003</t>
        </is>
      </c>
      <c r="B83" s="8" t="n">
        <v>99.76575099999999</v>
      </c>
      <c r="C83" s="15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9" t="inlineStr">
        <is>
          <t>16/09/2003</t>
        </is>
      </c>
      <c r="B84" s="8" t="n">
        <v>99.438784</v>
      </c>
      <c r="C84" s="15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9" t="inlineStr">
        <is>
          <t>17/09/2003</t>
        </is>
      </c>
      <c r="B85" s="8" t="n">
        <v>99.23443</v>
      </c>
      <c r="C85" s="15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9" t="inlineStr">
        <is>
          <t>18/09/2003</t>
        </is>
      </c>
      <c r="B86" s="8" t="n">
        <v>97.640467</v>
      </c>
      <c r="C86" s="15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9" t="inlineStr">
        <is>
          <t>19/09/2003</t>
        </is>
      </c>
      <c r="B87" s="8" t="n">
        <v>94.49341099999999</v>
      </c>
      <c r="C87" s="15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9" t="inlineStr">
        <is>
          <t>22/09/2003</t>
        </is>
      </c>
      <c r="B88" s="8" t="n">
        <v>93.47163999999999</v>
      </c>
      <c r="C88" s="15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9" t="inlineStr">
        <is>
          <t>23/09/2003</t>
        </is>
      </c>
      <c r="B89" s="8" t="n">
        <v>91.55071</v>
      </c>
      <c r="C89" s="15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9" t="inlineStr">
        <is>
          <t>24/09/2003</t>
        </is>
      </c>
      <c r="B90" s="8" t="n">
        <v>91.060259</v>
      </c>
      <c r="C90" s="15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9" t="inlineStr">
        <is>
          <t>25/09/2003</t>
        </is>
      </c>
      <c r="B91" s="8" t="n">
        <v>90.56980900000001</v>
      </c>
      <c r="C91" s="15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9" t="inlineStr">
        <is>
          <t>26/09/2003</t>
        </is>
      </c>
      <c r="B92" s="8" t="n">
        <v>89.016717</v>
      </c>
      <c r="C92" s="15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9" t="inlineStr">
        <is>
          <t>29/09/2003</t>
        </is>
      </c>
      <c r="B93" s="8" t="n">
        <v>88.444525</v>
      </c>
      <c r="C93" s="15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9" t="inlineStr">
        <is>
          <t>30/09/2003</t>
        </is>
      </c>
      <c r="B94" s="8" t="n">
        <v>87.25927</v>
      </c>
      <c r="C94" s="15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9" t="inlineStr">
        <is>
          <t>01/10/2003</t>
        </is>
      </c>
      <c r="B95" s="8" t="n">
        <v>86.68464299999999</v>
      </c>
      <c r="C95" s="15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9" t="inlineStr">
        <is>
          <t>02/10/2003</t>
        </is>
      </c>
      <c r="B96" s="8" t="n">
        <v>87.173237</v>
      </c>
      <c r="C96" s="15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9" t="inlineStr">
        <is>
          <t>03/10/2003</t>
        </is>
      </c>
      <c r="B97" s="8" t="n">
        <v>87.539682</v>
      </c>
      <c r="C97" s="15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9" t="inlineStr">
        <is>
          <t>06/10/2003</t>
        </is>
      </c>
      <c r="B98" s="8" t="n">
        <v>88.761166</v>
      </c>
      <c r="C98" s="15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9" t="inlineStr">
        <is>
          <t>07/10/2003</t>
        </is>
      </c>
      <c r="B99" s="8" t="n">
        <v>89.127611</v>
      </c>
      <c r="C99" s="15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9" t="inlineStr">
        <is>
          <t>08/10/2003</t>
        </is>
      </c>
      <c r="B100" s="8" t="n">
        <v>89.534772</v>
      </c>
      <c r="C100" s="15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9" t="inlineStr">
        <is>
          <t>09/10/2003</t>
        </is>
      </c>
      <c r="B101" s="8" t="n">
        <v>89.20904299999999</v>
      </c>
      <c r="C101" s="15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9" t="inlineStr">
        <is>
          <t>10/10/2003</t>
        </is>
      </c>
      <c r="B102" s="8" t="n">
        <v>88.842598</v>
      </c>
      <c r="C102" s="15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9" t="inlineStr">
        <is>
          <t>13/10/2003</t>
        </is>
      </c>
      <c r="B103" s="8" t="n">
        <v>88.59830100000001</v>
      </c>
      <c r="C103" s="15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9" t="inlineStr">
        <is>
          <t>14/10/2003</t>
        </is>
      </c>
      <c r="B104" s="8" t="n">
        <v>88.394721</v>
      </c>
      <c r="C104" s="15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9" t="inlineStr">
        <is>
          <t>15/10/2003</t>
        </is>
      </c>
      <c r="B105" s="8" t="n">
        <v>88.06899199999999</v>
      </c>
      <c r="C105" s="15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9" t="inlineStr">
        <is>
          <t>16/10/2003</t>
        </is>
      </c>
      <c r="B106" s="8" t="n">
        <v>87.906127</v>
      </c>
      <c r="C106" s="15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9" t="inlineStr">
        <is>
          <t>17/10/2003</t>
        </is>
      </c>
      <c r="B107" s="8" t="n">
        <v>86.88822399999999</v>
      </c>
      <c r="C107" s="15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9" t="inlineStr">
        <is>
          <t>20/10/2003</t>
        </is>
      </c>
      <c r="B108" s="8" t="n">
        <v>85.91103699999999</v>
      </c>
      <c r="C108" s="15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9" t="inlineStr">
        <is>
          <t>21/10/2003</t>
        </is>
      </c>
      <c r="B109" s="8" t="n">
        <v>85.585308</v>
      </c>
      <c r="C109" s="15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9" t="inlineStr">
        <is>
          <t>22/10/2003</t>
        </is>
      </c>
      <c r="B110" s="8" t="n">
        <v>85.34101099999999</v>
      </c>
      <c r="C110" s="15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9" t="inlineStr">
        <is>
          <t>23/10/2003</t>
        </is>
      </c>
      <c r="B111" s="8" t="n">
        <v>84.40454</v>
      </c>
      <c r="C111" s="15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9" t="inlineStr">
        <is>
          <t>24/10/2003</t>
        </is>
      </c>
      <c r="B112" s="8" t="n">
        <v>83.345921</v>
      </c>
      <c r="C112" s="15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9" t="inlineStr">
        <is>
          <t>27/10/2003</t>
        </is>
      </c>
      <c r="B113" s="8" t="n">
        <v>83.223772</v>
      </c>
      <c r="C113" s="15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9" t="inlineStr">
        <is>
          <t>28/10/2003</t>
        </is>
      </c>
      <c r="B114" s="8" t="n">
        <v>81.676559</v>
      </c>
      <c r="C114" s="15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9" t="inlineStr">
        <is>
          <t>29/10/2003</t>
        </is>
      </c>
      <c r="B115" s="8" t="n">
        <v>81.63584299999999</v>
      </c>
      <c r="C115" s="15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9" t="inlineStr">
        <is>
          <t>30/10/2003</t>
        </is>
      </c>
      <c r="B116" s="8" t="n">
        <v>81.513695</v>
      </c>
      <c r="C116" s="15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9" t="inlineStr">
        <is>
          <t>31/10/2003</t>
        </is>
      </c>
      <c r="B117" s="8" t="n">
        <v>80.373643</v>
      </c>
      <c r="C117" s="15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9" t="inlineStr">
        <is>
          <t>03/11/2003</t>
        </is>
      </c>
      <c r="B118" s="8" t="n">
        <v>79.90069699999999</v>
      </c>
      <c r="C118" s="15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9" t="inlineStr">
        <is>
          <t>04/11/2003</t>
        </is>
      </c>
      <c r="B119" s="8" t="n">
        <v>79.90069699999999</v>
      </c>
      <c r="C119" s="15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9" t="inlineStr">
        <is>
          <t>05/11/2003</t>
        </is>
      </c>
      <c r="B120" s="8" t="n">
        <v>79.73862699999999</v>
      </c>
      <c r="C120" s="15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9" t="inlineStr">
        <is>
          <t>06/11/2003</t>
        </is>
      </c>
      <c r="B121" s="8" t="n">
        <v>80.18432</v>
      </c>
      <c r="C121" s="15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9" t="inlineStr">
        <is>
          <t>07/11/2003</t>
        </is>
      </c>
      <c r="B122" s="8" t="n">
        <v>81.602436</v>
      </c>
      <c r="C122" s="15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9" t="inlineStr">
        <is>
          <t>10/11/2003</t>
        </is>
      </c>
      <c r="B123" s="8" t="n">
        <v>81.723989</v>
      </c>
      <c r="C123" s="15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9" t="inlineStr">
        <is>
          <t>11/11/2003</t>
        </is>
      </c>
      <c r="B124" s="8" t="n">
        <v>82.16968300000001</v>
      </c>
      <c r="C124" s="15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9" t="inlineStr">
        <is>
          <t>12/11/2003</t>
        </is>
      </c>
      <c r="B125" s="8" t="n">
        <v>82.2102</v>
      </c>
      <c r="C125" s="15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9" t="inlineStr">
        <is>
          <t>13/11/2003</t>
        </is>
      </c>
      <c r="B126" s="8" t="n">
        <v>81.602436</v>
      </c>
      <c r="C126" s="15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9" t="inlineStr">
        <is>
          <t>14/11/2003</t>
        </is>
      </c>
      <c r="B127" s="8" t="n">
        <v>82.16968300000001</v>
      </c>
      <c r="C127" s="15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9" t="inlineStr">
        <is>
          <t>17/11/2003</t>
        </is>
      </c>
      <c r="B128" s="8" t="n">
        <v>82.41278800000001</v>
      </c>
      <c r="C128" s="15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9" t="inlineStr">
        <is>
          <t>18/11/2003</t>
        </is>
      </c>
      <c r="B129" s="8" t="n">
        <v>82.655894</v>
      </c>
      <c r="C129" s="15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9" t="inlineStr">
        <is>
          <t>19/11/2003</t>
        </is>
      </c>
      <c r="B130" s="8" t="n">
        <v>82.939517</v>
      </c>
      <c r="C130" s="15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9" t="inlineStr">
        <is>
          <t>20/11/2003</t>
        </is>
      </c>
      <c r="B131" s="8" t="n">
        <v>83.26365800000001</v>
      </c>
      <c r="C131" s="15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9" t="inlineStr">
        <is>
          <t>21/11/2003</t>
        </is>
      </c>
      <c r="B132" s="8" t="n">
        <v>83.709351</v>
      </c>
      <c r="C132" s="15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9" t="inlineStr">
        <is>
          <t>24/11/2003</t>
        </is>
      </c>
      <c r="B133" s="8" t="n">
        <v>84.39815</v>
      </c>
      <c r="C133" s="15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9" t="inlineStr">
        <is>
          <t>25/11/2003</t>
        </is>
      </c>
      <c r="B134" s="8" t="n">
        <v>85.086949</v>
      </c>
      <c r="C134" s="15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9" t="inlineStr">
        <is>
          <t>26/11/2003</t>
        </is>
      </c>
      <c r="B135" s="8" t="n">
        <v>85.208502</v>
      </c>
      <c r="C135" s="15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9" t="inlineStr">
        <is>
          <t>27/11/2003</t>
        </is>
      </c>
      <c r="B136" s="8" t="n">
        <v>85.127467</v>
      </c>
      <c r="C136" s="15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9" t="inlineStr">
        <is>
          <t>28/11/2003</t>
        </is>
      </c>
      <c r="B137" s="8" t="n">
        <v>85.127467</v>
      </c>
      <c r="C137" s="15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9" t="inlineStr">
        <is>
          <t>01/12/2003</t>
        </is>
      </c>
      <c r="B138" s="8" t="n">
        <v>84.73215399999999</v>
      </c>
      <c r="C138" s="15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9" t="inlineStr">
        <is>
          <t>02/12/2003</t>
        </is>
      </c>
      <c r="B139" s="8" t="n">
        <v>85.90004</v>
      </c>
      <c r="C139" s="15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9" t="inlineStr">
        <is>
          <t>03/12/2003</t>
        </is>
      </c>
      <c r="B140" s="8" t="n">
        <v>85.416777</v>
      </c>
      <c r="C140" s="15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9" t="inlineStr">
        <is>
          <t>04/12/2003</t>
        </is>
      </c>
      <c r="B141" s="8" t="n">
        <v>85.859768</v>
      </c>
      <c r="C141" s="15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9" t="inlineStr">
        <is>
          <t>05/12/2003</t>
        </is>
      </c>
      <c r="B142" s="8" t="n">
        <v>85.94031200000001</v>
      </c>
      <c r="C142" s="15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9" t="inlineStr">
        <is>
          <t>08/12/2003</t>
        </is>
      </c>
      <c r="B143" s="8" t="n">
        <v>87.188742</v>
      </c>
      <c r="C143" s="15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9" t="inlineStr">
        <is>
          <t>09/12/2003</t>
        </is>
      </c>
      <c r="B144" s="8" t="n">
        <v>87.188742</v>
      </c>
      <c r="C144" s="15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9" t="inlineStr">
        <is>
          <t>10/12/2003</t>
        </is>
      </c>
      <c r="B145" s="8" t="n">
        <v>87.027654</v>
      </c>
      <c r="C145" s="15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9" t="inlineStr">
        <is>
          <t>11/12/2003</t>
        </is>
      </c>
      <c r="B146" s="8" t="n">
        <v>86.94711</v>
      </c>
      <c r="C146" s="15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9" t="inlineStr">
        <is>
          <t>12/12/2003</t>
        </is>
      </c>
      <c r="B147" s="8" t="n">
        <v>86.62493499999999</v>
      </c>
      <c r="C147" s="15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9" t="inlineStr">
        <is>
          <t>15/12/2003</t>
        </is>
      </c>
      <c r="B148" s="8" t="n">
        <v>86.987382</v>
      </c>
      <c r="C148" s="15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9" t="inlineStr">
        <is>
          <t>16/12/2003</t>
        </is>
      </c>
      <c r="B149" s="8" t="n">
        <v>86.463847</v>
      </c>
      <c r="C149" s="15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9" t="inlineStr">
        <is>
          <t>17/12/2003</t>
        </is>
      </c>
      <c r="B150" s="8" t="n">
        <v>86.705479</v>
      </c>
      <c r="C150" s="15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9" t="inlineStr">
        <is>
          <t>18/12/2003</t>
        </is>
      </c>
      <c r="B151" s="8" t="n">
        <v>87.188742</v>
      </c>
      <c r="C151" s="15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9" t="inlineStr">
        <is>
          <t>19/12/2003</t>
        </is>
      </c>
      <c r="B152" s="8" t="n">
        <v>86.141671</v>
      </c>
      <c r="C152" s="15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9" t="inlineStr">
        <is>
          <t>22/12/2003</t>
        </is>
      </c>
      <c r="B153" s="8" t="n">
        <v>86.181943</v>
      </c>
      <c r="C153" s="15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9" t="inlineStr">
        <is>
          <t>23/12/2003</t>
        </is>
      </c>
      <c r="B154" s="8" t="n">
        <v>86.826294</v>
      </c>
      <c r="C154" s="15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9" t="inlineStr">
        <is>
          <t>26/12/2003</t>
        </is>
      </c>
      <c r="B155" s="8" t="n">
        <v>85.65840799999999</v>
      </c>
      <c r="C155" s="15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9" t="inlineStr">
        <is>
          <t>29/12/2003</t>
        </is>
      </c>
      <c r="B156" s="8" t="n">
        <v>85.37650499999999</v>
      </c>
      <c r="C156" s="15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9" t="inlineStr">
        <is>
          <t>30/12/2003</t>
        </is>
      </c>
      <c r="B157" s="8" t="n">
        <v>85.255689</v>
      </c>
      <c r="C157" s="15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9" t="inlineStr">
        <is>
          <t>02/01/2004</t>
        </is>
      </c>
      <c r="B158" s="8" t="n">
        <v>83.633729</v>
      </c>
      <c r="C158" s="15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9" t="inlineStr">
        <is>
          <t>05/01/2004</t>
        </is>
      </c>
      <c r="B159" s="8" t="n">
        <v>83.314364</v>
      </c>
      <c r="C159" s="15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9" t="inlineStr">
        <is>
          <t>06/01/2004</t>
        </is>
      </c>
      <c r="B160" s="8" t="n">
        <v>83.833333</v>
      </c>
      <c r="C160" s="15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9" t="inlineStr">
        <is>
          <t>07/01/2004</t>
        </is>
      </c>
      <c r="B161" s="8" t="n">
        <v>83.67364999999999</v>
      </c>
      <c r="C161" s="15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9" t="inlineStr">
        <is>
          <t>08/01/2004</t>
        </is>
      </c>
      <c r="B162" s="8" t="n">
        <v>83.394206</v>
      </c>
      <c r="C162" s="15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9" t="inlineStr">
        <is>
          <t>09/01/2004</t>
        </is>
      </c>
      <c r="B163" s="8" t="n">
        <v>83.59380899999999</v>
      </c>
      <c r="C163" s="15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9" t="inlineStr">
        <is>
          <t>12/01/2004</t>
        </is>
      </c>
      <c r="B164" s="8" t="n">
        <v>83.114761</v>
      </c>
      <c r="C164" s="15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9" t="inlineStr">
        <is>
          <t>13/01/2004</t>
        </is>
      </c>
      <c r="B165" s="8" t="n">
        <v>82.515952</v>
      </c>
      <c r="C165" s="15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9" t="inlineStr">
        <is>
          <t>14/01/2004</t>
        </is>
      </c>
      <c r="B166" s="8" t="n">
        <v>81.877222</v>
      </c>
      <c r="C166" s="15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9" t="inlineStr">
        <is>
          <t>15/01/2004</t>
        </is>
      </c>
      <c r="B167" s="8" t="n">
        <v>81.118729</v>
      </c>
      <c r="C167" s="15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9" t="inlineStr">
        <is>
          <t>16/01/2004</t>
        </is>
      </c>
      <c r="B168" s="8" t="n">
        <v>78.843253</v>
      </c>
      <c r="C168" s="15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9" t="inlineStr">
        <is>
          <t>19/01/2004</t>
        </is>
      </c>
      <c r="B169" s="8" t="n">
        <v>77.126666</v>
      </c>
      <c r="C169" s="15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9" t="inlineStr">
        <is>
          <t>20/01/2004</t>
        </is>
      </c>
      <c r="B170" s="8" t="n">
        <v>76.887142</v>
      </c>
      <c r="C170" s="15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9" t="inlineStr">
        <is>
          <t>21/01/2004</t>
        </is>
      </c>
      <c r="B171" s="8" t="n">
        <v>75.769364</v>
      </c>
      <c r="C171" s="15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9" t="inlineStr">
        <is>
          <t>22/01/2004</t>
        </is>
      </c>
      <c r="B172" s="8" t="n">
        <v>74.85119</v>
      </c>
      <c r="C172" s="15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9" t="inlineStr">
        <is>
          <t>23/01/2004</t>
        </is>
      </c>
      <c r="B173" s="8" t="n">
        <v>74.13261799999999</v>
      </c>
      <c r="C173" s="15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9" t="inlineStr">
        <is>
          <t>26/01/2004</t>
        </is>
      </c>
      <c r="B174" s="8" t="n">
        <v>73.77333299999999</v>
      </c>
      <c r="C174" s="15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9" t="inlineStr">
        <is>
          <t>27/01/2004</t>
        </is>
      </c>
      <c r="B175" s="8" t="n">
        <v>72.416031</v>
      </c>
      <c r="C175" s="15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9" t="inlineStr">
        <is>
          <t>28/01/2004</t>
        </is>
      </c>
      <c r="B176" s="8" t="n">
        <v>71.69746000000001</v>
      </c>
      <c r="C176" s="15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9" t="inlineStr">
        <is>
          <t>29/01/2004</t>
        </is>
      </c>
      <c r="B177" s="8" t="n">
        <v>71.497857</v>
      </c>
      <c r="C177" s="15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9" t="inlineStr">
        <is>
          <t>30/01/2004</t>
        </is>
      </c>
      <c r="B178" s="8" t="n">
        <v>71.05873</v>
      </c>
      <c r="C178" s="15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9" t="inlineStr">
        <is>
          <t>02/02/2004</t>
        </is>
      </c>
      <c r="B179" s="8" t="n">
        <v>72.19731400000001</v>
      </c>
      <c r="C179" s="15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9" t="inlineStr">
        <is>
          <t>03/02/2004</t>
        </is>
      </c>
      <c r="B180" s="8" t="n">
        <v>72.435197</v>
      </c>
      <c r="C180" s="15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9" t="inlineStr">
        <is>
          <t>04/02/2004</t>
        </is>
      </c>
      <c r="B181" s="8" t="n">
        <v>72.11802</v>
      </c>
      <c r="C181" s="15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9" t="inlineStr">
        <is>
          <t>05/02/2004</t>
        </is>
      </c>
      <c r="B182" s="8" t="n">
        <v>72.316255</v>
      </c>
      <c r="C182" s="15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9" t="inlineStr">
        <is>
          <t>06/02/2004</t>
        </is>
      </c>
      <c r="B183" s="8" t="n">
        <v>72.355902</v>
      </c>
      <c r="C183" s="15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9" t="inlineStr">
        <is>
          <t>09/02/2004</t>
        </is>
      </c>
      <c r="B184" s="8" t="n">
        <v>72.79201999999999</v>
      </c>
      <c r="C184" s="15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9" t="inlineStr">
        <is>
          <t>10/02/2004</t>
        </is>
      </c>
      <c r="B185" s="8" t="n">
        <v>72.673079</v>
      </c>
      <c r="C185" s="15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9" t="inlineStr">
        <is>
          <t>11/02/2004</t>
        </is>
      </c>
      <c r="B186" s="8" t="n">
        <v>72.673079</v>
      </c>
      <c r="C186" s="15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9" t="inlineStr">
        <is>
          <t>12/02/2004</t>
        </is>
      </c>
      <c r="B187" s="8" t="n">
        <v>72.19731400000001</v>
      </c>
      <c r="C187" s="15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9" t="inlineStr">
        <is>
          <t>13/02/2004</t>
        </is>
      </c>
      <c r="B188" s="8" t="n">
        <v>72.157667</v>
      </c>
      <c r="C188" s="15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9" t="inlineStr">
        <is>
          <t>16/02/2004</t>
        </is>
      </c>
      <c r="B189" s="8" t="n">
        <v>72.19731400000001</v>
      </c>
      <c r="C189" s="15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9" t="inlineStr">
        <is>
          <t>17/02/2004</t>
        </is>
      </c>
      <c r="B190" s="8" t="n">
        <v>71.721549</v>
      </c>
      <c r="C190" s="15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9" t="inlineStr">
        <is>
          <t>18/02/2004</t>
        </is>
      </c>
      <c r="B191" s="8" t="n">
        <v>71.64225500000001</v>
      </c>
      <c r="C191" s="15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9" t="inlineStr">
        <is>
          <t>19/02/2004</t>
        </is>
      </c>
      <c r="B192" s="8" t="n">
        <v>71.12684299999999</v>
      </c>
      <c r="C192" s="15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9" t="inlineStr">
        <is>
          <t>20/02/2004</t>
        </is>
      </c>
      <c r="B193" s="8" t="n">
        <v>70.809667</v>
      </c>
      <c r="C193" s="15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9" t="inlineStr">
        <is>
          <t>25/02/2004</t>
        </is>
      </c>
      <c r="B194" s="8" t="n">
        <v>71.44401999999999</v>
      </c>
      <c r="C194" s="15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9" t="inlineStr">
        <is>
          <t>26/02/2004</t>
        </is>
      </c>
      <c r="B195" s="8" t="n">
        <v>72.157667</v>
      </c>
      <c r="C195" s="15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9" t="inlineStr">
        <is>
          <t>27/02/2004</t>
        </is>
      </c>
      <c r="B196" s="8" t="n">
        <v>72.11802</v>
      </c>
      <c r="C196" s="15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9" t="inlineStr">
        <is>
          <t>01/03/2004</t>
        </is>
      </c>
      <c r="B197" s="8" t="n">
        <v>71.547417</v>
      </c>
      <c r="C197" s="15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9" t="inlineStr">
        <is>
          <t>02/03/2004</t>
        </is>
      </c>
      <c r="B198" s="8" t="n">
        <v>71.821845</v>
      </c>
      <c r="C198" s="15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9" t="inlineStr">
        <is>
          <t>03/03/2004</t>
        </is>
      </c>
      <c r="B199" s="8" t="n">
        <v>71.821845</v>
      </c>
      <c r="C199" s="15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9" t="inlineStr">
        <is>
          <t>04/03/2004</t>
        </is>
      </c>
      <c r="B200" s="8" t="n">
        <v>71.86104899999999</v>
      </c>
      <c r="C200" s="15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9" t="inlineStr">
        <is>
          <t>05/03/2004</t>
        </is>
      </c>
      <c r="B201" s="8" t="n">
        <v>73.15478299999999</v>
      </c>
      <c r="C201" s="15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9" t="inlineStr">
        <is>
          <t>08/03/2004</t>
        </is>
      </c>
      <c r="B202" s="8" t="n">
        <v>74.017273</v>
      </c>
      <c r="C202" s="15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9" t="inlineStr">
        <is>
          <t>09/03/2004</t>
        </is>
      </c>
      <c r="B203" s="8" t="n">
        <v>76.408721</v>
      </c>
      <c r="C203" s="15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9" t="inlineStr">
        <is>
          <t>10/03/2004</t>
        </is>
      </c>
      <c r="B204" s="8" t="n">
        <v>76.251904</v>
      </c>
      <c r="C204" s="15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9" t="inlineStr">
        <is>
          <t>11/03/2004</t>
        </is>
      </c>
      <c r="B205" s="8" t="n">
        <v>77.702455</v>
      </c>
      <c r="C205" s="15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9" t="inlineStr">
        <is>
          <t>12/03/2004</t>
        </is>
      </c>
      <c r="B206" s="8" t="n">
        <v>78.87857700000001</v>
      </c>
      <c r="C206" s="15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9" t="inlineStr">
        <is>
          <t>15/03/2004</t>
        </is>
      </c>
      <c r="B207" s="8" t="n">
        <v>80.72116800000001</v>
      </c>
      <c r="C207" s="15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9" t="inlineStr">
        <is>
          <t>16/03/2004</t>
        </is>
      </c>
      <c r="B208" s="8" t="n">
        <v>82.642167</v>
      </c>
      <c r="C208" s="15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9" t="inlineStr">
        <is>
          <t>17/03/2004</t>
        </is>
      </c>
      <c r="B209" s="8" t="n">
        <v>84.79839</v>
      </c>
      <c r="C209" s="15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9" t="inlineStr">
        <is>
          <t>18/03/2004</t>
        </is>
      </c>
      <c r="B210" s="8" t="n">
        <v>85.700084</v>
      </c>
      <c r="C210" s="15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9" t="inlineStr">
        <is>
          <t>19/03/2004</t>
        </is>
      </c>
      <c r="B211" s="8" t="n">
        <v>86.40575699999999</v>
      </c>
      <c r="C211" s="15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9" t="inlineStr">
        <is>
          <t>22/03/2004</t>
        </is>
      </c>
      <c r="B212" s="8" t="n">
        <v>89.267653</v>
      </c>
      <c r="C212" s="15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9" t="inlineStr">
        <is>
          <t>23/03/2004</t>
        </is>
      </c>
      <c r="B213" s="8" t="n">
        <v>92.247162</v>
      </c>
      <c r="C213" s="15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9" t="inlineStr">
        <is>
          <t>24/03/2004</t>
        </is>
      </c>
      <c r="B214" s="8" t="n">
        <v>94.560202</v>
      </c>
      <c r="C214" s="15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9" t="inlineStr">
        <is>
          <t>25/03/2004</t>
        </is>
      </c>
      <c r="B215" s="8" t="n">
        <v>98.990261</v>
      </c>
      <c r="C215" s="15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9" t="inlineStr">
        <is>
          <t>26/03/2004</t>
        </is>
      </c>
      <c r="B216" s="8" t="n">
        <v>100.676036</v>
      </c>
      <c r="C216" s="15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9" t="inlineStr">
        <is>
          <t>29/03/2004</t>
        </is>
      </c>
      <c r="B217" s="8" t="n">
        <v>101.812954</v>
      </c>
      <c r="C217" s="15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9" t="inlineStr">
        <is>
          <t>30/03/2004</t>
        </is>
      </c>
      <c r="B218" s="8" t="n">
        <v>102.83226</v>
      </c>
      <c r="C218" s="15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9" t="inlineStr">
        <is>
          <t>31/03/2004</t>
        </is>
      </c>
      <c r="B219" s="8" t="n">
        <v>105.34132</v>
      </c>
      <c r="C219" s="15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9" t="inlineStr">
        <is>
          <t>01/04/2004</t>
        </is>
      </c>
      <c r="B220" s="8" t="n">
        <v>105.670078</v>
      </c>
      <c r="C220" s="15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9" t="inlineStr">
        <is>
          <t>02/04/2004</t>
        </is>
      </c>
      <c r="B221" s="8" t="n">
        <v>109.58235</v>
      </c>
      <c r="C221" s="15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9" t="inlineStr">
        <is>
          <t>05/04/2004</t>
        </is>
      </c>
      <c r="B222" s="8" t="n">
        <v>111.441648</v>
      </c>
      <c r="C222" s="15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9" t="inlineStr">
        <is>
          <t>06/04/2004</t>
        </is>
      </c>
      <c r="B223" s="8" t="n">
        <v>112.487503</v>
      </c>
      <c r="C223" s="15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9" t="inlineStr">
        <is>
          <t>07/04/2004</t>
        </is>
      </c>
      <c r="B224" s="8" t="n">
        <v>112.564973</v>
      </c>
      <c r="C224" s="15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9" t="inlineStr">
        <is>
          <t>08/04/2004</t>
        </is>
      </c>
      <c r="B225" s="8" t="n">
        <v>112.293826034</v>
      </c>
      <c r="C225" s="15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9" t="inlineStr">
        <is>
          <t>12/04/2004</t>
        </is>
      </c>
      <c r="B226" s="8" t="n">
        <v>113.184739452</v>
      </c>
      <c r="C226" s="15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9" t="inlineStr">
        <is>
          <t>13/04/2004</t>
        </is>
      </c>
      <c r="B227" s="8" t="n">
        <v>114.036917504</v>
      </c>
      <c r="C227" s="15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9" t="inlineStr">
        <is>
          <t>14/04/2004</t>
        </is>
      </c>
      <c r="B228" s="8" t="n">
        <v>114.036917504</v>
      </c>
      <c r="C228" s="15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9" t="inlineStr">
        <is>
          <t>15/04/2004</t>
        </is>
      </c>
      <c r="B229" s="8" t="n">
        <v>113.610828478</v>
      </c>
      <c r="C229" s="15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9" t="inlineStr">
        <is>
          <t>16/04/2004</t>
        </is>
      </c>
      <c r="B230" s="8" t="n">
        <v>111.131765054</v>
      </c>
      <c r="C230" s="15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9" t="inlineStr">
        <is>
          <t>19/04/2004</t>
        </is>
      </c>
      <c r="B231" s="8" t="n">
        <v>110.163380904</v>
      </c>
      <c r="C231" s="15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9" t="inlineStr">
        <is>
          <t>20/04/2004</t>
        </is>
      </c>
      <c r="B232" s="8" t="n">
        <v>111.247971152</v>
      </c>
      <c r="C232" s="15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9" t="inlineStr">
        <is>
          <t>22/04/2004</t>
        </is>
      </c>
      <c r="B233" s="8" t="n">
        <v>108.149141872</v>
      </c>
      <c r="C233" s="15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9" t="inlineStr">
        <is>
          <t>23/04/2004</t>
        </is>
      </c>
      <c r="B234" s="8" t="n">
        <v>107.916729676</v>
      </c>
      <c r="C234" s="15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9" t="inlineStr">
        <is>
          <t>26/04/2004</t>
        </is>
      </c>
      <c r="B235" s="8" t="n">
        <v>106.289844304</v>
      </c>
      <c r="C235" s="15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9" t="inlineStr">
        <is>
          <t>27/04/2004</t>
        </is>
      </c>
      <c r="B236" s="8" t="n">
        <v>103.965722344</v>
      </c>
      <c r="C236" s="15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9" t="inlineStr">
        <is>
          <t>28/04/2004</t>
        </is>
      </c>
      <c r="B237" s="8" t="n">
        <v>99.511155254</v>
      </c>
      <c r="C237" s="15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9" t="inlineStr">
        <is>
          <t>29/04/2004</t>
        </is>
      </c>
      <c r="B238" s="8" t="n">
        <v>97.72932841800001</v>
      </c>
      <c r="C238" s="15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9" t="inlineStr">
        <is>
          <t>30/04/2004</t>
        </is>
      </c>
      <c r="B239" s="8" t="n">
        <v>94.16567474599999</v>
      </c>
      <c r="C239" s="15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9" t="inlineStr">
        <is>
          <t>03/05/2004</t>
        </is>
      </c>
      <c r="B240" s="8" t="n">
        <v>91.6098478636</v>
      </c>
      <c r="C240" s="15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9" t="inlineStr">
        <is>
          <t>04/05/2004</t>
        </is>
      </c>
      <c r="B241" s="8" t="n">
        <v>91.11279944029999</v>
      </c>
      <c r="C241" s="15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9" t="inlineStr">
        <is>
          <t>05/05/2004</t>
        </is>
      </c>
      <c r="B242" s="8" t="n">
        <v>89.9657646173</v>
      </c>
      <c r="C242" s="15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9" t="inlineStr">
        <is>
          <t>06/05/2004</t>
        </is>
      </c>
      <c r="B243" s="8" t="n">
        <v>88.47461934739999</v>
      </c>
      <c r="C243" s="15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9" t="inlineStr">
        <is>
          <t>07/05/2004</t>
        </is>
      </c>
      <c r="B244" s="8" t="n">
        <v>87.74816395949999</v>
      </c>
      <c r="C244" s="15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9" t="inlineStr">
        <is>
          <t>10/05/2004</t>
        </is>
      </c>
      <c r="B245" s="8" t="n">
        <v>87.6334604772</v>
      </c>
      <c r="C245" s="15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9" t="inlineStr">
        <is>
          <t>11/05/2004</t>
        </is>
      </c>
      <c r="B246" s="8" t="n">
        <v>85.95114273679999</v>
      </c>
      <c r="C246" s="15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9" t="inlineStr">
        <is>
          <t>12/05/2004</t>
        </is>
      </c>
      <c r="B247" s="8" t="n">
        <v>85.03351487839998</v>
      </c>
      <c r="C247" s="15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9" t="inlineStr">
        <is>
          <t>13/05/2004</t>
        </is>
      </c>
      <c r="B248" s="8" t="n">
        <v>83.8864800554</v>
      </c>
      <c r="C248" s="15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9" t="inlineStr">
        <is>
          <t>14/05/2004</t>
        </is>
      </c>
      <c r="B249" s="8" t="n">
        <v>83.69530758489999</v>
      </c>
      <c r="C249" s="15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9" t="inlineStr">
        <is>
          <t>17/05/2004</t>
        </is>
      </c>
      <c r="B250" s="8" t="n">
        <v>82.8541487147</v>
      </c>
      <c r="C250" s="15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9" t="inlineStr">
        <is>
          <t>18/05/2004</t>
        </is>
      </c>
      <c r="B251" s="8" t="n">
        <v>81.21006546839999</v>
      </c>
      <c r="C251" s="15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9" t="inlineStr">
        <is>
          <t>19/05/2004</t>
        </is>
      </c>
      <c r="B252" s="8" t="n">
        <v>80.6365480569</v>
      </c>
      <c r="C252" s="15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9" t="inlineStr">
        <is>
          <t>20/05/2004</t>
        </is>
      </c>
      <c r="B253" s="8" t="n">
        <v>81.47770692709999</v>
      </c>
      <c r="C253" s="15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9" t="inlineStr">
        <is>
          <t>21/05/2004</t>
        </is>
      </c>
      <c r="B254" s="8" t="n">
        <v>81.93652085629999</v>
      </c>
      <c r="C254" s="15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9" t="inlineStr">
        <is>
          <t>24/05/2004</t>
        </is>
      </c>
      <c r="B255" s="8" t="n">
        <v>82.6247417501</v>
      </c>
      <c r="C255" s="15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9" t="inlineStr">
        <is>
          <t>25/05/2004</t>
        </is>
      </c>
      <c r="B256" s="8" t="n">
        <v>84.84234240790001</v>
      </c>
      <c r="C256" s="15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9" t="inlineStr">
        <is>
          <t>26/05/2004</t>
        </is>
      </c>
      <c r="B257" s="8" t="n">
        <v>85.98937723089999</v>
      </c>
      <c r="C257" s="15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9" t="inlineStr">
        <is>
          <t>27/05/2004</t>
        </is>
      </c>
      <c r="B258" s="8" t="n">
        <v>87.3275845244</v>
      </c>
      <c r="C258" s="15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9" t="inlineStr">
        <is>
          <t>28/05/2004</t>
        </is>
      </c>
      <c r="B259" s="8" t="n">
        <v>87.8246329477</v>
      </c>
      <c r="C259" s="15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9" t="inlineStr">
        <is>
          <t>31/05/2004</t>
        </is>
      </c>
      <c r="B260" s="8" t="n">
        <v>88.58932282970001</v>
      </c>
      <c r="C260" s="15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9" t="inlineStr">
        <is>
          <t>01/06/2004</t>
        </is>
      </c>
      <c r="B261" s="8" t="n">
        <v>88.81656490649999</v>
      </c>
      <c r="C261" s="15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9" t="inlineStr">
        <is>
          <t>02/06/2004</t>
        </is>
      </c>
      <c r="B262" s="8" t="n">
        <v>92.0976864126</v>
      </c>
      <c r="C262" s="15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9" t="inlineStr">
        <is>
          <t>03/06/2004</t>
        </is>
      </c>
      <c r="B263" s="8" t="n">
        <v>94.0965305485</v>
      </c>
      <c r="C263" s="15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9" t="inlineStr">
        <is>
          <t>04/06/2004</t>
        </is>
      </c>
      <c r="B264" s="8" t="n">
        <v>96.0576606441</v>
      </c>
      <c r="C264" s="15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9" t="inlineStr">
        <is>
          <t>07/06/2004</t>
        </is>
      </c>
      <c r="B265" s="8" t="n">
        <v>97.98107669939999</v>
      </c>
      <c r="C265" s="15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9" t="inlineStr">
        <is>
          <t>08/06/2004</t>
        </is>
      </c>
      <c r="B266" s="8" t="n">
        <v>100.0930629562</v>
      </c>
      <c r="C266" s="15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9" t="inlineStr">
        <is>
          <t>09/06/2004</t>
        </is>
      </c>
      <c r="B267" s="8" t="n">
        <v>101.2621982055</v>
      </c>
      <c r="C267" s="15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9" t="inlineStr">
        <is>
          <t>11/06/2004</t>
        </is>
      </c>
      <c r="B268" s="8" t="n">
        <v>101.7901947697</v>
      </c>
      <c r="C268" s="15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9" t="inlineStr">
        <is>
          <t>14/06/2004</t>
        </is>
      </c>
      <c r="B269" s="8" t="n">
        <v>102.4690474951</v>
      </c>
      <c r="C269" s="15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9" t="inlineStr">
        <is>
          <t>15/06/2004</t>
        </is>
      </c>
      <c r="B270" s="8" t="n">
        <v>102.9970440593</v>
      </c>
      <c r="C270" s="15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9" t="inlineStr">
        <is>
          <t>16/06/2004</t>
        </is>
      </c>
      <c r="B271" s="8" t="n">
        <v>103.0347580996</v>
      </c>
      <c r="C271" s="15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9" t="inlineStr">
        <is>
          <t>17/06/2004</t>
        </is>
      </c>
      <c r="B272" s="8" t="n">
        <v>103.1101861802</v>
      </c>
      <c r="C272" s="15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9" t="inlineStr">
        <is>
          <t>18/06/2004</t>
        </is>
      </c>
      <c r="B273" s="8" t="n">
        <v>102.8084738578</v>
      </c>
      <c r="C273" s="15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9" t="inlineStr">
        <is>
          <t>21/06/2004</t>
        </is>
      </c>
      <c r="B274" s="8" t="n">
        <v>103.1101861802</v>
      </c>
      <c r="C274" s="15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9" t="inlineStr">
        <is>
          <t>22/06/2004</t>
        </is>
      </c>
      <c r="B275" s="8" t="n">
        <v>103.1479002205</v>
      </c>
      <c r="C275" s="15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9" t="inlineStr">
        <is>
          <t>23/06/2004</t>
        </is>
      </c>
      <c r="B276" s="8" t="n">
        <v>103.4873265832</v>
      </c>
      <c r="C276" s="15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9" t="inlineStr">
        <is>
          <t>24/06/2004</t>
        </is>
      </c>
      <c r="B277" s="8" t="n">
        <v>102.2804772936</v>
      </c>
      <c r="C277" s="15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9" t="inlineStr">
        <is>
          <t>25/06/2004</t>
        </is>
      </c>
      <c r="B278" s="8" t="n">
        <v>101.8656228503</v>
      </c>
      <c r="C278" s="15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9" t="inlineStr">
        <is>
          <t>28/06/2004</t>
        </is>
      </c>
      <c r="B279" s="8" t="n">
        <v>101.2999122458</v>
      </c>
      <c r="C279" s="15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9" t="inlineStr">
        <is>
          <t>29/06/2004</t>
        </is>
      </c>
      <c r="B280" s="8" t="n">
        <v>101.450768407</v>
      </c>
      <c r="C280" s="15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9" t="inlineStr">
        <is>
          <t>30/06/2004</t>
        </is>
      </c>
      <c r="B281" s="8" t="n">
        <v>101.073628004</v>
      </c>
      <c r="C281" s="15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9" t="inlineStr">
        <is>
          <t>01/07/2004</t>
        </is>
      </c>
      <c r="B282" s="8" t="n">
        <v>99.022156968</v>
      </c>
      <c r="C282" s="15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9" t="inlineStr">
        <is>
          <t>02/07/2004</t>
        </is>
      </c>
      <c r="B283" s="8" t="n">
        <v>98.5009877208</v>
      </c>
      <c r="C283" s="15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9" t="inlineStr">
        <is>
          <t>05/07/2004</t>
        </is>
      </c>
      <c r="B284" s="8" t="n">
        <v>98.1287239728</v>
      </c>
      <c r="C284" s="15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9" t="inlineStr">
        <is>
          <t>06/07/2004</t>
        </is>
      </c>
      <c r="B285" s="8" t="n">
        <v>99.72945808919999</v>
      </c>
      <c r="C285" s="15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9" t="inlineStr">
        <is>
          <t>07/07/2004</t>
        </is>
      </c>
      <c r="B286" s="8" t="n">
        <v>100.1017218372</v>
      </c>
      <c r="C286" s="15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9" t="inlineStr">
        <is>
          <t>08/07/2004</t>
        </is>
      </c>
      <c r="B287" s="8" t="n">
        <v>100.5484383348</v>
      </c>
      <c r="C287" s="15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9" t="inlineStr">
        <is>
          <t>12/07/2004</t>
        </is>
      </c>
      <c r="B288" s="8" t="n">
        <v>100.6601174592</v>
      </c>
      <c r="C288" s="15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9" t="inlineStr">
        <is>
          <t>13/07/2004</t>
        </is>
      </c>
      <c r="B289" s="8" t="n">
        <v>101.7024559536</v>
      </c>
      <c r="C289" s="15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9" t="inlineStr">
        <is>
          <t>14/07/2004</t>
        </is>
      </c>
      <c r="B290" s="8" t="n">
        <v>102.2236252008</v>
      </c>
      <c r="C290" s="15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9" t="inlineStr">
        <is>
          <t>15/07/2004</t>
        </is>
      </c>
      <c r="B291" s="8" t="n">
        <v>102.8564735724</v>
      </c>
      <c r="C291" s="15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9" t="inlineStr">
        <is>
          <t>16/07/2004</t>
        </is>
      </c>
      <c r="B292" s="8" t="n">
        <v>103.5637746936</v>
      </c>
      <c r="C292" s="15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9" t="inlineStr">
        <is>
          <t>19/07/2004</t>
        </is>
      </c>
      <c r="B293" s="8" t="n">
        <v>104.6433395628</v>
      </c>
      <c r="C293" s="15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9" t="inlineStr">
        <is>
          <t>20/07/2004</t>
        </is>
      </c>
      <c r="B294" s="8" t="n">
        <v>104.6805659376</v>
      </c>
      <c r="C294" s="15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9" t="inlineStr">
        <is>
          <t>21/07/2004</t>
        </is>
      </c>
      <c r="B295" s="8" t="n">
        <v>105.4995461832</v>
      </c>
      <c r="C295" s="15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9" t="inlineStr">
        <is>
          <t>22/07/2004</t>
        </is>
      </c>
      <c r="B296" s="8" t="n">
        <v>105.909036306</v>
      </c>
      <c r="C296" s="15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9" t="inlineStr">
        <is>
          <t>23/07/2004</t>
        </is>
      </c>
      <c r="B297" s="8" t="n">
        <v>106.5791110524</v>
      </c>
      <c r="C297" s="15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9" t="inlineStr">
        <is>
          <t>26/07/2004</t>
        </is>
      </c>
      <c r="B298" s="8" t="n">
        <v>107.3608649232</v>
      </c>
      <c r="C298" s="15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9" t="inlineStr">
        <is>
          <t>27/07/2004</t>
        </is>
      </c>
      <c r="B299" s="8" t="n">
        <v>107.8448077956</v>
      </c>
      <c r="C299" s="15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9" t="inlineStr">
        <is>
          <t>28/07/2004</t>
        </is>
      </c>
      <c r="B300" s="8" t="n">
        <v>108.8499199152</v>
      </c>
      <c r="C300" s="15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9" t="inlineStr">
        <is>
          <t>29/07/2004</t>
        </is>
      </c>
      <c r="B301" s="8" t="n">
        <v>109.2221836632</v>
      </c>
      <c r="C301" s="15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9" t="inlineStr">
        <is>
          <t>30/07/2004</t>
        </is>
      </c>
      <c r="B302" s="8" t="n">
        <v>109.3338627876</v>
      </c>
      <c r="C302" s="15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9" t="inlineStr">
        <is>
          <t>02/08/2004</t>
        </is>
      </c>
      <c r="B303" s="8" t="n">
        <v>108.347065902</v>
      </c>
      <c r="C303" s="15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9" t="inlineStr">
        <is>
          <t>03/08/2004</t>
        </is>
      </c>
      <c r="B304" s="8" t="n">
        <v>109.009064268</v>
      </c>
      <c r="C304" s="15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9" t="inlineStr">
        <is>
          <t>04/08/2004</t>
        </is>
      </c>
      <c r="B305" s="8" t="n">
        <v>109.560729573</v>
      </c>
      <c r="C305" s="15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9" t="inlineStr">
        <is>
          <t>05/08/2004</t>
        </is>
      </c>
      <c r="B306" s="8" t="n">
        <v>110.259505626</v>
      </c>
      <c r="C306" s="15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9" t="inlineStr">
        <is>
          <t>06/08/2004</t>
        </is>
      </c>
      <c r="B307" s="8" t="n">
        <v>110.369838687</v>
      </c>
      <c r="C307" s="15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9" t="inlineStr">
        <is>
          <t>09/08/2004</t>
        </is>
      </c>
      <c r="B308" s="8" t="n">
        <v>110.958281679</v>
      </c>
      <c r="C308" s="15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9" t="inlineStr">
        <is>
          <t>10/08/2004</t>
        </is>
      </c>
      <c r="B309" s="8" t="n">
        <v>110.921503992</v>
      </c>
      <c r="C309" s="15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9" t="inlineStr">
        <is>
          <t>11/08/2004</t>
        </is>
      </c>
      <c r="B310" s="8" t="n">
        <v>110.958281679</v>
      </c>
      <c r="C310" s="15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9" t="inlineStr">
        <is>
          <t>12/08/2004</t>
        </is>
      </c>
      <c r="B311" s="8" t="n">
        <v>110.847948618</v>
      </c>
      <c r="C311" s="15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9" t="inlineStr">
        <is>
          <t>13/08/2004</t>
        </is>
      </c>
      <c r="B312" s="8" t="n">
        <v>111.43639161</v>
      </c>
      <c r="C312" s="15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9" t="inlineStr">
        <is>
          <t>16/08/2004</t>
        </is>
      </c>
      <c r="B313" s="8" t="n">
        <v>110.995059366</v>
      </c>
      <c r="C313" s="15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9" t="inlineStr">
        <is>
          <t>17/08/2004</t>
        </is>
      </c>
      <c r="B314" s="8" t="n">
        <v>111.215725488</v>
      </c>
      <c r="C314" s="15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9" t="inlineStr">
        <is>
          <t>18/08/2004</t>
        </is>
      </c>
      <c r="B315" s="8" t="n">
        <v>110.995059366</v>
      </c>
      <c r="C315" s="15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9" t="inlineStr">
        <is>
          <t>19/08/2004</t>
        </is>
      </c>
      <c r="B316" s="8" t="n">
        <v>111.252503175</v>
      </c>
      <c r="C316" s="15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9" t="inlineStr">
        <is>
          <t>20/08/2004</t>
        </is>
      </c>
      <c r="B317" s="8" t="n">
        <v>111.142170114</v>
      </c>
      <c r="C317" s="15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9" t="inlineStr">
        <is>
          <t>23/08/2004</t>
        </is>
      </c>
      <c r="B318" s="8" t="n">
        <v>111.252503175</v>
      </c>
      <c r="C318" s="15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9" t="inlineStr">
        <is>
          <t>24/08/2004</t>
        </is>
      </c>
      <c r="B319" s="8" t="n">
        <v>110.70083787</v>
      </c>
      <c r="C319" s="15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9" t="inlineStr">
        <is>
          <t>25/08/2004</t>
        </is>
      </c>
      <c r="B320" s="8" t="n">
        <v>109.96528413</v>
      </c>
      <c r="C320" s="15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9" t="inlineStr">
        <is>
          <t>26/08/2004</t>
        </is>
      </c>
      <c r="B321" s="8" t="n">
        <v>110.664060183</v>
      </c>
      <c r="C321" s="15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9" t="inlineStr">
        <is>
          <t>27/08/2004</t>
        </is>
      </c>
      <c r="B322" s="8" t="n">
        <v>109.413618825</v>
      </c>
      <c r="C322" s="15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9" t="inlineStr">
        <is>
          <t>30/08/2004</t>
        </is>
      </c>
      <c r="B323" s="8" t="n">
        <v>108.935508894</v>
      </c>
      <c r="C323" s="15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9" t="inlineStr">
        <is>
          <t>31/08/2004</t>
        </is>
      </c>
      <c r="B324" s="8" t="n">
        <v>108.457398963</v>
      </c>
      <c r="C324" s="15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9" t="inlineStr">
        <is>
          <t>01/09/2004</t>
        </is>
      </c>
      <c r="B325" s="8" t="n">
        <v>107.9333253</v>
      </c>
      <c r="C325" s="15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9" t="inlineStr">
        <is>
          <t>02/09/2004</t>
        </is>
      </c>
      <c r="B326" s="8" t="n">
        <v>108.4812102</v>
      </c>
      <c r="C326" s="15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9" t="inlineStr">
        <is>
          <t>03/09/2004</t>
        </is>
      </c>
      <c r="B327" s="8" t="n">
        <v>108.70036416</v>
      </c>
      <c r="C327" s="15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9" t="inlineStr">
        <is>
          <t>06/09/2004</t>
        </is>
      </c>
      <c r="B328" s="8" t="n">
        <v>108.55426152</v>
      </c>
      <c r="C328" s="15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9" t="inlineStr">
        <is>
          <t>08/09/2004</t>
        </is>
      </c>
      <c r="B329" s="8" t="n">
        <v>108.59078718</v>
      </c>
      <c r="C329" s="15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9" t="inlineStr">
        <is>
          <t>09/09/2004</t>
        </is>
      </c>
      <c r="B330" s="8" t="n">
        <v>108.37163322</v>
      </c>
      <c r="C330" s="15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9" t="inlineStr">
        <is>
          <t>10/09/2004</t>
        </is>
      </c>
      <c r="B331" s="8" t="n">
        <v>107.86027398</v>
      </c>
      <c r="C331" s="15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9" t="inlineStr">
        <is>
          <t>13/09/2004</t>
        </is>
      </c>
      <c r="B332" s="8" t="n">
        <v>107.82374832</v>
      </c>
      <c r="C332" s="15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9" t="inlineStr">
        <is>
          <t>14/09/2004</t>
        </is>
      </c>
      <c r="B333" s="8" t="n">
        <v>106.6549272</v>
      </c>
      <c r="C333" s="15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9" t="inlineStr">
        <is>
          <t>15/09/2004</t>
        </is>
      </c>
      <c r="B334" s="8" t="n">
        <v>106.25314494</v>
      </c>
      <c r="C334" s="15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9" t="inlineStr">
        <is>
          <t>16/09/2004</t>
        </is>
      </c>
      <c r="B335" s="8" t="n">
        <v>104.90169552</v>
      </c>
      <c r="C335" s="15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9" t="inlineStr">
        <is>
          <t>17/09/2004</t>
        </is>
      </c>
      <c r="B336" s="8" t="n">
        <v>104.42686194</v>
      </c>
      <c r="C336" s="15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9" t="inlineStr">
        <is>
          <t>20/09/2004</t>
        </is>
      </c>
      <c r="B337" s="8" t="n">
        <v>104.31728496</v>
      </c>
      <c r="C337" s="15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9" t="inlineStr">
        <is>
          <t>21/09/2004</t>
        </is>
      </c>
      <c r="B338" s="8" t="n">
        <v>103.58677176</v>
      </c>
      <c r="C338" s="15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9" t="inlineStr">
        <is>
          <t>22/09/2004</t>
        </is>
      </c>
      <c r="B339" s="8" t="n">
        <v>102.8197329</v>
      </c>
      <c r="C339" s="15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9" t="inlineStr">
        <is>
          <t>23/09/2004</t>
        </is>
      </c>
      <c r="B340" s="8" t="n">
        <v>102.01616838</v>
      </c>
      <c r="C340" s="15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9" t="inlineStr">
        <is>
          <t>24/09/2004</t>
        </is>
      </c>
      <c r="B341" s="8" t="n">
        <v>102.05269404</v>
      </c>
      <c r="C341" s="15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9" t="inlineStr">
        <is>
          <t>27/09/2004</t>
        </is>
      </c>
      <c r="B342" s="8" t="n">
        <v>100.59166764</v>
      </c>
      <c r="C342" s="15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9" t="inlineStr">
        <is>
          <t>28/09/2004</t>
        </is>
      </c>
      <c r="B343" s="8" t="n">
        <v>100.37251368</v>
      </c>
      <c r="C343" s="15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9" t="inlineStr">
        <is>
          <t>29/09/2004</t>
        </is>
      </c>
      <c r="B344" s="8" t="n">
        <v>99.64200048000001</v>
      </c>
      <c r="C344" s="15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9" t="inlineStr">
        <is>
          <t>30/09/2004</t>
        </is>
      </c>
      <c r="B345" s="8" t="n">
        <v>99.56894916000002</v>
      </c>
      <c r="C345" s="15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9" t="inlineStr">
        <is>
          <t>01/10/2004</t>
        </is>
      </c>
      <c r="B346" s="8" t="n">
        <v>99.2549062824</v>
      </c>
      <c r="C346" s="15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9" t="inlineStr">
        <is>
          <t>04/10/2004</t>
        </is>
      </c>
      <c r="B347" s="8" t="n">
        <v>99.5459763888</v>
      </c>
      <c r="C347" s="15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9" t="inlineStr">
        <is>
          <t>05/10/2004</t>
        </is>
      </c>
      <c r="B348" s="8" t="n">
        <v>99.7278952053</v>
      </c>
      <c r="C348" s="15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9" t="inlineStr">
        <is>
          <t>06/10/2004</t>
        </is>
      </c>
      <c r="B349" s="8" t="n">
        <v>99.69151144199999</v>
      </c>
      <c r="C349" s="15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9" t="inlineStr">
        <is>
          <t>07/10/2004</t>
        </is>
      </c>
      <c r="B350" s="8" t="n">
        <v>99.40044133559999</v>
      </c>
      <c r="C350" s="15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9" t="inlineStr">
        <is>
          <t>08/10/2004</t>
        </is>
      </c>
      <c r="B351" s="8" t="n">
        <v>99.2549062824</v>
      </c>
      <c r="C351" s="15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9" t="inlineStr">
        <is>
          <t>11/10/2004</t>
        </is>
      </c>
      <c r="B352" s="8" t="n">
        <v>99.1821387558</v>
      </c>
      <c r="C352" s="15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9" t="inlineStr">
        <is>
          <t>13/10/2004</t>
        </is>
      </c>
      <c r="B353" s="8" t="n">
        <v>99.43682509889999</v>
      </c>
      <c r="C353" s="15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9" t="inlineStr">
        <is>
          <t>14/10/2004</t>
        </is>
      </c>
      <c r="B354" s="8" t="n">
        <v>99.8370464952</v>
      </c>
      <c r="C354" s="15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9" t="inlineStr">
        <is>
          <t>15/10/2004</t>
        </is>
      </c>
      <c r="B355" s="8" t="n">
        <v>100.0917328383</v>
      </c>
      <c r="C355" s="15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9" t="inlineStr">
        <is>
          <t>18/10/2004</t>
        </is>
      </c>
      <c r="B356" s="8" t="n">
        <v>100.1281166016</v>
      </c>
      <c r="C356" s="15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9" t="inlineStr">
        <is>
          <t>19/10/2004</t>
        </is>
      </c>
      <c r="B357" s="8" t="n">
        <v>99.8370464952</v>
      </c>
      <c r="C357" s="15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9" t="inlineStr">
        <is>
          <t>20/10/2004</t>
        </is>
      </c>
      <c r="B358" s="8" t="n">
        <v>99.7642789686</v>
      </c>
      <c r="C358" s="15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9" t="inlineStr">
        <is>
          <t>21/10/2004</t>
        </is>
      </c>
      <c r="B359" s="8" t="n">
        <v>100.8921756309</v>
      </c>
      <c r="C359" s="15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9" t="inlineStr">
        <is>
          <t>22/10/2004</t>
        </is>
      </c>
      <c r="B360" s="8" t="n">
        <v>101.0377106841</v>
      </c>
      <c r="C360" s="15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9" t="inlineStr">
        <is>
          <t>25/10/2004</t>
        </is>
      </c>
      <c r="B361" s="8" t="n">
        <v>101.8381534767</v>
      </c>
      <c r="C361" s="15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9" t="inlineStr">
        <is>
          <t>26/10/2004</t>
        </is>
      </c>
      <c r="B362" s="8" t="n">
        <v>102.2019911097</v>
      </c>
      <c r="C362" s="15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9" t="inlineStr">
        <is>
          <t>27/10/2004</t>
        </is>
      </c>
      <c r="B363" s="8" t="n">
        <v>102.5294449794</v>
      </c>
      <c r="C363" s="15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9" t="inlineStr">
        <is>
          <t>28/10/2004</t>
        </is>
      </c>
      <c r="B364" s="8" t="n">
        <v>102.8568988491</v>
      </c>
      <c r="C364" s="15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9" t="inlineStr">
        <is>
          <t>29/10/2004</t>
        </is>
      </c>
      <c r="B365" s="8" t="n">
        <v>103.2935040087</v>
      </c>
      <c r="C365" s="15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9" t="inlineStr">
        <is>
          <t>01/11/2004</t>
        </is>
      </c>
      <c r="B366" s="8" t="n">
        <v>102.272947062</v>
      </c>
      <c r="C366" s="15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9" t="inlineStr">
        <is>
          <t>03/11/2004</t>
        </is>
      </c>
      <c r="B367" s="8" t="n">
        <v>102.453386277</v>
      </c>
      <c r="C367" s="15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9" t="inlineStr">
        <is>
          <t>04/11/2004</t>
        </is>
      </c>
      <c r="B368" s="8" t="n">
        <v>102.597737649</v>
      </c>
      <c r="C368" s="15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9" t="inlineStr">
        <is>
          <t>05/11/2004</t>
        </is>
      </c>
      <c r="B369" s="8" t="n">
        <v>102.814264707</v>
      </c>
      <c r="C369" s="15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9" t="inlineStr">
        <is>
          <t>08/11/2004</t>
        </is>
      </c>
      <c r="B370" s="8" t="n">
        <v>103.319494509</v>
      </c>
      <c r="C370" s="15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9" t="inlineStr">
        <is>
          <t>09/11/2004</t>
        </is>
      </c>
      <c r="B371" s="8" t="n">
        <v>103.536021567</v>
      </c>
      <c r="C371" s="15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9" t="inlineStr">
        <is>
          <t>10/11/2004</t>
        </is>
      </c>
      <c r="B372" s="8" t="n">
        <v>104.113427055</v>
      </c>
      <c r="C372" s="15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9" t="inlineStr">
        <is>
          <t>11/11/2004</t>
        </is>
      </c>
      <c r="B373" s="8" t="n">
        <v>105.412589403</v>
      </c>
      <c r="C373" s="15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9" t="inlineStr">
        <is>
          <t>12/11/2004</t>
        </is>
      </c>
      <c r="B374" s="8" t="n">
        <v>106.567400379</v>
      </c>
      <c r="C374" s="15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9" t="inlineStr">
        <is>
          <t>16/11/2004</t>
        </is>
      </c>
      <c r="B375" s="8" t="n">
        <v>107.036542338</v>
      </c>
      <c r="C375" s="15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9" t="inlineStr">
        <is>
          <t>17/11/2004</t>
        </is>
      </c>
      <c r="B376" s="8" t="n">
        <v>107.794387041</v>
      </c>
      <c r="C376" s="15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9" t="inlineStr">
        <is>
          <t>18/11/2004</t>
        </is>
      </c>
      <c r="B377" s="8" t="n">
        <v>108.335704686</v>
      </c>
      <c r="C377" s="15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9" t="inlineStr">
        <is>
          <t>19/11/2004</t>
        </is>
      </c>
      <c r="B378" s="8" t="n">
        <v>109.598779191</v>
      </c>
      <c r="C378" s="15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9" t="inlineStr">
        <is>
          <t>22/11/2004</t>
        </is>
      </c>
      <c r="B379" s="8" t="n">
        <v>110.645326638</v>
      </c>
      <c r="C379" s="15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9" t="inlineStr">
        <is>
          <t>23/11/2004</t>
        </is>
      </c>
      <c r="B380" s="8" t="n">
        <v>111.944488986</v>
      </c>
      <c r="C380" s="15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9" t="inlineStr">
        <is>
          <t>24/11/2004</t>
        </is>
      </c>
      <c r="B381" s="8" t="n">
        <v>112.557982317</v>
      </c>
      <c r="C381" s="15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9" t="inlineStr">
        <is>
          <t>25/11/2004</t>
        </is>
      </c>
      <c r="B382" s="8" t="n">
        <v>113.821056822</v>
      </c>
      <c r="C382" s="15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9" t="inlineStr">
        <is>
          <t>26/11/2004</t>
        </is>
      </c>
      <c r="B383" s="8" t="n">
        <v>113.929320351</v>
      </c>
      <c r="C383" s="15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9" t="inlineStr">
        <is>
          <t>29/11/2004</t>
        </is>
      </c>
      <c r="B384" s="8" t="n">
        <v>114.470637996</v>
      </c>
      <c r="C384" s="15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9" t="inlineStr">
        <is>
          <t>30/11/2004</t>
        </is>
      </c>
      <c r="B385" s="8" t="n">
        <v>115.156307013</v>
      </c>
      <c r="C385" s="15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9" t="inlineStr">
        <is>
          <t>01/12/2004</t>
        </is>
      </c>
      <c r="B386" s="8" t="n">
        <v>114.3104099286</v>
      </c>
      <c r="C386" s="15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9" t="inlineStr">
        <is>
          <t>02/12/2004</t>
        </is>
      </c>
      <c r="B387" s="8" t="n">
        <v>114.0596506464</v>
      </c>
      <c r="C387" s="15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9" t="inlineStr">
        <is>
          <t>03/12/2004</t>
        </is>
      </c>
      <c r="B388" s="8" t="n">
        <v>115.0268650206</v>
      </c>
      <c r="C388" s="15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9" t="inlineStr">
        <is>
          <t>06/12/2004</t>
        </is>
      </c>
      <c r="B389" s="8" t="n">
        <v>115.7433201126</v>
      </c>
      <c r="C389" s="15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9" t="inlineStr">
        <is>
          <t>07/12/2004</t>
        </is>
      </c>
      <c r="B390" s="8" t="n">
        <v>115.6000290942</v>
      </c>
      <c r="C390" s="15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9" t="inlineStr">
        <is>
          <t>08/12/2004</t>
        </is>
      </c>
      <c r="B391" s="8" t="n">
        <v>114.6686374746</v>
      </c>
      <c r="C391" s="15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9" t="inlineStr">
        <is>
          <t>09/12/2004</t>
        </is>
      </c>
      <c r="B392" s="8" t="n">
        <v>114.991042266</v>
      </c>
      <c r="C392" s="15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9" t="inlineStr">
        <is>
          <t>10/12/2004</t>
        </is>
      </c>
      <c r="B393" s="8" t="n">
        <v>115.170156039</v>
      </c>
      <c r="C393" s="15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9" t="inlineStr">
        <is>
          <t>13/12/2004</t>
        </is>
      </c>
      <c r="B394" s="8" t="n">
        <v>115.8507883764</v>
      </c>
      <c r="C394" s="15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9" t="inlineStr">
        <is>
          <t>14/12/2004</t>
        </is>
      </c>
      <c r="B395" s="8" t="n">
        <v>115.2776243028</v>
      </c>
      <c r="C395" s="15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9" t="inlineStr">
        <is>
          <t>15/12/2004</t>
        </is>
      </c>
      <c r="B396" s="8" t="n">
        <v>114.63281472</v>
      </c>
      <c r="C396" s="15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9" t="inlineStr">
        <is>
          <t>16/12/2004</t>
        </is>
      </c>
      <c r="B397" s="8" t="n">
        <v>111.9102853704</v>
      </c>
      <c r="C397" s="15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9" t="inlineStr">
        <is>
          <t>17/12/2004</t>
        </is>
      </c>
      <c r="B398" s="8" t="n">
        <v>112.0535763888</v>
      </c>
      <c r="C398" s="15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9" t="inlineStr">
        <is>
          <t>20/12/2004</t>
        </is>
      </c>
      <c r="B399" s="8" t="n">
        <v>111.8744626158</v>
      </c>
      <c r="C399" s="15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9" t="inlineStr">
        <is>
          <t>21/12/2004</t>
        </is>
      </c>
      <c r="B400" s="8" t="n">
        <v>110.513197941</v>
      </c>
      <c r="C400" s="15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9" t="inlineStr">
        <is>
          <t>22/12/2004</t>
        </is>
      </c>
      <c r="B401" s="8" t="n">
        <v>110.7281344686</v>
      </c>
      <c r="C401" s="15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9" t="inlineStr">
        <is>
          <t>23/12/2004</t>
        </is>
      </c>
      <c r="B402" s="8" t="n">
        <v>109.2235787754</v>
      </c>
      <c r="C402" s="15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9" t="inlineStr">
        <is>
          <t>27/12/2004</t>
        </is>
      </c>
      <c r="B403" s="8" t="n">
        <v>108.901173984</v>
      </c>
      <c r="C403" s="15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9" t="inlineStr">
        <is>
          <t>28/12/2004</t>
        </is>
      </c>
      <c r="B404" s="8" t="n">
        <v>108.4354781742</v>
      </c>
      <c r="C404" s="15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9" t="inlineStr">
        <is>
          <t>29/12/2004</t>
        </is>
      </c>
      <c r="B405" s="8" t="n">
        <v>108.363832665</v>
      </c>
      <c r="C405" s="15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9" t="inlineStr">
        <is>
          <t>30/12/2004</t>
        </is>
      </c>
      <c r="B406" s="8" t="n">
        <v>107.110036254</v>
      </c>
      <c r="C406" s="15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9" t="inlineStr">
        <is>
          <t>03/01/2005</t>
        </is>
      </c>
      <c r="B407" s="8" t="n">
        <v>107.229183743</v>
      </c>
      <c r="C407" s="15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9" t="inlineStr">
        <is>
          <t>04/01/2005</t>
        </is>
      </c>
      <c r="B408" s="8" t="n">
        <v>107.2648673316</v>
      </c>
      <c r="C408" s="15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9" t="inlineStr">
        <is>
          <t>05/01/2005</t>
        </is>
      </c>
      <c r="B409" s="8" t="n">
        <v>106.9793986228</v>
      </c>
      <c r="C409" s="15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9" t="inlineStr">
        <is>
          <t>06/01/2005</t>
        </is>
      </c>
      <c r="B410" s="8" t="n">
        <v>106.9793986228</v>
      </c>
      <c r="C410" s="15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9" t="inlineStr">
        <is>
          <t>07/01/2005</t>
        </is>
      </c>
      <c r="B411" s="8" t="n">
        <v>106.515511971</v>
      </c>
      <c r="C411" s="15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9" t="inlineStr">
        <is>
          <t>10/01/2005</t>
        </is>
      </c>
      <c r="B412" s="8" t="n">
        <v>106.4084612052</v>
      </c>
      <c r="C412" s="15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9" t="inlineStr">
        <is>
          <t>11/01/2005</t>
        </is>
      </c>
      <c r="B413" s="8" t="n">
        <v>106.9080314456</v>
      </c>
      <c r="C413" s="15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9" t="inlineStr">
        <is>
          <t>12/01/2005</t>
        </is>
      </c>
      <c r="B414" s="8" t="n">
        <v>106.3727776166</v>
      </c>
      <c r="C414" s="15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9" t="inlineStr">
        <is>
          <t>13/01/2005</t>
        </is>
      </c>
      <c r="B415" s="8" t="n">
        <v>105.5163714902</v>
      </c>
      <c r="C415" s="15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9" t="inlineStr">
        <is>
          <t>14/01/2005</t>
        </is>
      </c>
      <c r="B416" s="8" t="n">
        <v>105.3379535472</v>
      </c>
      <c r="C416" s="15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9" t="inlineStr">
        <is>
          <t>17/01/2005</t>
        </is>
      </c>
      <c r="B417" s="8" t="n">
        <v>105.6591058446</v>
      </c>
      <c r="C417" s="15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9" t="inlineStr">
        <is>
          <t>18/01/2005</t>
        </is>
      </c>
      <c r="B418" s="8" t="n">
        <v>105.4093207244</v>
      </c>
      <c r="C418" s="15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9" t="inlineStr">
        <is>
          <t>19/01/2005</t>
        </is>
      </c>
      <c r="B419" s="8" t="n">
        <v>105.1595356042</v>
      </c>
      <c r="C419" s="15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9" t="inlineStr">
        <is>
          <t>20/01/2005</t>
        </is>
      </c>
      <c r="B420" s="8" t="n">
        <v>104.3388130664</v>
      </c>
      <c r="C420" s="15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9" t="inlineStr">
        <is>
          <t>21/01/2005</t>
        </is>
      </c>
      <c r="B421" s="8" t="n">
        <v>103.839242826</v>
      </c>
      <c r="C421" s="15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9" t="inlineStr">
        <is>
          <t>24/01/2005</t>
        </is>
      </c>
      <c r="B422" s="8" t="n">
        <v>103.7678756488</v>
      </c>
      <c r="C422" s="15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9" t="inlineStr">
        <is>
          <t>25/01/2005</t>
        </is>
      </c>
      <c r="B423" s="8" t="n">
        <v>102.055063396</v>
      </c>
      <c r="C423" s="15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9" t="inlineStr">
        <is>
          <t>26/01/2005</t>
        </is>
      </c>
      <c r="B424" s="8" t="n">
        <v>101.4127588012</v>
      </c>
      <c r="C424" s="15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9" t="inlineStr">
        <is>
          <t>27/01/2005</t>
        </is>
      </c>
      <c r="B425" s="8" t="n">
        <v>101.4127588012</v>
      </c>
      <c r="C425" s="15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9" t="inlineStr">
        <is>
          <t>28/01/2005</t>
        </is>
      </c>
      <c r="B426" s="8" t="n">
        <v>102.0193798074</v>
      </c>
      <c r="C426" s="15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9" t="inlineStr">
        <is>
          <t>31/01/2005</t>
        </is>
      </c>
      <c r="B427" s="8" t="n">
        <v>102.3048485162</v>
      </c>
      <c r="C427" s="15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9" t="inlineStr">
        <is>
          <t>01/02/2005</t>
        </is>
      </c>
      <c r="B428" s="8" t="n">
        <v>102.034428744</v>
      </c>
      <c r="C428" s="15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9" t="inlineStr">
        <is>
          <t>02/02/2005</t>
        </is>
      </c>
      <c r="B429" s="8" t="n">
        <v>101.322891584</v>
      </c>
      <c r="C429" s="15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9" t="inlineStr">
        <is>
          <t>03/02/2005</t>
        </is>
      </c>
      <c r="B430" s="8" t="n">
        <v>102.28346675</v>
      </c>
      <c r="C430" s="15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9" t="inlineStr">
        <is>
          <t>04/02/2005</t>
        </is>
      </c>
      <c r="B431" s="8" t="n">
        <v>102.319043608</v>
      </c>
      <c r="C431" s="15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9" t="inlineStr">
        <is>
          <t>09/02/2005</t>
        </is>
      </c>
      <c r="B432" s="8" t="n">
        <v>103.101734484</v>
      </c>
      <c r="C432" s="15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9" t="inlineStr">
        <is>
          <t>10/02/2005</t>
        </is>
      </c>
      <c r="B433" s="8" t="n">
        <v>101.785390738</v>
      </c>
      <c r="C433" s="15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9" t="inlineStr">
        <is>
          <t>11/02/2005</t>
        </is>
      </c>
      <c r="B434" s="8" t="n">
        <v>102.247889892</v>
      </c>
      <c r="C434" s="15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9" t="inlineStr">
        <is>
          <t>14/02/2005</t>
        </is>
      </c>
      <c r="B435" s="8" t="n">
        <v>101.963275028</v>
      </c>
      <c r="C435" s="15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9" t="inlineStr">
        <is>
          <t>15/02/2005</t>
        </is>
      </c>
      <c r="B436" s="8" t="n">
        <v>102.070005602</v>
      </c>
      <c r="C436" s="15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9" t="inlineStr">
        <is>
          <t>16/02/2005</t>
        </is>
      </c>
      <c r="B437" s="8" t="n">
        <v>102.10558246</v>
      </c>
      <c r="C437" s="15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9" t="inlineStr">
        <is>
          <t>17/02/2005</t>
        </is>
      </c>
      <c r="B438" s="8" t="n">
        <v>101.92769817</v>
      </c>
      <c r="C438" s="15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9" t="inlineStr">
        <is>
          <t>18/02/2005</t>
        </is>
      </c>
      <c r="B439" s="8" t="n">
        <v>101.998851886</v>
      </c>
      <c r="C439" s="15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9" t="inlineStr">
        <is>
          <t>21/02/2005</t>
        </is>
      </c>
      <c r="B440" s="8" t="n">
        <v>101.892121312</v>
      </c>
      <c r="C440" s="15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9" t="inlineStr">
        <is>
          <t>22/02/2005</t>
        </is>
      </c>
      <c r="B441" s="8" t="n">
        <v>102.28346675</v>
      </c>
      <c r="C441" s="15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9" t="inlineStr">
        <is>
          <t>23/02/2005</t>
        </is>
      </c>
      <c r="B442" s="8" t="n">
        <v>102.99500391</v>
      </c>
      <c r="C442" s="15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9" t="inlineStr">
        <is>
          <t>24/02/2005</t>
        </is>
      </c>
      <c r="B443" s="8" t="n">
        <v>103.208465058</v>
      </c>
      <c r="C443" s="15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9" t="inlineStr">
        <is>
          <t>25/02/2005</t>
        </is>
      </c>
      <c r="B444" s="8" t="n">
        <v>103.457503064</v>
      </c>
      <c r="C444" s="15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9" t="inlineStr">
        <is>
          <t>28/02/2005</t>
        </is>
      </c>
      <c r="B445" s="8" t="n">
        <v>103.848848502</v>
      </c>
      <c r="C445" s="15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9" t="inlineStr">
        <is>
          <t>01/03/2005</t>
        </is>
      </c>
      <c r="B446" s="8" t="n">
        <v>103.149958234</v>
      </c>
      <c r="C446" s="15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9" t="inlineStr">
        <is>
          <t>02/03/2005</t>
        </is>
      </c>
      <c r="B447" s="8" t="n">
        <v>103.4674512655</v>
      </c>
      <c r="C447" s="15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9" t="inlineStr">
        <is>
          <t>03/03/2005</t>
        </is>
      </c>
      <c r="B448" s="8" t="n">
        <v>103.9613293145</v>
      </c>
      <c r="C448" s="15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9" t="inlineStr">
        <is>
          <t>04/03/2005</t>
        </is>
      </c>
      <c r="B449" s="8" t="n">
        <v>104.1024373285</v>
      </c>
      <c r="C449" s="15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9" t="inlineStr">
        <is>
          <t>07/03/2005</t>
        </is>
      </c>
      <c r="B450" s="8" t="n">
        <v>105.0901934265</v>
      </c>
      <c r="C450" s="15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9" t="inlineStr">
        <is>
          <t>08/03/2005</t>
        </is>
      </c>
      <c r="B451" s="8" t="n">
        <v>106.395442556</v>
      </c>
      <c r="C451" s="15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9" t="inlineStr">
        <is>
          <t>09/03/2005</t>
        </is>
      </c>
      <c r="B452" s="8" t="n">
        <v>107.3479216505</v>
      </c>
      <c r="C452" s="15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9" t="inlineStr">
        <is>
          <t>10/03/2005</t>
        </is>
      </c>
      <c r="B453" s="8" t="n">
        <v>107.94763071</v>
      </c>
      <c r="C453" s="15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9" t="inlineStr">
        <is>
          <t>11/03/2005</t>
        </is>
      </c>
      <c r="B454" s="8" t="n">
        <v>109.8878659025</v>
      </c>
      <c r="C454" s="15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9" t="inlineStr">
        <is>
          <t>14/03/2005</t>
        </is>
      </c>
      <c r="B455" s="8" t="n">
        <v>112.18087113</v>
      </c>
      <c r="C455" s="15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9" t="inlineStr">
        <is>
          <t>15/03/2005</t>
        </is>
      </c>
      <c r="B456" s="8" t="n">
        <v>115.496909459</v>
      </c>
      <c r="C456" s="15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9" t="inlineStr">
        <is>
          <t>16/03/2005</t>
        </is>
      </c>
      <c r="B457" s="8" t="n">
        <v>118.601285767</v>
      </c>
      <c r="C457" s="15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9" t="inlineStr">
        <is>
          <t>17/03/2005</t>
        </is>
      </c>
      <c r="B458" s="8" t="n">
        <v>121.1059530155</v>
      </c>
      <c r="C458" s="15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9" t="inlineStr">
        <is>
          <t>18/03/2005</t>
        </is>
      </c>
      <c r="B459" s="8" t="n">
        <v>123.046188208</v>
      </c>
      <c r="C459" s="15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9" t="inlineStr">
        <is>
          <t>21/03/2005</t>
        </is>
      </c>
      <c r="B460" s="8" t="n">
        <v>124.5630993585</v>
      </c>
      <c r="C460" s="15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9" t="inlineStr">
        <is>
          <t>22/03/2005</t>
        </is>
      </c>
      <c r="B461" s="8" t="n">
        <v>127.067766607</v>
      </c>
      <c r="C461" s="15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9" t="inlineStr">
        <is>
          <t>23/03/2005</t>
        </is>
      </c>
      <c r="B462" s="8" t="n">
        <v>128.267184726</v>
      </c>
      <c r="C462" s="15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9" t="inlineStr">
        <is>
          <t>24/03/2005</t>
        </is>
      </c>
      <c r="B463" s="8" t="n">
        <v>130.948236992</v>
      </c>
      <c r="C463" s="15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9" t="inlineStr">
        <is>
          <t>28/03/2005</t>
        </is>
      </c>
      <c r="B464" s="8" t="n">
        <v>131.6185000585</v>
      </c>
      <c r="C464" s="15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9" t="inlineStr">
        <is>
          <t>29/03/2005</t>
        </is>
      </c>
      <c r="B465" s="8" t="n">
        <v>131.6890540655</v>
      </c>
      <c r="C465" s="15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9" t="inlineStr">
        <is>
          <t>30/03/2005</t>
        </is>
      </c>
      <c r="B466" s="8" t="n">
        <v>131.9712700935</v>
      </c>
      <c r="C466" s="15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9" t="inlineStr">
        <is>
          <t>31/03/2005</t>
        </is>
      </c>
      <c r="B467" s="8" t="n">
        <v>132.147655111</v>
      </c>
      <c r="C467" s="15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9" t="inlineStr">
        <is>
          <t>01/04/2005</t>
        </is>
      </c>
      <c r="B468" s="8" t="n">
        <v>131.7553759127</v>
      </c>
      <c r="C468" s="15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9" t="inlineStr">
        <is>
          <t>04/04/2005</t>
        </is>
      </c>
      <c r="B469" s="8" t="n">
        <v>132.4549000747</v>
      </c>
      <c r="C469" s="15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9" t="inlineStr">
        <is>
          <t>05/04/2005</t>
        </is>
      </c>
      <c r="B470" s="8" t="n">
        <v>132.559828699</v>
      </c>
      <c r="C470" s="15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9" t="inlineStr">
        <is>
          <t>06/04/2005</t>
        </is>
      </c>
      <c r="B471" s="8" t="n">
        <v>132.2800190342</v>
      </c>
      <c r="C471" s="15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9" t="inlineStr">
        <is>
          <t>07/04/2005</t>
        </is>
      </c>
      <c r="B472" s="8" t="n">
        <v>131.5804948722</v>
      </c>
      <c r="C472" s="15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9" t="inlineStr">
        <is>
          <t>08/04/2005</t>
        </is>
      </c>
      <c r="B473" s="8" t="n">
        <v>130.6361372535</v>
      </c>
      <c r="C473" s="15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9" t="inlineStr">
        <is>
          <t>11/04/2005</t>
        </is>
      </c>
      <c r="B474" s="8" t="n">
        <v>128.8173744323</v>
      </c>
      <c r="C474" s="15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9" t="inlineStr">
        <is>
          <t>12/04/2005</t>
        </is>
      </c>
      <c r="B475" s="8" t="n">
        <v>126.0542539924</v>
      </c>
      <c r="C475" s="15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9" t="inlineStr">
        <is>
          <t>13/04/2005</t>
        </is>
      </c>
      <c r="B476" s="8" t="n">
        <v>123.1862049282</v>
      </c>
      <c r="C476" s="15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9" t="inlineStr">
        <is>
          <t>14/04/2005</t>
        </is>
      </c>
      <c r="B477" s="8" t="n">
        <v>120.9477276098</v>
      </c>
      <c r="C477" s="15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9" t="inlineStr">
        <is>
          <t>15/04/2005</t>
        </is>
      </c>
      <c r="B478" s="8" t="n">
        <v>118.3944644185</v>
      </c>
      <c r="C478" s="15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9" t="inlineStr">
        <is>
          <t>18/04/2005</t>
        </is>
      </c>
      <c r="B479" s="8" t="n">
        <v>114.6869863599</v>
      </c>
      <c r="C479" s="15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9" t="inlineStr">
        <is>
          <t>19/04/2005</t>
        </is>
      </c>
      <c r="B480" s="8" t="n">
        <v>113.2529618278</v>
      </c>
      <c r="C480" s="15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9" t="inlineStr">
        <is>
          <t>20/04/2005</t>
        </is>
      </c>
      <c r="B481" s="8" t="n">
        <v>110.2799841393</v>
      </c>
      <c r="C481" s="15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9" t="inlineStr">
        <is>
          <t>22/04/2005</t>
        </is>
      </c>
      <c r="B482" s="8" t="n">
        <v>108.3912689019</v>
      </c>
      <c r="C482" s="15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9" t="inlineStr">
        <is>
          <t>25/04/2005</t>
        </is>
      </c>
      <c r="B483" s="8" t="n">
        <v>104.7537432595</v>
      </c>
      <c r="C483" s="15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9" t="inlineStr">
        <is>
          <t>26/04/2005</t>
        </is>
      </c>
      <c r="B484" s="8" t="n">
        <v>101.6058845305</v>
      </c>
      <c r="C484" s="15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9" t="inlineStr">
        <is>
          <t>27/04/2005</t>
        </is>
      </c>
      <c r="B485" s="8" t="n">
        <v>98.3530971772</v>
      </c>
      <c r="C485" s="15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9" t="inlineStr">
        <is>
          <t>28/04/2005</t>
        </is>
      </c>
      <c r="B486" s="8" t="n">
        <v>96.9890250613</v>
      </c>
      <c r="C486" s="15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9" t="inlineStr">
        <is>
          <t>29/04/2005</t>
        </is>
      </c>
      <c r="B487" s="8" t="n">
        <v>95.69490536159999</v>
      </c>
      <c r="C487" s="15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9" t="inlineStr">
        <is>
          <t>02/05/2005</t>
        </is>
      </c>
      <c r="B488" s="8" t="n">
        <v>95.23988511180001</v>
      </c>
      <c r="C488" s="15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9" t="inlineStr">
        <is>
          <t>03/05/2005</t>
        </is>
      </c>
      <c r="B489" s="8" t="n">
        <v>95.06461848480001</v>
      </c>
      <c r="C489" s="15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9" t="inlineStr">
        <is>
          <t>04/05/2005</t>
        </is>
      </c>
      <c r="B490" s="8" t="n">
        <v>94.71408523079999</v>
      </c>
      <c r="C490" s="15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9" t="inlineStr">
        <is>
          <t>05/05/2005</t>
        </is>
      </c>
      <c r="B491" s="8" t="n">
        <v>95.20483178639999</v>
      </c>
      <c r="C491" s="15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9" t="inlineStr">
        <is>
          <t>06/05/2005</t>
        </is>
      </c>
      <c r="B492" s="8" t="n">
        <v>94.85429853239999</v>
      </c>
      <c r="C492" s="15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9" t="inlineStr">
        <is>
          <t>09/05/2005</t>
        </is>
      </c>
      <c r="B493" s="8" t="n">
        <v>94.67903190540001</v>
      </c>
      <c r="C493" s="15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9" t="inlineStr">
        <is>
          <t>10/05/2005</t>
        </is>
      </c>
      <c r="B494" s="8" t="n">
        <v>94.2583920006</v>
      </c>
      <c r="C494" s="15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9" t="inlineStr">
        <is>
          <t>11/05/2005</t>
        </is>
      </c>
      <c r="B495" s="8" t="n">
        <v>93.592378818</v>
      </c>
      <c r="C495" s="15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9" t="inlineStr">
        <is>
          <t>12/05/2005</t>
        </is>
      </c>
      <c r="B496" s="8" t="n">
        <v>93.2067922386</v>
      </c>
      <c r="C496" s="15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9" t="inlineStr">
        <is>
          <t>13/05/2005</t>
        </is>
      </c>
      <c r="B497" s="8" t="n">
        <v>92.47067240519999</v>
      </c>
      <c r="C497" s="15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9" t="inlineStr">
        <is>
          <t>16/05/2005</t>
        </is>
      </c>
      <c r="B498" s="8" t="n">
        <v>92.33045910359999</v>
      </c>
      <c r="C498" s="15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9" t="inlineStr">
        <is>
          <t>17/05/2005</t>
        </is>
      </c>
      <c r="B499" s="8" t="n">
        <v>91.3840193178</v>
      </c>
      <c r="C499" s="15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9" t="inlineStr">
        <is>
          <t>18/05/2005</t>
        </is>
      </c>
      <c r="B500" s="8" t="n">
        <v>90.6829528098</v>
      </c>
      <c r="C500" s="15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9" t="inlineStr">
        <is>
          <t>19/05/2005</t>
        </is>
      </c>
      <c r="B501" s="8" t="n">
        <v>90.087046278</v>
      </c>
      <c r="C501" s="15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9" t="inlineStr">
        <is>
          <t>20/05/2005</t>
        </is>
      </c>
      <c r="B502" s="8" t="n">
        <v>89.56124639700001</v>
      </c>
      <c r="C502" s="15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9" t="inlineStr">
        <is>
          <t>23/05/2005</t>
        </is>
      </c>
      <c r="B503" s="8" t="n">
        <v>89.10555316680001</v>
      </c>
      <c r="C503" s="15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9" t="inlineStr">
        <is>
          <t>24/05/2005</t>
        </is>
      </c>
      <c r="B504" s="8" t="n">
        <v>88.82512656359999</v>
      </c>
      <c r="C504" s="15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9" t="inlineStr">
        <is>
          <t>25/05/2005</t>
        </is>
      </c>
      <c r="B505" s="8" t="n">
        <v>89.03544651599999</v>
      </c>
      <c r="C505" s="15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9" t="inlineStr">
        <is>
          <t>27/05/2005</t>
        </is>
      </c>
      <c r="B506" s="8" t="n">
        <v>89.00039319059999</v>
      </c>
      <c r="C506" s="15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9" t="inlineStr">
        <is>
          <t>30/05/2005</t>
        </is>
      </c>
      <c r="B507" s="8" t="n">
        <v>89.03544651599999</v>
      </c>
      <c r="C507" s="15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9" t="inlineStr">
        <is>
          <t>31/05/2005</t>
        </is>
      </c>
      <c r="B508" s="8" t="n">
        <v>89.31587311920001</v>
      </c>
      <c r="C508" s="15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9" t="inlineStr">
        <is>
          <t>01/06/2005</t>
        </is>
      </c>
      <c r="B509" s="8" t="n">
        <v>90.41476468560001</v>
      </c>
      <c r="C509" s="15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9" t="inlineStr">
        <is>
          <t>02/06/2005</t>
        </is>
      </c>
      <c r="B510" s="8" t="n">
        <v>90.485181169</v>
      </c>
      <c r="C510" s="15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9" t="inlineStr">
        <is>
          <t>03/06/2005</t>
        </is>
      </c>
      <c r="B511" s="8" t="n">
        <v>90.3443482022</v>
      </c>
      <c r="C511" s="15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9" t="inlineStr">
        <is>
          <t>06/06/2005</t>
        </is>
      </c>
      <c r="B512" s="8" t="n">
        <v>90.3443482022</v>
      </c>
      <c r="C512" s="15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9" t="inlineStr">
        <is>
          <t>07/06/2005</t>
        </is>
      </c>
      <c r="B513" s="8" t="n">
        <v>91.1189295196</v>
      </c>
      <c r="C513" s="15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9" t="inlineStr">
        <is>
          <t>08/06/2005</t>
        </is>
      </c>
      <c r="B514" s="8" t="n">
        <v>91.15413776130001</v>
      </c>
      <c r="C514" s="15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9" t="inlineStr">
        <is>
          <t>09/06/2005</t>
        </is>
      </c>
      <c r="B515" s="8" t="n">
        <v>91.0133047945</v>
      </c>
      <c r="C515" s="15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9" t="inlineStr">
        <is>
          <t>10/06/2005</t>
        </is>
      </c>
      <c r="B516" s="8" t="n">
        <v>90.9780965528</v>
      </c>
      <c r="C516" s="15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9" t="inlineStr">
        <is>
          <t>13/06/2005</t>
        </is>
      </c>
      <c r="B517" s="8" t="n">
        <v>90.8020553443</v>
      </c>
      <c r="C517" s="15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9" t="inlineStr">
        <is>
          <t>14/06/2005</t>
        </is>
      </c>
      <c r="B518" s="8" t="n">
        <v>91.47101193660001</v>
      </c>
      <c r="C518" s="15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9" t="inlineStr">
        <is>
          <t>15/06/2005</t>
        </is>
      </c>
      <c r="B519" s="8" t="n">
        <v>91.2949707281</v>
      </c>
      <c r="C519" s="15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9" t="inlineStr">
        <is>
          <t>16/06/2005</t>
        </is>
      </c>
      <c r="B520" s="8" t="n">
        <v>91.36538721149999</v>
      </c>
      <c r="C520" s="15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9" t="inlineStr">
        <is>
          <t>17/06/2005</t>
        </is>
      </c>
      <c r="B521" s="8" t="n">
        <v>91.15413776130001</v>
      </c>
      <c r="C521" s="15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9" t="inlineStr">
        <is>
          <t>20/06/2005</t>
        </is>
      </c>
      <c r="B522" s="8" t="n">
        <v>91.189346003</v>
      </c>
      <c r="C522" s="15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9" t="inlineStr">
        <is>
          <t>21/06/2005</t>
        </is>
      </c>
      <c r="B523" s="8" t="n">
        <v>91.15413776130001</v>
      </c>
      <c r="C523" s="15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9" t="inlineStr">
        <is>
          <t>22/06/2005</t>
        </is>
      </c>
      <c r="B524" s="8" t="n">
        <v>91.99913556209999</v>
      </c>
      <c r="C524" s="15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9" t="inlineStr">
        <is>
          <t>23/06/2005</t>
        </is>
      </c>
      <c r="B525" s="8" t="n">
        <v>92.597675671</v>
      </c>
      <c r="C525" s="15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9" t="inlineStr">
        <is>
          <t>24/06/2005</t>
        </is>
      </c>
      <c r="B526" s="8" t="n">
        <v>93.54829819690001</v>
      </c>
      <c r="C526" s="15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9" t="inlineStr">
        <is>
          <t>27/06/2005</t>
        </is>
      </c>
      <c r="B527" s="8" t="n">
        <v>93.86517237220001</v>
      </c>
      <c r="C527" s="15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9" t="inlineStr">
        <is>
          <t>28/06/2005</t>
        </is>
      </c>
      <c r="B528" s="8" t="n">
        <v>94.8862113815</v>
      </c>
      <c r="C528" s="15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9" t="inlineStr">
        <is>
          <t>29/06/2005</t>
        </is>
      </c>
      <c r="B529" s="8" t="n">
        <v>95.83683390739999</v>
      </c>
      <c r="C529" s="15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9" t="inlineStr">
        <is>
          <t>30/06/2005</t>
        </is>
      </c>
      <c r="B530" s="8" t="n">
        <v>97.10433060859999</v>
      </c>
      <c r="C530" s="15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9" t="inlineStr">
        <is>
          <t>01/07/2005</t>
        </is>
      </c>
      <c r="B531" s="8" t="n">
        <v>98.6721041733</v>
      </c>
      <c r="C531" s="15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9" t="inlineStr">
        <is>
          <t>04/07/2005</t>
        </is>
      </c>
      <c r="B532" s="8" t="n">
        <v>99.87326834869999</v>
      </c>
      <c r="C532" s="15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9" t="inlineStr">
        <is>
          <t>05/07/2005</t>
        </is>
      </c>
      <c r="B533" s="8" t="n">
        <v>100.2618802878</v>
      </c>
      <c r="C533" s="15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9" t="inlineStr">
        <is>
          <t>06/07/2005</t>
        </is>
      </c>
      <c r="B534" s="8" t="n">
        <v>100.7564773012</v>
      </c>
      <c r="C534" s="15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9" t="inlineStr">
        <is>
          <t>07/07/2005</t>
        </is>
      </c>
      <c r="B535" s="8" t="n">
        <v>100.9331190917</v>
      </c>
      <c r="C535" s="15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9" t="inlineStr">
        <is>
          <t>08/07/2005</t>
        </is>
      </c>
      <c r="B536" s="8" t="n">
        <v>101.2864026727</v>
      </c>
      <c r="C536" s="15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9" t="inlineStr">
        <is>
          <t>11/07/2005</t>
        </is>
      </c>
      <c r="B537" s="8" t="n">
        <v>101.6750146118</v>
      </c>
      <c r="C537" s="15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9" t="inlineStr">
        <is>
          <t>12/07/2005</t>
        </is>
      </c>
      <c r="B538" s="8" t="n">
        <v>102.805522071</v>
      </c>
      <c r="C538" s="15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9" t="inlineStr">
        <is>
          <t>13/07/2005</t>
        </is>
      </c>
      <c r="B539" s="8" t="n">
        <v>103.4767608749</v>
      </c>
      <c r="C539" s="15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9" t="inlineStr">
        <is>
          <t>14/07/2005</t>
        </is>
      </c>
      <c r="B540" s="8" t="n">
        <v>103.7947160978</v>
      </c>
      <c r="C540" s="15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9" t="inlineStr">
        <is>
          <t>15/07/2005</t>
        </is>
      </c>
      <c r="B541" s="8" t="n">
        <v>103.9713578883</v>
      </c>
      <c r="C541" s="15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9" t="inlineStr">
        <is>
          <t>18/07/2005</t>
        </is>
      </c>
      <c r="B542" s="8" t="n">
        <v>104.7485817665</v>
      </c>
      <c r="C542" s="15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9" t="inlineStr">
        <is>
          <t>19/07/2005</t>
        </is>
      </c>
      <c r="B543" s="8" t="n">
        <v>104.6072683341</v>
      </c>
      <c r="C543" s="15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9" t="inlineStr">
        <is>
          <t>20/07/2005</t>
        </is>
      </c>
      <c r="B544" s="8" t="n">
        <v>104.571939976</v>
      </c>
      <c r="C544" s="15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9" t="inlineStr">
        <is>
          <t>21/07/2005</t>
        </is>
      </c>
      <c r="B545" s="8" t="n">
        <v>104.6779250503</v>
      </c>
      <c r="C545" s="15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9" t="inlineStr">
        <is>
          <t>22/07/2005</t>
        </is>
      </c>
      <c r="B546" s="8" t="n">
        <v>104.2893131112</v>
      </c>
      <c r="C546" s="15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9" t="inlineStr">
        <is>
          <t>25/07/2005</t>
        </is>
      </c>
      <c r="B547" s="8" t="n">
        <v>104.4306265436</v>
      </c>
      <c r="C547" s="15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9" t="inlineStr">
        <is>
          <t>26/07/2005</t>
        </is>
      </c>
      <c r="B548" s="8" t="n">
        <v>104.4659549017</v>
      </c>
      <c r="C548" s="15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9" t="inlineStr">
        <is>
          <t>27/07/2005</t>
        </is>
      </c>
      <c r="B549" s="8" t="n">
        <v>104.8545668408</v>
      </c>
      <c r="C549" s="15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9" t="inlineStr">
        <is>
          <t>28/07/2005</t>
        </is>
      </c>
      <c r="B550" s="8" t="n">
        <v>105.5964623609</v>
      </c>
      <c r="C550" s="15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9" t="inlineStr">
        <is>
          <t>29/07/2005</t>
        </is>
      </c>
      <c r="B551" s="8" t="n">
        <v>105.7377757933</v>
      </c>
      <c r="C551" s="15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9" t="inlineStr">
        <is>
          <t>01/08/2005</t>
        </is>
      </c>
      <c r="B552" s="8" t="n">
        <v>106.8918413688</v>
      </c>
      <c r="C552" s="15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9" t="inlineStr">
        <is>
          <t>02/08/2005</t>
        </is>
      </c>
      <c r="B553" s="8" t="n">
        <v>107.211876822</v>
      </c>
      <c r="C553" s="15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9" t="inlineStr">
        <is>
          <t>03/08/2005</t>
        </is>
      </c>
      <c r="B554" s="8" t="n">
        <v>106.8918413688</v>
      </c>
      <c r="C554" s="15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9" t="inlineStr">
        <is>
          <t>04/08/2005</t>
        </is>
      </c>
      <c r="B555" s="8" t="n">
        <v>106.7496033896</v>
      </c>
      <c r="C555" s="15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9" t="inlineStr">
        <is>
          <t>05/08/2005</t>
        </is>
      </c>
      <c r="B556" s="8" t="n">
        <v>107.211876822</v>
      </c>
      <c r="C556" s="15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9" t="inlineStr">
        <is>
          <t>08/08/2005</t>
        </is>
      </c>
      <c r="B557" s="8" t="n">
        <v>107.5319122752</v>
      </c>
      <c r="C557" s="15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9" t="inlineStr">
        <is>
          <t>09/08/2005</t>
        </is>
      </c>
      <c r="B558" s="8" t="n">
        <v>108.4920186348</v>
      </c>
      <c r="C558" s="15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9" t="inlineStr">
        <is>
          <t>10/08/2005</t>
        </is>
      </c>
      <c r="B559" s="8" t="n">
        <v>108.5275781296</v>
      </c>
      <c r="C559" s="15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9" t="inlineStr">
        <is>
          <t>11/08/2005</t>
        </is>
      </c>
      <c r="B560" s="8" t="n">
        <v>109.0609705516</v>
      </c>
      <c r="C560" s="15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9" t="inlineStr">
        <is>
          <t>12/08/2005</t>
        </is>
      </c>
      <c r="B561" s="8" t="n">
        <v>109.4165654996</v>
      </c>
      <c r="C561" s="15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9" t="inlineStr">
        <is>
          <t>15/08/2005</t>
        </is>
      </c>
      <c r="B562" s="8" t="n">
        <v>109.523243984</v>
      </c>
      <c r="C562" s="15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9" t="inlineStr">
        <is>
          <t>16/08/2005</t>
        </is>
      </c>
      <c r="B563" s="8" t="n">
        <v>109.5588034788</v>
      </c>
      <c r="C563" s="15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9" t="inlineStr">
        <is>
          <t>17/08/2005</t>
        </is>
      </c>
      <c r="B564" s="8" t="n">
        <v>108.5986971192</v>
      </c>
      <c r="C564" s="15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9" t="inlineStr">
        <is>
          <t>18/08/2005</t>
        </is>
      </c>
      <c r="B565" s="8" t="n">
        <v>108.8831730776</v>
      </c>
      <c r="C565" s="15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9" t="inlineStr">
        <is>
          <t>19/08/2005</t>
        </is>
      </c>
      <c r="B566" s="8" t="n">
        <v>109.3098870152</v>
      </c>
      <c r="C566" s="15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9" t="inlineStr">
        <is>
          <t>22/08/2005</t>
        </is>
      </c>
      <c r="B567" s="8" t="n">
        <v>109.2387680256</v>
      </c>
      <c r="C567" s="15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9" t="inlineStr">
        <is>
          <t>23/08/2005</t>
        </is>
      </c>
      <c r="B568" s="8" t="n">
        <v>108.8831730776</v>
      </c>
      <c r="C568" s="15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9" t="inlineStr">
        <is>
          <t>24/08/2005</t>
        </is>
      </c>
      <c r="B569" s="8" t="n">
        <v>109.2032085308</v>
      </c>
      <c r="C569" s="15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9" t="inlineStr">
        <is>
          <t>25/08/2005</t>
        </is>
      </c>
      <c r="B570" s="8" t="n">
        <v>109.0609705516</v>
      </c>
      <c r="C570" s="15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9" t="inlineStr">
        <is>
          <t>26/08/2005</t>
        </is>
      </c>
      <c r="B571" s="8" t="n">
        <v>109.0254110568</v>
      </c>
      <c r="C571" s="15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9" t="inlineStr">
        <is>
          <t>29/08/2005</t>
        </is>
      </c>
      <c r="B572" s="8" t="n">
        <v>109.1320895412</v>
      </c>
      <c r="C572" s="15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9" t="inlineStr">
        <is>
          <t>30/08/2005</t>
        </is>
      </c>
      <c r="B573" s="8" t="n">
        <v>108.5986971192</v>
      </c>
      <c r="C573" s="15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9" t="inlineStr">
        <is>
          <t>31/08/2005</t>
        </is>
      </c>
      <c r="B574" s="8" t="n">
        <v>108.7053756036</v>
      </c>
      <c r="C574" s="15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9" t="inlineStr">
        <is>
          <t>01/09/2005</t>
        </is>
      </c>
      <c r="B575" s="8" t="n">
        <v>109.6063245438</v>
      </c>
      <c r="C575" s="15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9" t="inlineStr">
        <is>
          <t>02/09/2005</t>
        </is>
      </c>
      <c r="B576" s="8" t="n">
        <v>110.2855548655</v>
      </c>
      <c r="C576" s="15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9" t="inlineStr">
        <is>
          <t>05/09/2005</t>
        </is>
      </c>
      <c r="B577" s="8" t="n">
        <v>110.7860403657</v>
      </c>
      <c r="C577" s="15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9" t="inlineStr">
        <is>
          <t>06/09/2005</t>
        </is>
      </c>
      <c r="B578" s="8" t="n">
        <v>111.4295217231</v>
      </c>
      <c r="C578" s="15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9" t="inlineStr">
        <is>
          <t>08/09/2005</t>
        </is>
      </c>
      <c r="B579" s="8" t="n">
        <v>111.536768616</v>
      </c>
      <c r="C579" s="15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9" t="inlineStr">
        <is>
          <t>09/09/2005</t>
        </is>
      </c>
      <c r="B580" s="8" t="n">
        <v>111.6797644732</v>
      </c>
      <c r="C580" s="15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9" t="inlineStr">
        <is>
          <t>12/09/2005</t>
        </is>
      </c>
      <c r="B581" s="8" t="n">
        <v>112.1802499734</v>
      </c>
      <c r="C581" s="15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9" t="inlineStr">
        <is>
          <t>13/09/2005</t>
        </is>
      </c>
      <c r="B582" s="8" t="n">
        <v>112.4662416878</v>
      </c>
      <c r="C582" s="15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9" t="inlineStr">
        <is>
          <t>14/09/2005</t>
        </is>
      </c>
      <c r="B583" s="8" t="n">
        <v>113.0024761523</v>
      </c>
      <c r="C583" s="15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9" t="inlineStr">
        <is>
          <t>15/09/2005</t>
        </is>
      </c>
      <c r="B584" s="8" t="n">
        <v>113.0382251166</v>
      </c>
      <c r="C584" s="15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9" t="inlineStr">
        <is>
          <t>16/09/2005</t>
        </is>
      </c>
      <c r="B585" s="8" t="n">
        <v>113.2527189024</v>
      </c>
      <c r="C585" s="15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9" t="inlineStr">
        <is>
          <t>19/09/2005</t>
        </is>
      </c>
      <c r="B586" s="8" t="n">
        <v>114.2536899028</v>
      </c>
      <c r="C586" s="15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9" t="inlineStr">
        <is>
          <t>20/09/2005</t>
        </is>
      </c>
      <c r="B587" s="8" t="n">
        <v>115.2904098675</v>
      </c>
      <c r="C587" s="15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9" t="inlineStr">
        <is>
          <t>21/09/2005</t>
        </is>
      </c>
      <c r="B588" s="8" t="n">
        <v>114.8256733316</v>
      </c>
      <c r="C588" s="15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9" t="inlineStr">
        <is>
          <t>22/09/2005</t>
        </is>
      </c>
      <c r="B589" s="8" t="n">
        <v>115.7908953677</v>
      </c>
      <c r="C589" s="15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9" t="inlineStr">
        <is>
          <t>23/09/2005</t>
        </is>
      </c>
      <c r="B590" s="8" t="n">
        <v>115.9338912249</v>
      </c>
      <c r="C590" s="15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9" t="inlineStr">
        <is>
          <t>26/09/2005</t>
        </is>
      </c>
      <c r="B591" s="8" t="n">
        <v>115.826644332</v>
      </c>
      <c r="C591" s="15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9" t="inlineStr">
        <is>
          <t>27/09/2005</t>
        </is>
      </c>
      <c r="B592" s="8" t="n">
        <v>116.0411381178</v>
      </c>
      <c r="C592" s="15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9" t="inlineStr">
        <is>
          <t>28/09/2005</t>
        </is>
      </c>
      <c r="B593" s="8" t="n">
        <v>116.3628787965</v>
      </c>
      <c r="C593" s="15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9" t="inlineStr">
        <is>
          <t>29/09/2005</t>
        </is>
      </c>
      <c r="B594" s="8" t="n">
        <v>116.7561174038</v>
      </c>
      <c r="C594" s="15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9" t="inlineStr">
        <is>
          <t>30/09/2005</t>
        </is>
      </c>
      <c r="B595" s="8" t="n">
        <v>116.6846194752</v>
      </c>
      <c r="C595" s="15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9" t="inlineStr">
        <is>
          <t>03/10/2005</t>
        </is>
      </c>
      <c r="B596" s="8" t="n">
        <v>116.2729733456</v>
      </c>
      <c r="C596" s="15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9" t="inlineStr">
        <is>
          <t>04/10/2005</t>
        </is>
      </c>
      <c r="B597" s="8" t="n">
        <v>116.8415453424</v>
      </c>
      <c r="C597" s="15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9" t="inlineStr">
        <is>
          <t>05/10/2005</t>
        </is>
      </c>
      <c r="B598" s="8" t="n">
        <v>116.8060095926</v>
      </c>
      <c r="C598" s="15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9" t="inlineStr">
        <is>
          <t>06/10/2005</t>
        </is>
      </c>
      <c r="B599" s="8" t="n">
        <v>117.1969028404</v>
      </c>
      <c r="C599" s="15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9" t="inlineStr">
        <is>
          <t>07/10/2005</t>
        </is>
      </c>
      <c r="B600" s="8" t="n">
        <v>117.801010587</v>
      </c>
      <c r="C600" s="15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9" t="inlineStr">
        <is>
          <t>10/10/2005</t>
        </is>
      </c>
      <c r="B601" s="8" t="n">
        <v>118.2629753344</v>
      </c>
      <c r="C601" s="15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9" t="inlineStr">
        <is>
          <t>11/10/2005</t>
        </is>
      </c>
      <c r="B602" s="8" t="n">
        <v>119.04476183</v>
      </c>
      <c r="C602" s="15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9" t="inlineStr">
        <is>
          <t>13/10/2005</t>
        </is>
      </c>
      <c r="B603" s="8" t="n">
        <v>119.6488695766</v>
      </c>
      <c r="C603" s="15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9" t="inlineStr">
        <is>
          <t>14/10/2005</t>
        </is>
      </c>
      <c r="B604" s="8" t="n">
        <v>119.8620840754</v>
      </c>
      <c r="C604" s="15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9" t="inlineStr">
        <is>
          <t>17/10/2005</t>
        </is>
      </c>
      <c r="B605" s="8" t="n">
        <v>120.2174415734</v>
      </c>
      <c r="C605" s="15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9" t="inlineStr">
        <is>
          <t>18/10/2005</t>
        </is>
      </c>
      <c r="B606" s="8" t="n">
        <v>119.8976198252</v>
      </c>
      <c r="C606" s="15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9" t="inlineStr">
        <is>
          <t>19/10/2005</t>
        </is>
      </c>
      <c r="B607" s="8" t="n">
        <v>120.110834324</v>
      </c>
      <c r="C607" s="15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9" t="inlineStr">
        <is>
          <t>20/10/2005</t>
        </is>
      </c>
      <c r="B608" s="8" t="n">
        <v>120.5372633216</v>
      </c>
      <c r="C608" s="15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9" t="inlineStr">
        <is>
          <t>21/10/2005</t>
        </is>
      </c>
      <c r="B609" s="8" t="n">
        <v>121.176906818</v>
      </c>
      <c r="C609" s="15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9" t="inlineStr">
        <is>
          <t>24/10/2005</t>
        </is>
      </c>
      <c r="B610" s="8" t="n">
        <v>121.6033358156</v>
      </c>
      <c r="C610" s="15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9" t="inlineStr">
        <is>
          <t>25/10/2005</t>
        </is>
      </c>
      <c r="B611" s="8" t="n">
        <v>121.532264316</v>
      </c>
      <c r="C611" s="15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9" t="inlineStr">
        <is>
          <t>26/10/2005</t>
        </is>
      </c>
      <c r="B612" s="8" t="n">
        <v>121.5678000658</v>
      </c>
      <c r="C612" s="15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9" t="inlineStr">
        <is>
          <t>27/10/2005</t>
        </is>
      </c>
      <c r="B613" s="8" t="n">
        <v>121.709943065</v>
      </c>
      <c r="C613" s="15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9" t="inlineStr">
        <is>
          <t>28/10/2005</t>
        </is>
      </c>
      <c r="B614" s="8" t="n">
        <v>121.8520860642</v>
      </c>
      <c r="C614" s="15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9" t="inlineStr">
        <is>
          <t>31/10/2005</t>
        </is>
      </c>
      <c r="B615" s="8" t="n">
        <v>122.5272653104</v>
      </c>
      <c r="C615" s="15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9" t="inlineStr">
        <is>
          <t>01/11/2005</t>
        </is>
      </c>
      <c r="B616" s="8" t="n">
        <v>121.8975321564</v>
      </c>
      <c r="C616" s="15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9" t="inlineStr">
        <is>
          <t>03/11/2005</t>
        </is>
      </c>
      <c r="B617" s="8" t="n">
        <v>122.0391088488</v>
      </c>
      <c r="C617" s="15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9" t="inlineStr">
        <is>
          <t>04/11/2005</t>
        </is>
      </c>
      <c r="B618" s="8" t="n">
        <v>122.463838926</v>
      </c>
      <c r="C618" s="15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9" t="inlineStr">
        <is>
          <t>07/11/2005</t>
        </is>
      </c>
      <c r="B619" s="8" t="n">
        <v>122.3576564067</v>
      </c>
      <c r="C619" s="15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9" t="inlineStr">
        <is>
          <t>08/11/2005</t>
        </is>
      </c>
      <c r="B620" s="8" t="n">
        <v>122.5346272722</v>
      </c>
      <c r="C620" s="15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9" t="inlineStr">
        <is>
          <t>09/11/2005</t>
        </is>
      </c>
      <c r="B621" s="8" t="n">
        <v>122.3930505798</v>
      </c>
      <c r="C621" s="15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9" t="inlineStr">
        <is>
          <t>10/11/2005</t>
        </is>
      </c>
      <c r="B622" s="8" t="n">
        <v>122.3576564067</v>
      </c>
      <c r="C622" s="15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9" t="inlineStr">
        <is>
          <t>11/11/2005</t>
        </is>
      </c>
      <c r="B623" s="8" t="n">
        <v>122.2160797143</v>
      </c>
      <c r="C623" s="15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9" t="inlineStr">
        <is>
          <t>14/11/2005</t>
        </is>
      </c>
      <c r="B624" s="8" t="n">
        <v>122.1452913681</v>
      </c>
      <c r="C624" s="15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9" t="inlineStr">
        <is>
          <t>16/11/2005</t>
        </is>
      </c>
      <c r="B625" s="8" t="n">
        <v>122.0391088488</v>
      </c>
      <c r="C625" s="15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9" t="inlineStr">
        <is>
          <t>17/11/2005</t>
        </is>
      </c>
      <c r="B626" s="8" t="n">
        <v>121.6851671178</v>
      </c>
      <c r="C626" s="15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9" t="inlineStr">
        <is>
          <t>18/11/2005</t>
        </is>
      </c>
      <c r="B627" s="8" t="n">
        <v>121.3666195599</v>
      </c>
      <c r="C627" s="15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9" t="inlineStr">
        <is>
          <t>21/11/2005</t>
        </is>
      </c>
      <c r="B628" s="8" t="n">
        <v>121.1542545213</v>
      </c>
      <c r="C628" s="15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9" t="inlineStr">
        <is>
          <t>22/11/2005</t>
        </is>
      </c>
      <c r="B629" s="8" t="n">
        <v>121.3666195599</v>
      </c>
      <c r="C629" s="15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9" t="inlineStr">
        <is>
          <t>23/11/2005</t>
        </is>
      </c>
      <c r="B630" s="8" t="n">
        <v>121.1188603482</v>
      </c>
      <c r="C630" s="15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9" t="inlineStr">
        <is>
          <t>24/11/2005</t>
        </is>
      </c>
      <c r="B631" s="8" t="n">
        <v>120.6587360979</v>
      </c>
      <c r="C631" s="15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9" t="inlineStr">
        <is>
          <t>25/11/2005</t>
        </is>
      </c>
      <c r="B632" s="8" t="n">
        <v>119.8446701166</v>
      </c>
      <c r="C632" s="15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9" t="inlineStr">
        <is>
          <t>28/11/2005</t>
        </is>
      </c>
      <c r="B633" s="8" t="n">
        <v>119.3845458663</v>
      </c>
      <c r="C633" s="15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9" t="inlineStr">
        <is>
          <t>29/11/2005</t>
        </is>
      </c>
      <c r="B634" s="8" t="n">
        <v>118.7828449236</v>
      </c>
      <c r="C634" s="15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9" t="inlineStr">
        <is>
          <t>30/11/2005</t>
        </is>
      </c>
      <c r="B635" s="8" t="n">
        <v>118.6412682312</v>
      </c>
      <c r="C635" s="15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9" t="inlineStr">
        <is>
          <t>01/12/2005</t>
        </is>
      </c>
      <c r="B636" s="8" t="n">
        <v>118.7947244924</v>
      </c>
      <c r="C636" s="15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9" t="inlineStr">
        <is>
          <t>02/12/2005</t>
        </is>
      </c>
      <c r="B637" s="8" t="n">
        <v>119.5026787504</v>
      </c>
      <c r="C637" s="15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9" t="inlineStr">
        <is>
          <t>05/12/2005</t>
        </is>
      </c>
      <c r="B638" s="8" t="n">
        <v>121.1309735438</v>
      </c>
      <c r="C638" s="15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9" t="inlineStr">
        <is>
          <t>06/12/2005</t>
        </is>
      </c>
      <c r="B639" s="8" t="n">
        <v>122.7946660501</v>
      </c>
      <c r="C639" s="15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9" t="inlineStr">
        <is>
          <t>07/12/2005</t>
        </is>
      </c>
      <c r="B640" s="8" t="n">
        <v>125.0601196757</v>
      </c>
      <c r="C640" s="15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9" t="inlineStr">
        <is>
          <t>08/12/2005</t>
        </is>
      </c>
      <c r="B641" s="8" t="n">
        <v>126.9361984594</v>
      </c>
      <c r="C641" s="15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9" t="inlineStr">
        <is>
          <t>09/12/2005</t>
        </is>
      </c>
      <c r="B642" s="8" t="n">
        <v>128.847674956</v>
      </c>
      <c r="C642" s="15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9" t="inlineStr">
        <is>
          <t>12/12/2005</t>
        </is>
      </c>
      <c r="B643" s="8" t="n">
        <v>129.8034132043</v>
      </c>
      <c r="C643" s="15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9" t="inlineStr">
        <is>
          <t>13/12/2005</t>
        </is>
      </c>
      <c r="B644" s="8" t="n">
        <v>132.5998325234</v>
      </c>
      <c r="C644" s="15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9" t="inlineStr">
        <is>
          <t>14/12/2005</t>
        </is>
      </c>
      <c r="B645" s="8" t="n">
        <v>134.6882975845</v>
      </c>
      <c r="C645" s="15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9" t="inlineStr">
        <is>
          <t>15/12/2005</t>
        </is>
      </c>
      <c r="B646" s="8" t="n">
        <v>136.7059672198</v>
      </c>
      <c r="C646" s="15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9" t="inlineStr">
        <is>
          <t>16/12/2005</t>
        </is>
      </c>
      <c r="B647" s="8" t="n">
        <v>139.2900002615</v>
      </c>
      <c r="C647" s="15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9" t="inlineStr">
        <is>
          <t>19/12/2005</t>
        </is>
      </c>
      <c r="B648" s="8" t="n">
        <v>143.9624983643</v>
      </c>
      <c r="C648" s="15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9" t="inlineStr">
        <is>
          <t>20/12/2005</t>
        </is>
      </c>
      <c r="B649" s="8" t="n">
        <v>145.13062289</v>
      </c>
      <c r="C649" s="15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9" t="inlineStr">
        <is>
          <t>21/12/2005</t>
        </is>
      </c>
      <c r="B650" s="8" t="n">
        <v>147.608462793</v>
      </c>
      <c r="C650" s="15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9" t="inlineStr">
        <is>
          <t>22/12/2005</t>
        </is>
      </c>
      <c r="B651" s="8" t="n">
        <v>151.148234083</v>
      </c>
      <c r="C651" s="15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9" t="inlineStr">
        <is>
          <t>23/12/2005</t>
        </is>
      </c>
      <c r="B652" s="8" t="n">
        <v>153.1659037183</v>
      </c>
      <c r="C652" s="15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9" t="inlineStr">
        <is>
          <t>26/12/2005</t>
        </is>
      </c>
      <c r="B653" s="8" t="n">
        <v>155.1835733536</v>
      </c>
      <c r="C653" s="15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9" t="inlineStr">
        <is>
          <t>27/12/2005</t>
        </is>
      </c>
      <c r="B654" s="8" t="n">
        <v>158.0507880985</v>
      </c>
      <c r="C654" s="15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9" t="inlineStr">
        <is>
          <t>28/12/2005</t>
        </is>
      </c>
      <c r="B655" s="8" t="n">
        <v>158.7587423565</v>
      </c>
      <c r="C655" s="15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9" t="inlineStr">
        <is>
          <t>29/12/2005</t>
        </is>
      </c>
      <c r="B656" s="8" t="n">
        <v>161.2719799724</v>
      </c>
      <c r="C656" s="15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9" t="inlineStr">
        <is>
          <t>02/01/2006</t>
        </is>
      </c>
      <c r="B657" s="8" t="n">
        <v>161.5906295789</v>
      </c>
      <c r="C657" s="15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9" t="inlineStr">
        <is>
          <t>03/01/2006</t>
        </is>
      </c>
      <c r="B658" s="8" t="n">
        <v>163.7652809863</v>
      </c>
      <c r="C658" s="15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9" t="inlineStr">
        <is>
          <t>04/01/2006</t>
        </is>
      </c>
      <c r="B659" s="8" t="n">
        <v>165.0981318489</v>
      </c>
      <c r="C659" s="15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9" t="inlineStr">
        <is>
          <t>05/01/2006</t>
        </is>
      </c>
      <c r="B660" s="8" t="n">
        <v>166.9220330293</v>
      </c>
      <c r="C660" s="15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9" t="inlineStr">
        <is>
          <t>06/01/2006</t>
        </is>
      </c>
      <c r="B661" s="8" t="n">
        <v>167.7287585514</v>
      </c>
      <c r="C661" s="15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9" t="inlineStr">
        <is>
          <t>09/01/2006</t>
        </is>
      </c>
      <c r="B662" s="8" t="n">
        <v>169.2369845275</v>
      </c>
      <c r="C662" s="15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9" t="inlineStr">
        <is>
          <t>10/01/2006</t>
        </is>
      </c>
      <c r="B663" s="8" t="n">
        <v>169.9735600042</v>
      </c>
      <c r="C663" s="15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9" t="inlineStr">
        <is>
          <t>11/01/2006</t>
        </is>
      </c>
      <c r="B664" s="8" t="n">
        <v>169.3422095956</v>
      </c>
      <c r="C664" s="15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9" t="inlineStr">
        <is>
          <t>12/01/2006</t>
        </is>
      </c>
      <c r="B665" s="8" t="n">
        <v>168.3250339373</v>
      </c>
      <c r="C665" s="15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9" t="inlineStr">
        <is>
          <t>13/01/2006</t>
        </is>
      </c>
      <c r="B666" s="8" t="n">
        <v>167.7287585514</v>
      </c>
      <c r="C666" s="15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9" t="inlineStr">
        <is>
          <t>16/01/2006</t>
        </is>
      </c>
      <c r="B667" s="8" t="n">
        <v>166.8168079612</v>
      </c>
      <c r="C667" s="15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9" t="inlineStr">
        <is>
          <t>17/01/2006</t>
        </is>
      </c>
      <c r="B668" s="8" t="n">
        <v>167.2026332109</v>
      </c>
      <c r="C668" s="15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9" t="inlineStr">
        <is>
          <t>18/01/2006</t>
        </is>
      </c>
      <c r="B669" s="8" t="n">
        <v>166.1503825299</v>
      </c>
      <c r="C669" s="15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9" t="inlineStr">
        <is>
          <t>19/01/2006</t>
        </is>
      </c>
      <c r="B670" s="8" t="n">
        <v>166.606357825</v>
      </c>
      <c r="C670" s="15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9" t="inlineStr">
        <is>
          <t>20/01/2006</t>
        </is>
      </c>
      <c r="B671" s="8" t="n">
        <v>167.0623331201</v>
      </c>
      <c r="C671" s="15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9" t="inlineStr">
        <is>
          <t>23/01/2006</t>
        </is>
      </c>
      <c r="B672" s="8" t="n">
        <v>168.3951839827</v>
      </c>
      <c r="C672" s="15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9" t="inlineStr">
        <is>
          <t>24/01/2006</t>
        </is>
      </c>
      <c r="B673" s="8" t="n">
        <v>168.9213093232</v>
      </c>
      <c r="C673" s="15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9" t="inlineStr">
        <is>
          <t>25/01/2006</t>
        </is>
      </c>
      <c r="B674" s="8" t="n">
        <v>168.6056341189</v>
      </c>
      <c r="C674" s="15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9" t="inlineStr">
        <is>
          <t>26/01/2006</t>
        </is>
      </c>
      <c r="B675" s="8" t="n">
        <v>169.061609414</v>
      </c>
      <c r="C675" s="15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9" t="inlineStr">
        <is>
          <t>27/01/2006</t>
        </is>
      </c>
      <c r="B676" s="8" t="n">
        <v>169.0966844367</v>
      </c>
      <c r="C676" s="15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9" t="inlineStr">
        <is>
          <t>30/01/2006</t>
        </is>
      </c>
      <c r="B677" s="8" t="n">
        <v>170.0437100496</v>
      </c>
      <c r="C677" s="15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9" t="inlineStr">
        <is>
          <t>31/01/2006</t>
        </is>
      </c>
      <c r="B678" s="8" t="n">
        <v>171.166110776</v>
      </c>
      <c r="C678" s="15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9" t="inlineStr">
        <is>
          <t>01/02/2006</t>
        </is>
      </c>
      <c r="B679" s="8" t="n">
        <v>172.2362131116</v>
      </c>
      <c r="C679" s="15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9" t="inlineStr">
        <is>
          <t>02/02/2006</t>
        </is>
      </c>
      <c r="B680" s="8" t="n">
        <v>174.0950034384</v>
      </c>
      <c r="C680" s="15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9" t="inlineStr">
        <is>
          <t>03/02/2006</t>
        </is>
      </c>
      <c r="B681" s="8" t="n">
        <v>175.1471489064</v>
      </c>
      <c r="C681" s="15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9" t="inlineStr">
        <is>
          <t>06/02/2006</t>
        </is>
      </c>
      <c r="B682" s="8" t="n">
        <v>177.4969404516</v>
      </c>
      <c r="C682" s="15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9" t="inlineStr">
        <is>
          <t>07/02/2006</t>
        </is>
      </c>
      <c r="B683" s="8" t="n">
        <v>178.2334422792</v>
      </c>
      <c r="C683" s="15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9" t="inlineStr">
        <is>
          <t>08/02/2006</t>
        </is>
      </c>
      <c r="B684" s="8" t="n">
        <v>178.6543004664</v>
      </c>
      <c r="C684" s="15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9" t="inlineStr">
        <is>
          <t>09/02/2006</t>
        </is>
      </c>
      <c r="B685" s="8" t="n">
        <v>179.4258738096</v>
      </c>
      <c r="C685" s="15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9" t="inlineStr">
        <is>
          <t>10/02/2006</t>
        </is>
      </c>
      <c r="B686" s="8" t="n">
        <v>179.916875028</v>
      </c>
      <c r="C686" s="15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9" t="inlineStr">
        <is>
          <t>13/02/2006</t>
        </is>
      </c>
      <c r="B687" s="8" t="n">
        <v>180.7585914024</v>
      </c>
      <c r="C687" s="15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9" t="inlineStr">
        <is>
          <t>14/02/2006</t>
        </is>
      </c>
      <c r="B688" s="8" t="n">
        <v>181.3548071676</v>
      </c>
      <c r="C688" s="15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9" t="inlineStr">
        <is>
          <t>15/02/2006</t>
        </is>
      </c>
      <c r="B689" s="8" t="n">
        <v>181.9860944484</v>
      </c>
      <c r="C689" s="15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9" t="inlineStr">
        <is>
          <t>16/02/2006</t>
        </is>
      </c>
      <c r="B690" s="8" t="n">
        <v>183.1083829476</v>
      </c>
      <c r="C690" s="15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9" t="inlineStr">
        <is>
          <t>17/02/2006</t>
        </is>
      </c>
      <c r="B691" s="8" t="n">
        <v>183.7396702284</v>
      </c>
      <c r="C691" s="15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9" t="inlineStr">
        <is>
          <t>20/02/2006</t>
        </is>
      </c>
      <c r="B692" s="8" t="n">
        <v>184.7918156964</v>
      </c>
      <c r="C692" s="15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9" t="inlineStr">
        <is>
          <t>21/02/2006</t>
        </is>
      </c>
      <c r="B693" s="8" t="n">
        <v>185.7738181332</v>
      </c>
      <c r="C693" s="15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9" t="inlineStr">
        <is>
          <t>22/02/2006</t>
        </is>
      </c>
      <c r="B694" s="8" t="n">
        <v>186.2648193516</v>
      </c>
      <c r="C694" s="15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9" t="inlineStr">
        <is>
          <t>23/02/2006</t>
        </is>
      </c>
      <c r="B695" s="8" t="n">
        <v>185.9141041956</v>
      </c>
      <c r="C695" s="15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9" t="inlineStr">
        <is>
          <t>24/02/2006</t>
        </is>
      </c>
      <c r="B696" s="8" t="n">
        <v>185.1425308524</v>
      </c>
      <c r="C696" s="15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9" t="inlineStr">
        <is>
          <t>01/03/2006</t>
        </is>
      </c>
      <c r="B697" s="8" t="n">
        <v>186.518453996</v>
      </c>
      <c r="C697" s="15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9" t="inlineStr">
        <is>
          <t>02/03/2006</t>
        </is>
      </c>
      <c r="B698" s="8" t="n">
        <v>187.994853368</v>
      </c>
      <c r="C698" s="15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9" t="inlineStr">
        <is>
          <t>03/03/2006</t>
        </is>
      </c>
      <c r="B699" s="8" t="n">
        <v>188.59244359</v>
      </c>
      <c r="C699" s="15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9" t="inlineStr">
        <is>
          <t>06/03/2006</t>
        </is>
      </c>
      <c r="B700" s="8" t="n">
        <v>188.486986492</v>
      </c>
      <c r="C700" s="15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9" t="inlineStr">
        <is>
          <t>07/03/2006</t>
        </is>
      </c>
      <c r="B701" s="8" t="n">
        <v>188.381529394</v>
      </c>
      <c r="C701" s="15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9" t="inlineStr">
        <is>
          <t>08/03/2006</t>
        </is>
      </c>
      <c r="B702" s="8" t="n">
        <v>188.100310466</v>
      </c>
      <c r="C702" s="15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9" t="inlineStr">
        <is>
          <t>09/03/2006</t>
        </is>
      </c>
      <c r="B703" s="8" t="n">
        <v>186.518453996</v>
      </c>
      <c r="C703" s="15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9" t="inlineStr">
        <is>
          <t>10/03/2006</t>
        </is>
      </c>
      <c r="B704" s="8" t="n">
        <v>185.463883016</v>
      </c>
      <c r="C704" s="15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9" t="inlineStr">
        <is>
          <t>13/03/2006</t>
        </is>
      </c>
      <c r="B705" s="8" t="n">
        <v>185.07720699</v>
      </c>
      <c r="C705" s="15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9" t="inlineStr">
        <is>
          <t>14/03/2006</t>
        </is>
      </c>
      <c r="B706" s="8" t="n">
        <v>184.163245474</v>
      </c>
      <c r="C706" s="15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9" t="inlineStr">
        <is>
          <t>15/03/2006</t>
        </is>
      </c>
      <c r="B707" s="8" t="n">
        <v>184.233550206</v>
      </c>
      <c r="C707" s="15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9" t="inlineStr">
        <is>
          <t>16/03/2006</t>
        </is>
      </c>
      <c r="B708" s="8" t="n">
        <v>183.917178912</v>
      </c>
      <c r="C708" s="15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9" t="inlineStr">
        <is>
          <t>17/03/2006</t>
        </is>
      </c>
      <c r="B709" s="8" t="n">
        <v>182.26501771</v>
      </c>
      <c r="C709" s="15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9" t="inlineStr">
        <is>
          <t>20/03/2006</t>
        </is>
      </c>
      <c r="B710" s="8" t="n">
        <v>180.577704142</v>
      </c>
      <c r="C710" s="15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9" t="inlineStr">
        <is>
          <t>21/03/2006</t>
        </is>
      </c>
      <c r="B711" s="8" t="n">
        <v>178.784933476</v>
      </c>
      <c r="C711" s="15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9" t="inlineStr">
        <is>
          <t>22/03/2006</t>
        </is>
      </c>
      <c r="B712" s="8" t="n">
        <v>177.238229372</v>
      </c>
      <c r="C712" s="15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9" t="inlineStr">
        <is>
          <t>23/03/2006</t>
        </is>
      </c>
      <c r="B713" s="8" t="n">
        <v>175.304849242</v>
      </c>
      <c r="C713" s="15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9" t="inlineStr">
        <is>
          <t>24/03/2006</t>
        </is>
      </c>
      <c r="B714" s="8" t="n">
        <v>175.05878268</v>
      </c>
      <c r="C714" s="15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9" t="inlineStr">
        <is>
          <t>27/03/2006</t>
        </is>
      </c>
      <c r="B715" s="8" t="n">
        <v>174.672106654</v>
      </c>
      <c r="C715" s="15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9" t="inlineStr">
        <is>
          <t>28/03/2006</t>
        </is>
      </c>
      <c r="B716" s="8" t="n">
        <v>174.988477948</v>
      </c>
      <c r="C716" s="15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9" t="inlineStr">
        <is>
          <t>29/03/2006</t>
        </is>
      </c>
      <c r="B717" s="8" t="n">
        <v>174.461192458</v>
      </c>
      <c r="C717" s="15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9" t="inlineStr">
        <is>
          <t>30/03/2006</t>
        </is>
      </c>
      <c r="B718" s="8" t="n">
        <v>175.199392144</v>
      </c>
      <c r="C718" s="15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9" t="inlineStr">
        <is>
          <t>31/03/2006</t>
        </is>
      </c>
      <c r="B719" s="8" t="n">
        <v>175.58606817</v>
      </c>
      <c r="C719" s="15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9" t="inlineStr">
        <is>
          <t>03/04/2006</t>
        </is>
      </c>
      <c r="B720" s="8" t="n">
        <v>176.7855480288</v>
      </c>
      <c r="C720" s="15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9" t="inlineStr">
        <is>
          <t>04/04/2006</t>
        </is>
      </c>
      <c r="B721" s="8" t="n">
        <v>177.3150574578</v>
      </c>
      <c r="C721" s="15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9" t="inlineStr">
        <is>
          <t>05/04/2006</t>
        </is>
      </c>
      <c r="B722" s="8" t="n">
        <v>178.091671287</v>
      </c>
      <c r="C722" s="15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9" t="inlineStr">
        <is>
          <t>06/04/2006</t>
        </is>
      </c>
      <c r="B723" s="8" t="n">
        <v>179.0094876306</v>
      </c>
      <c r="C723" s="15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9" t="inlineStr">
        <is>
          <t>07/04/2006</t>
        </is>
      </c>
      <c r="B724" s="8" t="n">
        <v>179.0447882592</v>
      </c>
      <c r="C724" s="15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9" t="inlineStr">
        <is>
          <t>10/04/2006</t>
        </is>
      </c>
      <c r="B725" s="8" t="n">
        <v>179.503696431</v>
      </c>
      <c r="C725" s="15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9" t="inlineStr">
        <is>
          <t>11/04/2006</t>
        </is>
      </c>
      <c r="B726" s="8" t="n">
        <v>180.3156108888</v>
      </c>
      <c r="C726" s="15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9" t="inlineStr">
        <is>
          <t>12/04/2006</t>
        </is>
      </c>
      <c r="B727" s="8" t="n">
        <v>179.7155002026</v>
      </c>
      <c r="C727" s="15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9" t="inlineStr">
        <is>
          <t>13/04/2006</t>
        </is>
      </c>
      <c r="B728" s="8" t="n">
        <v>180.8098196892</v>
      </c>
      <c r="C728" s="15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9" t="inlineStr">
        <is>
          <t>17/04/2006</t>
        </is>
      </c>
      <c r="B729" s="8" t="n">
        <v>180.7039178034</v>
      </c>
      <c r="C729" s="15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9" t="inlineStr">
        <is>
          <t>18/04/2006</t>
        </is>
      </c>
      <c r="B730" s="8" t="n">
        <v>180.209709003</v>
      </c>
      <c r="C730" s="15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9" t="inlineStr">
        <is>
          <t>19/04/2006</t>
        </is>
      </c>
      <c r="B731" s="8" t="n">
        <v>180.4568134032</v>
      </c>
      <c r="C731" s="15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9" t="inlineStr">
        <is>
          <t>20/04/2006</t>
        </is>
      </c>
      <c r="B732" s="8" t="n">
        <v>179.8920033456</v>
      </c>
      <c r="C732" s="15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9" t="inlineStr">
        <is>
          <t>24/04/2006</t>
        </is>
      </c>
      <c r="B733" s="8" t="n">
        <v>178.1975731728</v>
      </c>
      <c r="C733" s="15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9" t="inlineStr">
        <is>
          <t>25/04/2006</t>
        </is>
      </c>
      <c r="B734" s="8" t="n">
        <v>177.7033643724</v>
      </c>
      <c r="C734" s="15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9" t="inlineStr">
        <is>
          <t>26/04/2006</t>
        </is>
      </c>
      <c r="B735" s="8" t="n">
        <v>176.7855480288</v>
      </c>
      <c r="C735" s="15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9" t="inlineStr">
        <is>
          <t>27/04/2006</t>
        </is>
      </c>
      <c r="B736" s="8" t="n">
        <v>176.0442348282</v>
      </c>
      <c r="C736" s="15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9" t="inlineStr">
        <is>
          <t>28/04/2006</t>
        </is>
      </c>
      <c r="B737" s="8" t="n">
        <v>175.267620999</v>
      </c>
      <c r="C737" s="15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9" t="inlineStr">
        <is>
          <t>02/05/2006</t>
        </is>
      </c>
      <c r="B738" s="8" t="n">
        <v>173.6546168658</v>
      </c>
      <c r="C738" s="15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9" t="inlineStr">
        <is>
          <t>03/05/2006</t>
        </is>
      </c>
      <c r="B739" s="8" t="n">
        <v>173.1974459425</v>
      </c>
      <c r="C739" s="15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9" t="inlineStr">
        <is>
          <t>04/05/2006</t>
        </is>
      </c>
      <c r="B740" s="8" t="n">
        <v>173.4436149012</v>
      </c>
      <c r="C740" s="15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9" t="inlineStr">
        <is>
          <t>05/05/2006</t>
        </is>
      </c>
      <c r="B741" s="8" t="n">
        <v>173.3029469248</v>
      </c>
      <c r="C741" s="15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9" t="inlineStr">
        <is>
          <t>08/05/2006</t>
        </is>
      </c>
      <c r="B742" s="8" t="n">
        <v>172.4237720723</v>
      </c>
      <c r="C742" s="15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9" t="inlineStr">
        <is>
          <t>09/05/2006</t>
        </is>
      </c>
      <c r="B743" s="8" t="n">
        <v>171.7204321903</v>
      </c>
      <c r="C743" s="15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9" t="inlineStr">
        <is>
          <t>10/05/2006</t>
        </is>
      </c>
      <c r="B744" s="8" t="n">
        <v>170.4544204027</v>
      </c>
      <c r="C744" s="15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9" t="inlineStr">
        <is>
          <t>11/05/2006</t>
        </is>
      </c>
      <c r="B745" s="8" t="n">
        <v>169.5752455502</v>
      </c>
      <c r="C745" s="15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9" t="inlineStr">
        <is>
          <t>12/05/2006</t>
        </is>
      </c>
      <c r="B746" s="8" t="n">
        <v>168.1685657862</v>
      </c>
      <c r="C746" s="15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9" t="inlineStr">
        <is>
          <t>15/05/2006</t>
        </is>
      </c>
      <c r="B747" s="8" t="n">
        <v>168.3444007567</v>
      </c>
      <c r="C747" s="15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9" t="inlineStr">
        <is>
          <t>16/05/2006</t>
        </is>
      </c>
      <c r="B748" s="8" t="n">
        <v>168.3444007567</v>
      </c>
      <c r="C748" s="15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9" t="inlineStr">
        <is>
          <t>17/05/2006</t>
        </is>
      </c>
      <c r="B749" s="8" t="n">
        <v>168.5202357272</v>
      </c>
      <c r="C749" s="15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9" t="inlineStr">
        <is>
          <t>18/05/2006</t>
        </is>
      </c>
      <c r="B750" s="8" t="n">
        <v>168.2037327803</v>
      </c>
      <c r="C750" s="15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9" t="inlineStr">
        <is>
          <t>19/05/2006</t>
        </is>
      </c>
      <c r="B751" s="8" t="n">
        <v>168.2740667685</v>
      </c>
      <c r="C751" s="15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9" t="inlineStr">
        <is>
          <t>22/05/2006</t>
        </is>
      </c>
      <c r="B752" s="8" t="n">
        <v>168.3092337626</v>
      </c>
      <c r="C752" s="15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9" t="inlineStr">
        <is>
          <t>23/05/2006</t>
        </is>
      </c>
      <c r="B753" s="8" t="n">
        <v>169.0125736446</v>
      </c>
      <c r="C753" s="15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9" t="inlineStr">
        <is>
          <t>24/05/2006</t>
        </is>
      </c>
      <c r="B754" s="8" t="n">
        <v>169.5400785561</v>
      </c>
      <c r="C754" s="15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9" t="inlineStr">
        <is>
          <t>25/05/2006</t>
        </is>
      </c>
      <c r="B755" s="8" t="n">
        <v>170.2785854322</v>
      </c>
      <c r="C755" s="15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9" t="inlineStr">
        <is>
          <t>26/05/2006</t>
        </is>
      </c>
      <c r="B756" s="8" t="n">
        <v>171.5445972198</v>
      </c>
      <c r="C756" s="15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9" t="inlineStr">
        <is>
          <t>29/05/2006</t>
        </is>
      </c>
      <c r="B757" s="8" t="n">
        <v>173.3029469248</v>
      </c>
      <c r="C757" s="15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9" t="inlineStr">
        <is>
          <t>30/05/2006</t>
        </is>
      </c>
      <c r="B758" s="8" t="n">
        <v>174.1821217773</v>
      </c>
      <c r="C758" s="15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9" t="inlineStr">
        <is>
          <t>31/05/2006</t>
        </is>
      </c>
      <c r="B759" s="8" t="n">
        <v>173.1622789484</v>
      </c>
      <c r="C759" s="15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9" t="inlineStr">
        <is>
          <t>01/06/2006</t>
        </is>
      </c>
      <c r="B760" s="8" t="n">
        <v>172.36190229</v>
      </c>
      <c r="C760" s="15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9" t="inlineStr">
        <is>
          <t>02/06/2006</t>
        </is>
      </c>
      <c r="B761" s="8" t="n">
        <v>171.768513805</v>
      </c>
      <c r="C761" s="15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9" t="inlineStr">
        <is>
          <t>05/06/2006</t>
        </is>
      </c>
      <c r="B762" s="8" t="n">
        <v>172.50152311</v>
      </c>
      <c r="C762" s="15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9" t="inlineStr">
        <is>
          <t>06/06/2006</t>
        </is>
      </c>
      <c r="B763" s="8" t="n">
        <v>172.50152311</v>
      </c>
      <c r="C763" s="15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9" t="inlineStr">
        <is>
          <t>07/06/2006</t>
        </is>
      </c>
      <c r="B764" s="8" t="n">
        <v>172.64114393</v>
      </c>
      <c r="C764" s="15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9" t="inlineStr">
        <is>
          <t>08/06/2006</t>
        </is>
      </c>
      <c r="B765" s="8" t="n">
        <v>172.676049135</v>
      </c>
      <c r="C765" s="15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9" t="inlineStr">
        <is>
          <t>09/06/2006</t>
        </is>
      </c>
      <c r="B766" s="8" t="n">
        <v>173.164722005</v>
      </c>
      <c r="C766" s="15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9" t="inlineStr">
        <is>
          <t>12/06/2006</t>
        </is>
      </c>
      <c r="B767" s="8" t="n">
        <v>173.374153235</v>
      </c>
      <c r="C767" s="15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9" t="inlineStr">
        <is>
          <t>13/06/2006</t>
        </is>
      </c>
      <c r="B768" s="8" t="n">
        <v>173.47886885</v>
      </c>
      <c r="C768" s="15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9" t="inlineStr">
        <is>
          <t>14/06/2006</t>
        </is>
      </c>
      <c r="B769" s="8" t="n">
        <v>173.19962721</v>
      </c>
      <c r="C769" s="15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9" t="inlineStr">
        <is>
          <t>16/06/2006</t>
        </is>
      </c>
      <c r="B770" s="8" t="n">
        <v>172.396807495</v>
      </c>
      <c r="C770" s="15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9" t="inlineStr">
        <is>
          <t>19/06/2006</t>
        </is>
      </c>
      <c r="B771" s="8" t="n">
        <v>173.06000639</v>
      </c>
      <c r="C771" s="15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9" t="inlineStr">
        <is>
          <t>20/06/2006</t>
        </is>
      </c>
      <c r="B772" s="8" t="n">
        <v>172.885480365</v>
      </c>
      <c r="C772" s="15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9" t="inlineStr">
        <is>
          <t>21/06/2006</t>
        </is>
      </c>
      <c r="B773" s="8" t="n">
        <v>173.513774055</v>
      </c>
      <c r="C773" s="15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9" t="inlineStr">
        <is>
          <t>22/06/2006</t>
        </is>
      </c>
      <c r="B774" s="8" t="n">
        <v>174.072257335</v>
      </c>
      <c r="C774" s="15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9" t="inlineStr">
        <is>
          <t>23/06/2006</t>
        </is>
      </c>
      <c r="B775" s="8" t="n">
        <v>173.68830008</v>
      </c>
      <c r="C775" s="15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9" t="inlineStr">
        <is>
          <t>26/06/2006</t>
        </is>
      </c>
      <c r="B776" s="8" t="n">
        <v>174.770361435</v>
      </c>
      <c r="C776" s="15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9" t="inlineStr">
        <is>
          <t>27/06/2006</t>
        </is>
      </c>
      <c r="B777" s="8" t="n">
        <v>174.630740615</v>
      </c>
      <c r="C777" s="15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9" t="inlineStr">
        <is>
          <t>28/06/2006</t>
        </is>
      </c>
      <c r="B778" s="8" t="n">
        <v>175.189223895</v>
      </c>
      <c r="C778" s="15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9" t="inlineStr">
        <is>
          <t>29/06/2006</t>
        </is>
      </c>
      <c r="B779" s="8" t="n">
        <v>176.34109566</v>
      </c>
      <c r="C779" s="15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9" t="inlineStr">
        <is>
          <t>30/06/2006</t>
        </is>
      </c>
      <c r="B780" s="8" t="n">
        <v>175.99204361</v>
      </c>
      <c r="C780" s="15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9" t="inlineStr">
        <is>
          <t>03/07/2006</t>
        </is>
      </c>
      <c r="B781" s="8" t="n">
        <v>177.0346840685</v>
      </c>
      <c r="C781" s="15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9" t="inlineStr">
        <is>
          <t>04/07/2006</t>
        </is>
      </c>
      <c r="B782" s="8" t="n">
        <v>177.348266465</v>
      </c>
      <c r="C782" s="15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9" t="inlineStr">
        <is>
          <t>05/07/2006</t>
        </is>
      </c>
      <c r="B783" s="8" t="n">
        <v>177.487636419</v>
      </c>
      <c r="C783" s="15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9" t="inlineStr">
        <is>
          <t>06/07/2006</t>
        </is>
      </c>
      <c r="B784" s="8" t="n">
        <v>176.790786649</v>
      </c>
      <c r="C784" s="15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9" t="inlineStr">
        <is>
          <t>07/07/2006</t>
        </is>
      </c>
      <c r="B785" s="8" t="n">
        <v>176.651416695</v>
      </c>
      <c r="C785" s="15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9" t="inlineStr">
        <is>
          <t>10/07/2006</t>
        </is>
      </c>
      <c r="B786" s="8" t="n">
        <v>178.881335959</v>
      </c>
      <c r="C786" s="15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9" t="inlineStr">
        <is>
          <t>11/07/2006</t>
        </is>
      </c>
      <c r="B787" s="8" t="n">
        <v>175.7106695055</v>
      </c>
      <c r="C787" s="15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9" t="inlineStr">
        <is>
          <t>12/07/2006</t>
        </is>
      </c>
      <c r="B788" s="8" t="n">
        <v>175.745511994</v>
      </c>
      <c r="C788" s="15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9" t="inlineStr">
        <is>
          <t>13/07/2006</t>
        </is>
      </c>
      <c r="B789" s="8" t="n">
        <v>175.2228746665</v>
      </c>
      <c r="C789" s="15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9" t="inlineStr">
        <is>
          <t>14/07/2006</t>
        </is>
      </c>
      <c r="B790" s="8" t="n">
        <v>175.2925596435</v>
      </c>
      <c r="C790" s="15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9" t="inlineStr">
        <is>
          <t>17/07/2006</t>
        </is>
      </c>
      <c r="B791" s="8" t="n">
        <v>175.675827017</v>
      </c>
      <c r="C791" s="15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9" t="inlineStr">
        <is>
          <t>18/07/2006</t>
        </is>
      </c>
      <c r="B792" s="8" t="n">
        <v>175.9197244365</v>
      </c>
      <c r="C792" s="15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9" t="inlineStr">
        <is>
          <t>19/07/2006</t>
        </is>
      </c>
      <c r="B793" s="8" t="n">
        <v>176.0590943905</v>
      </c>
      <c r="C793" s="15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9" t="inlineStr">
        <is>
          <t>20/07/2006</t>
        </is>
      </c>
      <c r="B794" s="8" t="n">
        <v>176.093936879</v>
      </c>
      <c r="C794" s="15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9" t="inlineStr">
        <is>
          <t>21/07/2006</t>
        </is>
      </c>
      <c r="B795" s="8" t="n">
        <v>175.675827017</v>
      </c>
      <c r="C795" s="15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9" t="inlineStr">
        <is>
          <t>24/07/2006</t>
        </is>
      </c>
      <c r="B796" s="8" t="n">
        <v>174.2472849885</v>
      </c>
      <c r="C796" s="15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9" t="inlineStr">
        <is>
          <t>25/07/2006</t>
        </is>
      </c>
      <c r="B797" s="8" t="n">
        <v>173.306537799</v>
      </c>
      <c r="C797" s="15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9" t="inlineStr">
        <is>
          <t>26/07/2006</t>
        </is>
      </c>
      <c r="B798" s="8" t="n">
        <v>173.027797891</v>
      </c>
      <c r="C798" s="15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9" t="inlineStr">
        <is>
          <t>27/07/2006</t>
        </is>
      </c>
      <c r="B799" s="8" t="n">
        <v>172.0173657245</v>
      </c>
      <c r="C799" s="15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9" t="inlineStr">
        <is>
          <t>28/07/2006</t>
        </is>
      </c>
      <c r="B800" s="8" t="n">
        <v>169.961658903</v>
      </c>
      <c r="C800" s="15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9" t="inlineStr">
        <is>
          <t>31/07/2006</t>
        </is>
      </c>
      <c r="B801" s="8" t="n">
        <v>168.567959363</v>
      </c>
      <c r="C801" s="15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9" t="inlineStr">
        <is>
          <t>01/08/2006</t>
        </is>
      </c>
      <c r="B802" s="8" t="n">
        <v>168.2242698236</v>
      </c>
      <c r="C802" s="15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9" t="inlineStr">
        <is>
          <t>02/08/2006</t>
        </is>
      </c>
      <c r="B803" s="8" t="n">
        <v>167.3911327052</v>
      </c>
      <c r="C803" s="15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9" t="inlineStr">
        <is>
          <t>03/08/2006</t>
        </is>
      </c>
      <c r="B804" s="8" t="n">
        <v>167.0787062858</v>
      </c>
      <c r="C804" s="15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9" t="inlineStr">
        <is>
          <t>04/08/2006</t>
        </is>
      </c>
      <c r="B805" s="8" t="n">
        <v>165.8290006082</v>
      </c>
      <c r="C805" s="15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9" t="inlineStr">
        <is>
          <t>07/08/2006</t>
        </is>
      </c>
      <c r="B806" s="8" t="n">
        <v>164.89172135</v>
      </c>
      <c r="C806" s="15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9" t="inlineStr">
        <is>
          <t>08/08/2006</t>
        </is>
      </c>
      <c r="B807" s="8" t="n">
        <v>162.982448787</v>
      </c>
      <c r="C807" s="15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9" t="inlineStr">
        <is>
          <t>09/08/2006</t>
        </is>
      </c>
      <c r="B808" s="8" t="n">
        <v>161.8021712026</v>
      </c>
      <c r="C808" s="15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9" t="inlineStr">
        <is>
          <t>10/08/2006</t>
        </is>
      </c>
      <c r="B809" s="8" t="n">
        <v>161.42031669</v>
      </c>
      <c r="C809" s="15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9" t="inlineStr">
        <is>
          <t>11/08/2006</t>
        </is>
      </c>
      <c r="B810" s="8" t="n">
        <v>161.246746457</v>
      </c>
      <c r="C810" s="15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9" t="inlineStr">
        <is>
          <t>14/08/2006</t>
        </is>
      </c>
      <c r="B811" s="8" t="n">
        <v>159.6499003134</v>
      </c>
      <c r="C811" s="15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9" t="inlineStr">
        <is>
          <t>15/08/2006</t>
        </is>
      </c>
      <c r="B812" s="8" t="n">
        <v>155.345358535</v>
      </c>
      <c r="C812" s="15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9" t="inlineStr">
        <is>
          <t>16/08/2006</t>
        </is>
      </c>
      <c r="B813" s="8" t="n">
        <v>151.9086679216</v>
      </c>
      <c r="C813" s="15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9" t="inlineStr">
        <is>
          <t>17/08/2006</t>
        </is>
      </c>
      <c r="B814" s="8" t="n">
        <v>149.791111079</v>
      </c>
      <c r="C814" s="15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9" t="inlineStr">
        <is>
          <t>18/08/2006</t>
        </is>
      </c>
      <c r="B815" s="8" t="n">
        <v>148.2636930286</v>
      </c>
      <c r="C815" s="15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9" t="inlineStr">
        <is>
          <t>21/08/2006</t>
        </is>
      </c>
      <c r="B816" s="8" t="n">
        <v>147.9859806558</v>
      </c>
      <c r="C816" s="15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9" t="inlineStr">
        <is>
          <t>22/08/2006</t>
        </is>
      </c>
      <c r="B817" s="8" t="n">
        <v>146.7015609316</v>
      </c>
      <c r="C817" s="15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9" t="inlineStr">
        <is>
          <t>23/08/2006</t>
        </is>
      </c>
      <c r="B818" s="8" t="n">
        <v>144.1674355298</v>
      </c>
      <c r="C818" s="15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9" t="inlineStr">
        <is>
          <t>24/08/2006</t>
        </is>
      </c>
      <c r="B819" s="8" t="n">
        <v>142.7788736658</v>
      </c>
      <c r="C819" s="15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9" t="inlineStr">
        <is>
          <t>25/08/2006</t>
        </is>
      </c>
      <c r="B820" s="8" t="n">
        <v>141.7374522678</v>
      </c>
      <c r="C820" s="15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9" t="inlineStr">
        <is>
          <t>28/08/2006</t>
        </is>
      </c>
      <c r="B821" s="8" t="n">
        <v>140.2100342174</v>
      </c>
      <c r="C821" s="15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9" t="inlineStr">
        <is>
          <t>29/08/2006</t>
        </is>
      </c>
      <c r="B822" s="8" t="n">
        <v>137.7453369088</v>
      </c>
      <c r="C822" s="15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9" t="inlineStr">
        <is>
          <t>30/08/2006</t>
        </is>
      </c>
      <c r="B823" s="8" t="n">
        <v>136.9121997904</v>
      </c>
      <c r="C823" s="15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9" t="inlineStr">
        <is>
          <t>31/08/2006</t>
        </is>
      </c>
      <c r="B824" s="8" t="n">
        <v>136.8080576506</v>
      </c>
      <c r="C824" s="15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9" t="inlineStr">
        <is>
          <t>01/09/2006</t>
        </is>
      </c>
      <c r="B825" s="8" t="n">
        <v>135.5817332473</v>
      </c>
      <c r="C825" s="15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9" t="inlineStr">
        <is>
          <t>04/09/2006</t>
        </is>
      </c>
      <c r="B826" s="8" t="n">
        <v>133.1933902312</v>
      </c>
      <c r="C826" s="15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9" t="inlineStr">
        <is>
          <t>05/09/2006</t>
        </is>
      </c>
      <c r="B827" s="8" t="n">
        <v>133.5741405671</v>
      </c>
      <c r="C827" s="15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9" t="inlineStr">
        <is>
          <t>06/09/2006</t>
        </is>
      </c>
      <c r="B828" s="8" t="n">
        <v>132.570344227</v>
      </c>
      <c r="C828" s="15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9" t="inlineStr">
        <is>
          <t>08/09/2006</t>
        </is>
      </c>
      <c r="B829" s="8" t="n">
        <v>132.3280485587</v>
      </c>
      <c r="C829" s="15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9" t="inlineStr">
        <is>
          <t>11/09/2006</t>
        </is>
      </c>
      <c r="B830" s="8" t="n">
        <v>131.2204112179</v>
      </c>
      <c r="C830" s="15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9" t="inlineStr">
        <is>
          <t>12/09/2006</t>
        </is>
      </c>
      <c r="B831" s="8" t="n">
        <v>129.4205005391</v>
      </c>
      <c r="C831" s="15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9" t="inlineStr">
        <is>
          <t>13/09/2006</t>
        </is>
      </c>
      <c r="B832" s="8" t="n">
        <v>129.2820458715</v>
      </c>
      <c r="C832" s="15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9" t="inlineStr">
        <is>
          <t>14/09/2006</t>
        </is>
      </c>
      <c r="B833" s="8" t="n">
        <v>129.6974098743</v>
      </c>
      <c r="C833" s="15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9" t="inlineStr">
        <is>
          <t>15/09/2006</t>
        </is>
      </c>
      <c r="B834" s="8" t="n">
        <v>130.5973652137</v>
      </c>
      <c r="C834" s="15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9" t="inlineStr">
        <is>
          <t>18/09/2006</t>
        </is>
      </c>
      <c r="B835" s="8" t="n">
        <v>131.3588658855</v>
      </c>
      <c r="C835" s="15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9" t="inlineStr">
        <is>
          <t>19/09/2006</t>
        </is>
      </c>
      <c r="B836" s="8" t="n">
        <v>131.4973205531</v>
      </c>
      <c r="C836" s="15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9" t="inlineStr">
        <is>
          <t>20/09/2006</t>
        </is>
      </c>
      <c r="B837" s="8" t="n">
        <v>131.53193422</v>
      </c>
      <c r="C837" s="15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9" t="inlineStr">
        <is>
          <t>21/09/2006</t>
        </is>
      </c>
      <c r="B838" s="8" t="n">
        <v>132.0165255566</v>
      </c>
      <c r="C838" s="15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9" t="inlineStr">
        <is>
          <t>22/09/2006</t>
        </is>
      </c>
      <c r="B839" s="8" t="n">
        <v>131.4280932193</v>
      </c>
      <c r="C839" s="15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9" t="inlineStr">
        <is>
          <t>25/09/2006</t>
        </is>
      </c>
      <c r="B840" s="8" t="n">
        <v>130.7358198813</v>
      </c>
      <c r="C840" s="15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9" t="inlineStr">
        <is>
          <t>26/09/2006</t>
        </is>
      </c>
      <c r="B841" s="8" t="n">
        <v>130.9435018827</v>
      </c>
      <c r="C841" s="15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9" t="inlineStr">
        <is>
          <t>27/09/2006</t>
        </is>
      </c>
      <c r="B842" s="8" t="n">
        <v>131.185797551</v>
      </c>
      <c r="C842" s="15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9" t="inlineStr">
        <is>
          <t>28/09/2006</t>
        </is>
      </c>
      <c r="B843" s="8" t="n">
        <v>130.839660882</v>
      </c>
      <c r="C843" s="15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9" t="inlineStr">
        <is>
          <t>29/09/2006</t>
        </is>
      </c>
      <c r="B844" s="8" t="n">
        <v>130.839660882</v>
      </c>
      <c r="C844" s="15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9" t="inlineStr">
        <is>
          <t>02/10/2006</t>
        </is>
      </c>
      <c r="B845" s="8" t="n">
        <v>130.1931394423</v>
      </c>
      <c r="C845" s="15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9" t="inlineStr">
        <is>
          <t>03/10/2006</t>
        </is>
      </c>
      <c r="B846" s="8" t="n">
        <v>129.6419115431</v>
      </c>
      <c r="C846" s="15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9" t="inlineStr">
        <is>
          <t>04/10/2006</t>
        </is>
      </c>
      <c r="B847" s="8" t="n">
        <v>130.3309464171</v>
      </c>
      <c r="C847" s="15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9" t="inlineStr">
        <is>
          <t>05/10/2006</t>
        </is>
      </c>
      <c r="B848" s="8" t="n">
        <v>129.9519772364</v>
      </c>
      <c r="C848" s="15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9" t="inlineStr">
        <is>
          <t>06/10/2006</t>
        </is>
      </c>
      <c r="B849" s="8" t="n">
        <v>128.3671970262</v>
      </c>
      <c r="C849" s="15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9" t="inlineStr">
        <is>
          <t>09/10/2006</t>
        </is>
      </c>
      <c r="B850" s="8" t="n">
        <v>128.8839731817</v>
      </c>
      <c r="C850" s="15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9" t="inlineStr">
        <is>
          <t>10/10/2006</t>
        </is>
      </c>
      <c r="B851" s="8" t="n">
        <v>129.3318458498</v>
      </c>
      <c r="C851" s="15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9" t="inlineStr">
        <is>
          <t>11/10/2006</t>
        </is>
      </c>
      <c r="B852" s="8" t="n">
        <v>128.6428109758</v>
      </c>
      <c r="C852" s="15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9" t="inlineStr">
        <is>
          <t>13/10/2006</t>
        </is>
      </c>
      <c r="B853" s="8" t="n">
        <v>128.1949383077</v>
      </c>
      <c r="C853" s="15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9" t="inlineStr">
        <is>
          <t>16/10/2006</t>
        </is>
      </c>
      <c r="B854" s="8" t="n">
        <v>128.4016487699</v>
      </c>
      <c r="C854" s="15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9" t="inlineStr">
        <is>
          <t>17/10/2006</t>
        </is>
      </c>
      <c r="B855" s="8" t="n">
        <v>128.2638417951</v>
      </c>
      <c r="C855" s="15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9" t="inlineStr">
        <is>
          <t>18/10/2006</t>
        </is>
      </c>
      <c r="B856" s="8" t="n">
        <v>128.5394557447</v>
      </c>
      <c r="C856" s="15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9" t="inlineStr">
        <is>
          <t>19/10/2006</t>
        </is>
      </c>
      <c r="B857" s="8" t="n">
        <v>128.2293900514</v>
      </c>
      <c r="C857" s="15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9" t="inlineStr">
        <is>
          <t>20/10/2006</t>
        </is>
      </c>
      <c r="B858" s="8" t="n">
        <v>128.2638417951</v>
      </c>
      <c r="C858" s="15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9" t="inlineStr">
        <is>
          <t>23/10/2006</t>
        </is>
      </c>
      <c r="B859" s="8" t="n">
        <v>128.2293900514</v>
      </c>
      <c r="C859" s="15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9" t="inlineStr">
        <is>
          <t>24/10/2006</t>
        </is>
      </c>
      <c r="B860" s="8" t="n">
        <v>128.4705522573</v>
      </c>
      <c r="C860" s="15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9" t="inlineStr">
        <is>
          <t>25/10/2006</t>
        </is>
      </c>
      <c r="B861" s="8" t="n">
        <v>127.815969127</v>
      </c>
      <c r="C861" s="15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9" t="inlineStr">
        <is>
          <t>26/10/2006</t>
        </is>
      </c>
      <c r="B862" s="8" t="n">
        <v>127.2991929715</v>
      </c>
      <c r="C862" s="15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9" t="inlineStr">
        <is>
          <t>27/10/2006</t>
        </is>
      </c>
      <c r="B863" s="8" t="n">
        <v>127.6092586648</v>
      </c>
      <c r="C863" s="15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9" t="inlineStr">
        <is>
          <t>30/10/2006</t>
        </is>
      </c>
      <c r="B864" s="8" t="n">
        <v>127.7126138959</v>
      </c>
      <c r="C864" s="15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9" t="inlineStr">
        <is>
          <t>31/10/2006</t>
        </is>
      </c>
      <c r="B865" s="8" t="n">
        <v>127.8504208707</v>
      </c>
      <c r="C865" s="15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9" t="inlineStr">
        <is>
          <t>01/11/2006</t>
        </is>
      </c>
      <c r="B866" s="8" t="n">
        <v>126.6251185073</v>
      </c>
      <c r="C866" s="15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9" t="inlineStr">
        <is>
          <t>03/11/2006</t>
        </is>
      </c>
      <c r="B867" s="8" t="n">
        <v>125.5992601343</v>
      </c>
      <c r="C867" s="15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9" t="inlineStr">
        <is>
          <t>06/11/2006</t>
        </is>
      </c>
      <c r="B868" s="8" t="n">
        <v>124.9153545523</v>
      </c>
      <c r="C868" s="15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9" t="inlineStr">
        <is>
          <t>07/11/2006</t>
        </is>
      </c>
      <c r="B869" s="8" t="n">
        <v>126.0437987626</v>
      </c>
      <c r="C869" s="15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9" t="inlineStr">
        <is>
          <t>08/11/2006</t>
        </is>
      </c>
      <c r="B870" s="8" t="n">
        <v>125.6334554134</v>
      </c>
      <c r="C870" s="15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9" t="inlineStr">
        <is>
          <t>09/11/2006</t>
        </is>
      </c>
      <c r="B871" s="8" t="n">
        <v>125.7018459716</v>
      </c>
      <c r="C871" s="15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9" t="inlineStr">
        <is>
          <t>10/11/2006</t>
        </is>
      </c>
      <c r="B872" s="8" t="n">
        <v>124.2314489703</v>
      </c>
      <c r="C872" s="15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9" t="inlineStr">
        <is>
          <t>13/11/2006</t>
        </is>
      </c>
      <c r="B873" s="8" t="n">
        <v>124.0262772957</v>
      </c>
      <c r="C873" s="15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9" t="inlineStr">
        <is>
          <t>14/11/2006</t>
        </is>
      </c>
      <c r="B874" s="8" t="n">
        <v>124.5050112031</v>
      </c>
      <c r="C874" s="15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9" t="inlineStr">
        <is>
          <t>16/11/2006</t>
        </is>
      </c>
      <c r="B875" s="8" t="n">
        <v>124.4366206449</v>
      </c>
      <c r="C875" s="15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9" t="inlineStr">
        <is>
          <t>17/11/2006</t>
        </is>
      </c>
      <c r="B876" s="8" t="n">
        <v>124.2656442494</v>
      </c>
      <c r="C876" s="15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9" t="inlineStr">
        <is>
          <t>20/11/2006</t>
        </is>
      </c>
      <c r="B877" s="8" t="n">
        <v>124.0604725748</v>
      </c>
      <c r="C877" s="15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9" t="inlineStr">
        <is>
          <t>21/11/2006</t>
        </is>
      </c>
      <c r="B878" s="8" t="n">
        <v>124.812768715</v>
      </c>
      <c r="C878" s="15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9" t="inlineStr">
        <is>
          <t>22/11/2006</t>
        </is>
      </c>
      <c r="B879" s="8" t="n">
        <v>123.8894961793</v>
      </c>
      <c r="C879" s="15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9" t="inlineStr">
        <is>
          <t>23/11/2006</t>
        </is>
      </c>
      <c r="B880" s="8" t="n">
        <v>124.5734017613</v>
      </c>
      <c r="C880" s="15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9" t="inlineStr">
        <is>
          <t>24/11/2006</t>
        </is>
      </c>
      <c r="B881" s="8" t="n">
        <v>124.6075970404</v>
      </c>
      <c r="C881" s="15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9" t="inlineStr">
        <is>
          <t>27/11/2006</t>
        </is>
      </c>
      <c r="B882" s="8" t="n">
        <v>123.9236914584</v>
      </c>
      <c r="C882" s="15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9" t="inlineStr">
        <is>
          <t>28/11/2006</t>
        </is>
      </c>
      <c r="B883" s="8" t="n">
        <v>124.0604725748</v>
      </c>
      <c r="C883" s="15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9" t="inlineStr">
        <is>
          <t>29/11/2006</t>
        </is>
      </c>
      <c r="B884" s="8" t="n">
        <v>123.8553009002</v>
      </c>
      <c r="C884" s="15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9" t="inlineStr">
        <is>
          <t>30/11/2006</t>
        </is>
      </c>
      <c r="B885" s="8" t="n">
        <v>124.6417923195</v>
      </c>
      <c r="C885" s="15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9" t="inlineStr">
        <is>
          <t>01/12/2006</t>
        </is>
      </c>
      <c r="B886" s="8" t="n">
        <v>124.3123834351</v>
      </c>
      <c r="C886" s="15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9" t="inlineStr">
        <is>
          <t>04/12/2006</t>
        </is>
      </c>
      <c r="B887" s="8" t="n">
        <v>124.2101248252</v>
      </c>
      <c r="C887" s="15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9" t="inlineStr">
        <is>
          <t>05/12/2006</t>
        </is>
      </c>
      <c r="B888" s="8" t="n">
        <v>124.6532454681</v>
      </c>
      <c r="C888" s="15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9" t="inlineStr">
        <is>
          <t>06/12/2006</t>
        </is>
      </c>
      <c r="B889" s="8" t="n">
        <v>124.4487282483</v>
      </c>
      <c r="C889" s="15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9" t="inlineStr">
        <is>
          <t>07/12/2006</t>
        </is>
      </c>
      <c r="B890" s="8" t="n">
        <v>124.5850730615</v>
      </c>
      <c r="C890" s="15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9" t="inlineStr">
        <is>
          <t>08/12/2006</t>
        </is>
      </c>
      <c r="B891" s="8" t="n">
        <v>124.4487282483</v>
      </c>
      <c r="C891" s="15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9" t="inlineStr">
        <is>
          <t>11/12/2006</t>
        </is>
      </c>
      <c r="B892" s="8" t="n">
        <v>124.9600212978</v>
      </c>
      <c r="C892" s="15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9" t="inlineStr">
        <is>
          <t>12/12/2006</t>
        </is>
      </c>
      <c r="B893" s="8" t="n">
        <v>125.6076591605</v>
      </c>
      <c r="C893" s="15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9" t="inlineStr">
        <is>
          <t>13/12/2006</t>
        </is>
      </c>
      <c r="B894" s="8" t="n">
        <v>126.0848660067</v>
      </c>
      <c r="C894" s="15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9" t="inlineStr">
        <is>
          <t>14/12/2006</t>
        </is>
      </c>
      <c r="B895" s="8" t="n">
        <v>126.2552970232</v>
      </c>
      <c r="C895" s="15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9" t="inlineStr">
        <is>
          <t>15/12/2006</t>
        </is>
      </c>
      <c r="B896" s="8" t="n">
        <v>125.8462625836</v>
      </c>
      <c r="C896" s="15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9" t="inlineStr">
        <is>
          <t>18/12/2006</t>
        </is>
      </c>
      <c r="B897" s="8" t="n">
        <v>125.5394867539</v>
      </c>
      <c r="C897" s="15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9" t="inlineStr">
        <is>
          <t>19/12/2006</t>
        </is>
      </c>
      <c r="B898" s="8" t="n">
        <v>126.2552970232</v>
      </c>
      <c r="C898" s="15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9" t="inlineStr">
        <is>
          <t>20/12/2006</t>
        </is>
      </c>
      <c r="B899" s="8" t="n">
        <v>126.0166936001</v>
      </c>
      <c r="C899" s="15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9" t="inlineStr">
        <is>
          <t>21/12/2006</t>
        </is>
      </c>
      <c r="B900" s="8" t="n">
        <v>126.3575556331</v>
      </c>
      <c r="C900" s="15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9" t="inlineStr">
        <is>
          <t>22/12/2006</t>
        </is>
      </c>
      <c r="B901" s="8" t="n">
        <v>125.778090177</v>
      </c>
      <c r="C901" s="15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9" t="inlineStr">
        <is>
          <t>26/12/2006</t>
        </is>
      </c>
      <c r="B902" s="8" t="n">
        <v>125.8121763803</v>
      </c>
      <c r="C902" s="15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9" t="inlineStr">
        <is>
          <t>27/12/2006</t>
        </is>
      </c>
      <c r="B903" s="8" t="n">
        <v>125.3690557374</v>
      </c>
      <c r="C903" s="15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9" t="inlineStr">
        <is>
          <t>28/12/2006</t>
        </is>
      </c>
      <c r="B904" s="8" t="n">
        <v>125.5394867539</v>
      </c>
      <c r="C904" s="15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9" t="inlineStr">
        <is>
          <t>02/01/2007</t>
        </is>
      </c>
      <c r="B905" s="8" t="n">
        <v>124.5757459946</v>
      </c>
      <c r="C905" s="15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9" t="inlineStr">
        <is>
          <t>03/01/2007</t>
        </is>
      </c>
      <c r="B906" s="8" t="n">
        <v>124.4061628936</v>
      </c>
      <c r="C906" s="15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9" t="inlineStr">
        <is>
          <t>04/01/2007</t>
        </is>
      </c>
      <c r="B907" s="8" t="n">
        <v>124.0669966916</v>
      </c>
      <c r="C907" s="15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9" t="inlineStr">
        <is>
          <t>05/01/2007</t>
        </is>
      </c>
      <c r="B908" s="8" t="n">
        <v>124.2704964128</v>
      </c>
      <c r="C908" s="15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9" t="inlineStr">
        <is>
          <t>08/01/2007</t>
        </is>
      </c>
      <c r="B909" s="8" t="n">
        <v>124.7453290956</v>
      </c>
      <c r="C909" s="15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9" t="inlineStr">
        <is>
          <t>09/01/2007</t>
        </is>
      </c>
      <c r="B910" s="8" t="n">
        <v>125.2540783986</v>
      </c>
      <c r="C910" s="15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9" t="inlineStr">
        <is>
          <t>10/01/2007</t>
        </is>
      </c>
      <c r="B911" s="8" t="n">
        <v>125.6949944612</v>
      </c>
      <c r="C911" s="15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9" t="inlineStr">
        <is>
          <t>11/01/2007</t>
        </is>
      </c>
      <c r="B912" s="8" t="n">
        <v>125.4236614996</v>
      </c>
      <c r="C912" s="15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9" t="inlineStr">
        <is>
          <t>12/01/2007</t>
        </is>
      </c>
      <c r="B913" s="8" t="n">
        <v>125.7289110814</v>
      </c>
      <c r="C913" s="15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9" t="inlineStr">
        <is>
          <t>15/01/2007</t>
        </is>
      </c>
      <c r="B914" s="8" t="n">
        <v>125.7967443218</v>
      </c>
      <c r="C914" s="15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9" t="inlineStr">
        <is>
          <t>16/01/2007</t>
        </is>
      </c>
      <c r="B915" s="8" t="n">
        <v>125.9324108026</v>
      </c>
      <c r="C915" s="15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9" t="inlineStr">
        <is>
          <t>17/01/2007</t>
        </is>
      </c>
      <c r="B916" s="8" t="n">
        <v>125.49149474</v>
      </c>
      <c r="C916" s="15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9" t="inlineStr">
        <is>
          <t>18/01/2007</t>
        </is>
      </c>
      <c r="B917" s="8" t="n">
        <v>125.5254113602</v>
      </c>
      <c r="C917" s="15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9" t="inlineStr">
        <is>
          <t>19/01/2007</t>
        </is>
      </c>
      <c r="B918" s="8" t="n">
        <v>125.2879950188</v>
      </c>
      <c r="C918" s="15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9" t="inlineStr">
        <is>
          <t>22/01/2007</t>
        </is>
      </c>
      <c r="B919" s="8" t="n">
        <v>125.2201617784</v>
      </c>
      <c r="C919" s="15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9" t="inlineStr">
        <is>
          <t>23/01/2007</t>
        </is>
      </c>
      <c r="B920" s="8" t="n">
        <v>125.0505786774</v>
      </c>
      <c r="C920" s="15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9" t="inlineStr">
        <is>
          <t>24/01/2007</t>
        </is>
      </c>
      <c r="B921" s="8" t="n">
        <v>124.5079127542</v>
      </c>
      <c r="C921" s="15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9" t="inlineStr">
        <is>
          <t>25/01/2007</t>
        </is>
      </c>
      <c r="B922" s="8" t="n">
        <v>123.8634969704</v>
      </c>
      <c r="C922" s="15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9" t="inlineStr">
        <is>
          <t>26/01/2007</t>
        </is>
      </c>
      <c r="B923" s="8" t="n">
        <v>124.304413033</v>
      </c>
      <c r="C923" s="15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9" t="inlineStr">
        <is>
          <t>29/01/2007</t>
        </is>
      </c>
      <c r="B924" s="8" t="n">
        <v>123.286914427</v>
      </c>
      <c r="C924" s="15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9" t="inlineStr">
        <is>
          <t>30/01/2007</t>
        </is>
      </c>
      <c r="B925" s="8" t="n">
        <v>123.7617471098</v>
      </c>
      <c r="C925" s="15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9" t="inlineStr">
        <is>
          <t>31/01/2007</t>
        </is>
      </c>
      <c r="B926" s="8" t="n">
        <v>122.6764152634</v>
      </c>
      <c r="C926" s="15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9" t="inlineStr">
        <is>
          <t>01/02/2007</t>
        </is>
      </c>
      <c r="B927" s="8" t="n">
        <v>120.9930691263</v>
      </c>
      <c r="C927" s="15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9" t="inlineStr">
        <is>
          <t>02/02/2007</t>
        </is>
      </c>
      <c r="B928" s="8" t="n">
        <v>120.6548162073</v>
      </c>
      <c r="C928" s="15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9" t="inlineStr">
        <is>
          <t>05/02/2007</t>
        </is>
      </c>
      <c r="B929" s="8" t="n">
        <v>120.756292083</v>
      </c>
      <c r="C929" s="15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9" t="inlineStr">
        <is>
          <t>06/02/2007</t>
        </is>
      </c>
      <c r="B930" s="8" t="n">
        <v>119.7077080341</v>
      </c>
      <c r="C930" s="15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9" t="inlineStr">
        <is>
          <t>07/02/2007</t>
        </is>
      </c>
      <c r="B931" s="8" t="n">
        <v>118.9297263204</v>
      </c>
      <c r="C931" s="15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9" t="inlineStr">
        <is>
          <t>08/02/2007</t>
        </is>
      </c>
      <c r="B932" s="8" t="n">
        <v>118.6929492771</v>
      </c>
      <c r="C932" s="15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9" t="inlineStr">
        <is>
          <t>09/02/2007</t>
        </is>
      </c>
      <c r="B933" s="8" t="n">
        <v>118.6252986933</v>
      </c>
      <c r="C933" s="15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9" t="inlineStr">
        <is>
          <t>12/02/2007</t>
        </is>
      </c>
      <c r="B934" s="8" t="n">
        <v>118.9297263204</v>
      </c>
      <c r="C934" s="15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9" t="inlineStr">
        <is>
          <t>13/02/2007</t>
        </is>
      </c>
      <c r="B935" s="8" t="n">
        <v>117.9826181472</v>
      </c>
      <c r="C935" s="15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9" t="inlineStr">
        <is>
          <t>14/02/2007</t>
        </is>
      </c>
      <c r="B936" s="8" t="n">
        <v>117.7796663958</v>
      </c>
      <c r="C936" s="15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9" t="inlineStr">
        <is>
          <t>15/02/2007</t>
        </is>
      </c>
      <c r="B937" s="8" t="n">
        <v>116.359004136</v>
      </c>
      <c r="C937" s="15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9" t="inlineStr">
        <is>
          <t>16/02/2007</t>
        </is>
      </c>
      <c r="B938" s="8" t="n">
        <v>116.9002088064</v>
      </c>
      <c r="C938" s="15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9" t="inlineStr">
        <is>
          <t>21/02/2007</t>
        </is>
      </c>
      <c r="B939" s="8" t="n">
        <v>116.8325582226</v>
      </c>
      <c r="C939" s="15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9" t="inlineStr">
        <is>
          <t>22/02/2007</t>
        </is>
      </c>
      <c r="B940" s="8" t="n">
        <v>117.1369858497</v>
      </c>
      <c r="C940" s="15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9" t="inlineStr">
        <is>
          <t>23/02/2007</t>
        </is>
      </c>
      <c r="B941" s="8" t="n">
        <v>117.5428893525</v>
      </c>
      <c r="C941" s="15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9" t="inlineStr">
        <is>
          <t>26/02/2007</t>
        </is>
      </c>
      <c r="B942" s="8" t="n">
        <v>116.7649076388</v>
      </c>
      <c r="C942" s="15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9" t="inlineStr">
        <is>
          <t>27/02/2007</t>
        </is>
      </c>
      <c r="B943" s="8" t="n">
        <v>117.0693352659</v>
      </c>
      <c r="C943" s="15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9" t="inlineStr">
        <is>
          <t>28/02/2007</t>
        </is>
      </c>
      <c r="B944" s="8" t="n">
        <v>117.0693352659</v>
      </c>
      <c r="C944" s="15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9" t="inlineStr">
        <is>
          <t>01/03/2007</t>
        </is>
      </c>
      <c r="B945" s="8" t="n">
        <v>117.2794404124</v>
      </c>
      <c r="C945" s="15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9" t="inlineStr">
        <is>
          <t>02/03/2007</t>
        </is>
      </c>
      <c r="B946" s="8" t="n">
        <v>117.313151088</v>
      </c>
      <c r="C946" s="15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9" t="inlineStr">
        <is>
          <t>05/03/2007</t>
        </is>
      </c>
      <c r="B947" s="8" t="n">
        <v>117.1783083856</v>
      </c>
      <c r="C947" s="15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9" t="inlineStr">
        <is>
          <t>06/03/2007</t>
        </is>
      </c>
      <c r="B948" s="8" t="n">
        <v>117.3805724392</v>
      </c>
      <c r="C948" s="15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9" t="inlineStr">
        <is>
          <t>07/03/2007</t>
        </is>
      </c>
      <c r="B949" s="8" t="n">
        <v>117.6165471684</v>
      </c>
      <c r="C949" s="15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9" t="inlineStr">
        <is>
          <t>08/03/2007</t>
        </is>
      </c>
      <c r="B950" s="8" t="n">
        <v>117.481704466</v>
      </c>
      <c r="C950" s="15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9" t="inlineStr">
        <is>
          <t>09/03/2007</t>
        </is>
      </c>
      <c r="B951" s="8" t="n">
        <v>116.8412016296</v>
      </c>
      <c r="C951" s="15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9" t="inlineStr">
        <is>
          <t>12/03/2007</t>
        </is>
      </c>
      <c r="B952" s="8" t="n">
        <v>116.638937576</v>
      </c>
      <c r="C952" s="15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9" t="inlineStr">
        <is>
          <t>13/03/2007</t>
        </is>
      </c>
      <c r="B953" s="8" t="n">
        <v>116.3692521712</v>
      </c>
      <c r="C953" s="15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9" t="inlineStr">
        <is>
          <t>14/03/2007</t>
        </is>
      </c>
      <c r="B954" s="8" t="n">
        <v>116.470384198</v>
      </c>
      <c r="C954" s="15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9" t="inlineStr">
        <is>
          <t>15/03/2007</t>
        </is>
      </c>
      <c r="B955" s="8" t="n">
        <v>117.2794404124</v>
      </c>
      <c r="C955" s="15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9" t="inlineStr">
        <is>
          <t>16/03/2007</t>
        </is>
      </c>
      <c r="B956" s="8" t="n">
        <v>117.1783083856</v>
      </c>
      <c r="C956" s="15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9" t="inlineStr">
        <is>
          <t>19/03/2007</t>
        </is>
      </c>
      <c r="B957" s="8" t="n">
        <v>117.313151088</v>
      </c>
      <c r="C957" s="15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9" t="inlineStr">
        <is>
          <t>20/03/2007</t>
        </is>
      </c>
      <c r="B958" s="8" t="n">
        <v>117.3805724392</v>
      </c>
      <c r="C958" s="15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9" t="inlineStr">
        <is>
          <t>21/03/2007</t>
        </is>
      </c>
      <c r="B959" s="8" t="n">
        <v>116.3355414956</v>
      </c>
      <c r="C959" s="15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9" t="inlineStr">
        <is>
          <t>22/03/2007</t>
        </is>
      </c>
      <c r="B960" s="8" t="n">
        <v>116.7063589272</v>
      </c>
      <c r="C960" s="15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9" t="inlineStr">
        <is>
          <t>23/03/2007</t>
        </is>
      </c>
      <c r="B961" s="8" t="n">
        <v>116.9086229808</v>
      </c>
      <c r="C961" s="15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9" t="inlineStr">
        <is>
          <t>26/03/2007</t>
        </is>
      </c>
      <c r="B962" s="8" t="n">
        <v>116.3355414956</v>
      </c>
      <c r="C962" s="15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9" t="inlineStr">
        <is>
          <t>27/03/2007</t>
        </is>
      </c>
      <c r="B963" s="8" t="n">
        <v>116.6726482516</v>
      </c>
      <c r="C963" s="15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9" t="inlineStr">
        <is>
          <t>28/03/2007</t>
        </is>
      </c>
      <c r="B964" s="8" t="n">
        <v>116.7400696028</v>
      </c>
      <c r="C964" s="15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9" t="inlineStr">
        <is>
          <t>29/03/2007</t>
        </is>
      </c>
      <c r="B965" s="8" t="n">
        <v>117.1783083856</v>
      </c>
      <c r="C965" s="15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9" t="inlineStr">
        <is>
          <t>30/03/2007</t>
        </is>
      </c>
      <c r="B966" s="8" t="n">
        <v>116.807490954</v>
      </c>
      <c r="C966" s="15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9" t="inlineStr">
        <is>
          <t>02/04/2007</t>
        </is>
      </c>
      <c r="B967" s="8" t="n">
        <v>117.2325473193</v>
      </c>
      <c r="C967" s="15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9" t="inlineStr">
        <is>
          <t>03/04/2007</t>
        </is>
      </c>
      <c r="B968" s="8" t="n">
        <v>117.4010333028</v>
      </c>
      <c r="C968" s="15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9" t="inlineStr">
        <is>
          <t>04/04/2007</t>
        </is>
      </c>
      <c r="B969" s="8" t="n">
        <v>117.4347304995</v>
      </c>
      <c r="C969" s="15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9" t="inlineStr">
        <is>
          <t>05/04/2007</t>
        </is>
      </c>
      <c r="B970" s="8" t="n">
        <v>117.266244516</v>
      </c>
      <c r="C970" s="15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9" t="inlineStr">
        <is>
          <t>09/04/2007</t>
        </is>
      </c>
      <c r="B971" s="8" t="n">
        <v>117.2999417127</v>
      </c>
      <c r="C971" s="15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9" t="inlineStr">
        <is>
          <t>10/04/2007</t>
        </is>
      </c>
      <c r="B972" s="8" t="n">
        <v>116.4238145985</v>
      </c>
      <c r="C972" s="15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9" t="inlineStr">
        <is>
          <t>11/04/2007</t>
        </is>
      </c>
      <c r="B973" s="8" t="n">
        <v>116.2216314183</v>
      </c>
      <c r="C973" s="15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9" t="inlineStr">
        <is>
          <t>12/04/2007</t>
        </is>
      </c>
      <c r="B974" s="8" t="n">
        <v>115.3455043041</v>
      </c>
      <c r="C974" s="15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9" t="inlineStr">
        <is>
          <t>13/04/2007</t>
        </is>
      </c>
      <c r="B975" s="8" t="n">
        <v>115.4802930909</v>
      </c>
      <c r="C975" s="15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9" t="inlineStr">
        <is>
          <t>16/04/2007</t>
        </is>
      </c>
      <c r="B976" s="8" t="n">
        <v>115.4465958942</v>
      </c>
      <c r="C976" s="15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9" t="inlineStr">
        <is>
          <t>17/04/2007</t>
        </is>
      </c>
      <c r="B977" s="8" t="n">
        <v>113.9976164361</v>
      </c>
      <c r="C977" s="15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9" t="inlineStr">
        <is>
          <t>18/04/2007</t>
        </is>
      </c>
      <c r="B978" s="8" t="n">
        <v>113.3910668955</v>
      </c>
      <c r="C978" s="15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9" t="inlineStr">
        <is>
          <t>19/04/2007</t>
        </is>
      </c>
      <c r="B979" s="8" t="n">
        <v>113.222580912</v>
      </c>
      <c r="C979" s="15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9" t="inlineStr">
        <is>
          <t>20/04/2007</t>
        </is>
      </c>
      <c r="B980" s="8" t="n">
        <v>112.4812425846</v>
      </c>
      <c r="C980" s="15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9" t="inlineStr">
        <is>
          <t>23/04/2007</t>
        </is>
      </c>
      <c r="B981" s="8" t="n">
        <v>112.3464537978</v>
      </c>
      <c r="C981" s="15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9" t="inlineStr">
        <is>
          <t>24/04/2007</t>
        </is>
      </c>
      <c r="B982" s="8" t="n">
        <v>111.4029322902</v>
      </c>
      <c r="C982" s="15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9" t="inlineStr">
        <is>
          <t>25/04/2007</t>
        </is>
      </c>
      <c r="B983" s="8" t="n">
        <v>111.2344463067</v>
      </c>
      <c r="C983" s="15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9" t="inlineStr">
        <is>
          <t>26/04/2007</t>
        </is>
      </c>
      <c r="B984" s="8" t="n">
        <v>110.8974743397</v>
      </c>
      <c r="C984" s="15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9" t="inlineStr">
        <is>
          <t>27/04/2007</t>
        </is>
      </c>
      <c r="B985" s="8" t="n">
        <v>109.4484948816</v>
      </c>
      <c r="C985" s="15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9" t="inlineStr">
        <is>
          <t>30/04/2007</t>
        </is>
      </c>
      <c r="B986" s="8" t="n">
        <v>108.3701845872</v>
      </c>
      <c r="C986" s="15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9" t="inlineStr">
        <is>
          <t>02/05/2007</t>
        </is>
      </c>
      <c r="B987" s="8" t="n">
        <v>106.9121374368</v>
      </c>
      <c r="C987" s="15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9" t="inlineStr">
        <is>
          <t>03/05/2007</t>
        </is>
      </c>
      <c r="B988" s="8" t="n">
        <v>105.7332071248</v>
      </c>
      <c r="C988" s="15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9" t="inlineStr">
        <is>
          <t>04/05/2007</t>
        </is>
      </c>
      <c r="B989" s="8" t="n">
        <v>104.5542768128</v>
      </c>
      <c r="C989" s="15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9" t="inlineStr">
        <is>
          <t>07/05/2007</t>
        </is>
      </c>
      <c r="B990" s="8" t="n">
        <v>103.6111325632</v>
      </c>
      <c r="C990" s="15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9" t="inlineStr">
        <is>
          <t>08/05/2007</t>
        </is>
      </c>
      <c r="B991" s="8" t="n">
        <v>102.9374580992</v>
      </c>
      <c r="C991" s="15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9" t="inlineStr">
        <is>
          <t>09/05/2007</t>
        </is>
      </c>
      <c r="B992" s="8" t="n">
        <v>102.8027232064</v>
      </c>
      <c r="C992" s="15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9" t="inlineStr">
        <is>
          <t>10/05/2007</t>
        </is>
      </c>
      <c r="B993" s="8" t="n">
        <v>99.63645322559999</v>
      </c>
      <c r="C993" s="15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9" t="inlineStr">
        <is>
          <t>11/05/2007</t>
        </is>
      </c>
      <c r="B994" s="8" t="n">
        <v>98.08700195840001</v>
      </c>
      <c r="C994" s="15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9" t="inlineStr">
        <is>
          <t>14/05/2007</t>
        </is>
      </c>
      <c r="B995" s="8" t="n">
        <v>97.51437866400001</v>
      </c>
      <c r="C995" s="15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9" t="inlineStr">
        <is>
          <t>15/05/2007</t>
        </is>
      </c>
      <c r="B996" s="8" t="n">
        <v>96.03229484320001</v>
      </c>
      <c r="C996" s="15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9" t="inlineStr">
        <is>
          <t>16/05/2007</t>
        </is>
      </c>
      <c r="B997" s="8" t="n">
        <v>95.79650878080001</v>
      </c>
      <c r="C997" s="15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9" t="inlineStr">
        <is>
          <t>17/05/2007</t>
        </is>
      </c>
      <c r="B998" s="8" t="n">
        <v>94.819680808</v>
      </c>
      <c r="C998" s="15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9" t="inlineStr">
        <is>
          <t>18/05/2007</t>
        </is>
      </c>
      <c r="B999" s="8" t="n">
        <v>93.57338304960001</v>
      </c>
      <c r="C999" s="15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9" t="inlineStr">
        <is>
          <t>21/05/2007</t>
        </is>
      </c>
      <c r="B1000" s="8" t="n">
        <v>91.7544619968</v>
      </c>
      <c r="C1000" s="15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9" t="inlineStr">
        <is>
          <t>22/05/2007</t>
        </is>
      </c>
      <c r="B1001" s="8" t="n">
        <v>91.8555131664</v>
      </c>
      <c r="C1001" s="15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9" t="inlineStr">
        <is>
          <t>23/05/2007</t>
        </is>
      </c>
      <c r="B1002" s="8" t="n">
        <v>91.1481549792</v>
      </c>
      <c r="C1002" s="15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9" t="inlineStr">
        <is>
          <t>24/05/2007</t>
        </is>
      </c>
      <c r="B1003" s="8" t="n">
        <v>90.2050107296</v>
      </c>
      <c r="C1003" s="15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9" t="inlineStr">
        <is>
          <t>25/05/2007</t>
        </is>
      </c>
      <c r="B1004" s="8" t="n">
        <v>90.84500147040001</v>
      </c>
      <c r="C1004" s="15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9" t="inlineStr">
        <is>
          <t>28/05/2007</t>
        </is>
      </c>
      <c r="B1005" s="8" t="n">
        <v>89.96922466720001</v>
      </c>
      <c r="C1005" s="15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9" t="inlineStr">
        <is>
          <t>29/05/2007</t>
        </is>
      </c>
      <c r="B1006" s="8" t="n">
        <v>89.6997548816</v>
      </c>
      <c r="C1006" s="15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9" t="inlineStr">
        <is>
          <t>30/05/2007</t>
        </is>
      </c>
      <c r="B1007" s="8" t="n">
        <v>89.43028509600001</v>
      </c>
      <c r="C1007" s="15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9" t="inlineStr">
        <is>
          <t>31/05/2007</t>
        </is>
      </c>
      <c r="B1008" s="8" t="n">
        <v>89.36291764960001</v>
      </c>
      <c r="C1008" s="15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9" t="inlineStr">
        <is>
          <t>01/06/2007</t>
        </is>
      </c>
      <c r="B1009" s="8" t="n">
        <v>88.5264420645</v>
      </c>
      <c r="C1009" s="15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9" t="inlineStr">
        <is>
          <t>04/06/2007</t>
        </is>
      </c>
      <c r="B1010" s="8" t="n">
        <v>88.4928456918</v>
      </c>
      <c r="C1010" s="15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9" t="inlineStr">
        <is>
          <t>05/06/2007</t>
        </is>
      </c>
      <c r="B1011" s="8" t="n">
        <v>87.9889001013</v>
      </c>
      <c r="C1011" s="15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9" t="inlineStr">
        <is>
          <t>06/06/2007</t>
        </is>
      </c>
      <c r="B1012" s="8" t="n">
        <v>87.85451461049999</v>
      </c>
      <c r="C1012" s="15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9" t="inlineStr">
        <is>
          <t>08/06/2007</t>
        </is>
      </c>
      <c r="B1013" s="8" t="n">
        <v>86.7458343114</v>
      </c>
      <c r="C1013" s="15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9" t="inlineStr">
        <is>
          <t>11/06/2007</t>
        </is>
      </c>
      <c r="B1014" s="8" t="n">
        <v>85.7715395031</v>
      </c>
      <c r="C1014" s="15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9" t="inlineStr">
        <is>
          <t>12/06/2007</t>
        </is>
      </c>
      <c r="B1015" s="8" t="n">
        <v>85.1668047945</v>
      </c>
      <c r="C1015" s="15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9" t="inlineStr">
        <is>
          <t>13/06/2007</t>
        </is>
      </c>
      <c r="B1016" s="8" t="n">
        <v>84.6292628313</v>
      </c>
      <c r="C1016" s="15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9" t="inlineStr">
        <is>
          <t>14/06/2007</t>
        </is>
      </c>
      <c r="B1017" s="8" t="n">
        <v>84.25970273159999</v>
      </c>
      <c r="C1017" s="15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9" t="inlineStr">
        <is>
          <t>15/06/2007</t>
        </is>
      </c>
      <c r="B1018" s="8" t="n">
        <v>83.3861970414</v>
      </c>
      <c r="C1018" s="15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9" t="inlineStr">
        <is>
          <t>18/06/2007</t>
        </is>
      </c>
      <c r="B1019" s="8" t="n">
        <v>82.41190223310001</v>
      </c>
      <c r="C1019" s="15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9" t="inlineStr">
        <is>
          <t>19/06/2007</t>
        </is>
      </c>
      <c r="B1020" s="8" t="n">
        <v>81.84076389719999</v>
      </c>
      <c r="C1020" s="15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9" t="inlineStr">
        <is>
          <t>20/06/2007</t>
        </is>
      </c>
      <c r="B1021" s="8" t="n">
        <v>81.639185661</v>
      </c>
      <c r="C1021" s="15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9" t="inlineStr">
        <is>
          <t>21/06/2007</t>
        </is>
      </c>
      <c r="B1022" s="8" t="n">
        <v>81.5383965429</v>
      </c>
      <c r="C1022" s="15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9" t="inlineStr">
        <is>
          <t>22/06/2007</t>
        </is>
      </c>
      <c r="B1023" s="8" t="n">
        <v>81.3704146794</v>
      </c>
      <c r="C1023" s="15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9" t="inlineStr">
        <is>
          <t>25/06/2007</t>
        </is>
      </c>
      <c r="B1024" s="8" t="n">
        <v>81.3368183067</v>
      </c>
      <c r="C1024" s="15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9" t="inlineStr">
        <is>
          <t>26/06/2007</t>
        </is>
      </c>
      <c r="B1025" s="8" t="n">
        <v>81.13524007049999</v>
      </c>
      <c r="C1025" s="15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9" t="inlineStr">
        <is>
          <t>27/06/2007</t>
        </is>
      </c>
      <c r="B1026" s="8" t="n">
        <v>80.46331261649999</v>
      </c>
      <c r="C1026" s="15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9" t="inlineStr">
        <is>
          <t>28/06/2007</t>
        </is>
      </c>
      <c r="B1027" s="8" t="n">
        <v>80.4297162438</v>
      </c>
      <c r="C1027" s="15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9" t="inlineStr">
        <is>
          <t>29/06/2007</t>
        </is>
      </c>
      <c r="B1028" s="8" t="n">
        <v>80.49690898919999</v>
      </c>
      <c r="C1028" s="15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9" t="inlineStr">
        <is>
          <t>02/07/2007</t>
        </is>
      </c>
      <c r="B1029" s="8" t="n">
        <v>80.1716392415</v>
      </c>
      <c r="C1029" s="15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9" t="inlineStr">
        <is>
          <t>03/07/2007</t>
        </is>
      </c>
      <c r="B1030" s="8" t="n">
        <v>80.4061572</v>
      </c>
      <c r="C1030" s="15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9" t="inlineStr">
        <is>
          <t>04/07/2007</t>
        </is>
      </c>
      <c r="B1031" s="8" t="n">
        <v>80.0376289795</v>
      </c>
      <c r="C1031" s="15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9" t="inlineStr">
        <is>
          <t>05/07/2007</t>
        </is>
      </c>
      <c r="B1032" s="8" t="n">
        <v>80.138136676</v>
      </c>
      <c r="C1032" s="15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9" t="inlineStr">
        <is>
          <t>06/07/2007</t>
        </is>
      </c>
      <c r="B1033" s="8" t="n">
        <v>80.27214693800001</v>
      </c>
      <c r="C1033" s="15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9" t="inlineStr">
        <is>
          <t>10/07/2007</t>
        </is>
      </c>
      <c r="B1034" s="8" t="n">
        <v>80.540167462</v>
      </c>
      <c r="C1034" s="15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9" t="inlineStr">
        <is>
          <t>11/07/2007</t>
        </is>
      </c>
      <c r="B1035" s="8" t="n">
        <v>80.7076802895</v>
      </c>
      <c r="C1035" s="15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9" t="inlineStr">
        <is>
          <t>12/07/2007</t>
        </is>
      </c>
      <c r="B1036" s="8" t="n">
        <v>80.9086956825</v>
      </c>
      <c r="C1036" s="15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9" t="inlineStr">
        <is>
          <t>13/07/2007</t>
        </is>
      </c>
      <c r="B1037" s="8" t="n">
        <v>80.84169055149999</v>
      </c>
      <c r="C1037" s="15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9" t="inlineStr">
        <is>
          <t>16/07/2007</t>
        </is>
      </c>
      <c r="B1038" s="8" t="n">
        <v>81.04270594450001</v>
      </c>
      <c r="C1038" s="15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9" t="inlineStr">
        <is>
          <t>17/07/2007</t>
        </is>
      </c>
      <c r="B1039" s="8" t="n">
        <v>82.31580343350001</v>
      </c>
      <c r="C1039" s="15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9" t="inlineStr">
        <is>
          <t>18/07/2007</t>
        </is>
      </c>
      <c r="B1040" s="8" t="n">
        <v>82.34930599899999</v>
      </c>
      <c r="C1040" s="15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9" t="inlineStr">
        <is>
          <t>19/07/2007</t>
        </is>
      </c>
      <c r="B1041" s="8" t="n">
        <v>82.24879830250001</v>
      </c>
      <c r="C1041" s="15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9" t="inlineStr">
        <is>
          <t>20/07/2007</t>
        </is>
      </c>
      <c r="B1042" s="8" t="n">
        <v>82.24879830250001</v>
      </c>
      <c r="C1042" s="15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9" t="inlineStr">
        <is>
          <t>23/07/2007</t>
        </is>
      </c>
      <c r="B1043" s="8" t="n">
        <v>82.21529573700001</v>
      </c>
      <c r="C1043" s="15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9" t="inlineStr">
        <is>
          <t>24/07/2007</t>
        </is>
      </c>
      <c r="B1044" s="8" t="n">
        <v>82.34930599899999</v>
      </c>
      <c r="C1044" s="15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9" t="inlineStr">
        <is>
          <t>25/07/2007</t>
        </is>
      </c>
      <c r="B1045" s="8" t="n">
        <v>82.48331626100001</v>
      </c>
      <c r="C1045" s="15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9" t="inlineStr">
        <is>
          <t>26/07/2007</t>
        </is>
      </c>
      <c r="B1046" s="8" t="n">
        <v>82.550321392</v>
      </c>
      <c r="C1046" s="15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9" t="inlineStr">
        <is>
          <t>27/07/2007</t>
        </is>
      </c>
      <c r="B1047" s="8" t="n">
        <v>83.1198650055</v>
      </c>
      <c r="C1047" s="15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9" t="inlineStr">
        <is>
          <t>30/07/2007</t>
        </is>
      </c>
      <c r="B1048" s="8" t="n">
        <v>84.024434274</v>
      </c>
      <c r="C1048" s="15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9" t="inlineStr">
        <is>
          <t>31/07/2007</t>
        </is>
      </c>
      <c r="B1049" s="8" t="n">
        <v>84.359459929</v>
      </c>
      <c r="C1049" s="15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9" t="inlineStr">
        <is>
          <t>01/08/2007</t>
        </is>
      </c>
      <c r="B1050" s="8" t="n">
        <v>83.5739378573</v>
      </c>
      <c r="C1050" s="15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9" t="inlineStr">
        <is>
          <t>02/08/2007</t>
        </is>
      </c>
      <c r="B1051" s="8" t="n">
        <v>83.7066475641</v>
      </c>
      <c r="C1051" s="15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9" t="inlineStr">
        <is>
          <t>03/08/2007</t>
        </is>
      </c>
      <c r="B1052" s="8" t="n">
        <v>83.8061798442</v>
      </c>
      <c r="C1052" s="15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9" t="inlineStr">
        <is>
          <t>06/08/2007</t>
        </is>
      </c>
      <c r="B1053" s="8" t="n">
        <v>84.3701960981</v>
      </c>
      <c r="C1053" s="15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9" t="inlineStr">
        <is>
          <t>07/08/2007</t>
        </is>
      </c>
      <c r="B1054" s="8" t="n">
        <v>84.602438085</v>
      </c>
      <c r="C1054" s="15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9" t="inlineStr">
        <is>
          <t>08/08/2007</t>
        </is>
      </c>
      <c r="B1055" s="8" t="n">
        <v>84.602438085</v>
      </c>
      <c r="C1055" s="15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9" t="inlineStr">
        <is>
          <t>09/08/2007</t>
        </is>
      </c>
      <c r="B1056" s="8" t="n">
        <v>84.4697283782</v>
      </c>
      <c r="C1056" s="15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9" t="inlineStr">
        <is>
          <t>10/08/2007</t>
        </is>
      </c>
      <c r="B1057" s="8" t="n">
        <v>84.602438085</v>
      </c>
      <c r="C1057" s="15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9" t="inlineStr">
        <is>
          <t>13/08/2007</t>
        </is>
      </c>
      <c r="B1058" s="8" t="n">
        <v>84.27066381799999</v>
      </c>
      <c r="C1058" s="15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9" t="inlineStr">
        <is>
          <t>14/08/2007</t>
        </is>
      </c>
      <c r="B1059" s="8" t="n">
        <v>83.73982499079999</v>
      </c>
      <c r="C1059" s="15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9" t="inlineStr">
        <is>
          <t>15/08/2007</t>
        </is>
      </c>
      <c r="B1060" s="8" t="n">
        <v>83.50758300390001</v>
      </c>
      <c r="C1060" s="15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9" t="inlineStr">
        <is>
          <t>16/08/2007</t>
        </is>
      </c>
      <c r="B1061" s="8" t="n">
        <v>83.4412281505</v>
      </c>
      <c r="C1061" s="15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9" t="inlineStr">
        <is>
          <t>17/08/2007</t>
        </is>
      </c>
      <c r="B1062" s="8" t="n">
        <v>83.07627645679999</v>
      </c>
      <c r="C1062" s="15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9" t="inlineStr">
        <is>
          <t>20/08/2007</t>
        </is>
      </c>
      <c r="B1063" s="8" t="n">
        <v>82.44590534950001</v>
      </c>
      <c r="C1063" s="15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9" t="inlineStr">
        <is>
          <t>21/08/2007</t>
        </is>
      </c>
      <c r="B1064" s="8" t="n">
        <v>82.24684078929999</v>
      </c>
      <c r="C1064" s="15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9" t="inlineStr">
        <is>
          <t>22/08/2007</t>
        </is>
      </c>
      <c r="B1065" s="8" t="n">
        <v>82.3463730694</v>
      </c>
      <c r="C1065" s="15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9" t="inlineStr">
        <is>
          <t>23/08/2007</t>
        </is>
      </c>
      <c r="B1066" s="8" t="n">
        <v>82.7776796165</v>
      </c>
      <c r="C1066" s="15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9" t="inlineStr">
        <is>
          <t>24/08/2007</t>
        </is>
      </c>
      <c r="B1067" s="8" t="n">
        <v>83.0099216034</v>
      </c>
      <c r="C1067" s="15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9" t="inlineStr">
        <is>
          <t>27/08/2007</t>
        </is>
      </c>
      <c r="B1068" s="8" t="n">
        <v>83.20898616359999</v>
      </c>
      <c r="C1068" s="15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9" t="inlineStr">
        <is>
          <t>28/08/2007</t>
        </is>
      </c>
      <c r="B1069" s="8" t="n">
        <v>83.4412281505</v>
      </c>
      <c r="C1069" s="15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9" t="inlineStr">
        <is>
          <t>29/08/2007</t>
        </is>
      </c>
      <c r="B1070" s="8" t="n">
        <v>83.3748732971</v>
      </c>
      <c r="C1070" s="15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9" t="inlineStr">
        <is>
          <t>30/08/2007</t>
        </is>
      </c>
      <c r="B1071" s="8" t="n">
        <v>83.0430990301</v>
      </c>
      <c r="C1071" s="15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9" t="inlineStr">
        <is>
          <t>31/08/2007</t>
        </is>
      </c>
      <c r="B1072" s="8" t="n">
        <v>83.50758300390001</v>
      </c>
      <c r="C1072" s="15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9" t="inlineStr">
        <is>
          <t>03/09/2007</t>
        </is>
      </c>
      <c r="B1073" s="8" t="n">
        <v>82.5095643834</v>
      </c>
      <c r="C1073" s="15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9" t="inlineStr">
        <is>
          <t>04/09/2007</t>
        </is>
      </c>
      <c r="B1074" s="8" t="n">
        <v>82.5750741606</v>
      </c>
      <c r="C1074" s="15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9" t="inlineStr">
        <is>
          <t>05/09/2007</t>
        </is>
      </c>
      <c r="B1075" s="8" t="n">
        <v>83.033642601</v>
      </c>
      <c r="C1075" s="15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9" t="inlineStr">
        <is>
          <t>06/09/2007</t>
        </is>
      </c>
      <c r="B1076" s="8" t="n">
        <v>83.0991523782</v>
      </c>
      <c r="C1076" s="15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9" t="inlineStr">
        <is>
          <t>10/09/2007</t>
        </is>
      </c>
      <c r="B1077" s="8" t="n">
        <v>83.2301719326</v>
      </c>
      <c r="C1077" s="15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9" t="inlineStr">
        <is>
          <t>11/09/2007</t>
        </is>
      </c>
      <c r="B1078" s="8" t="n">
        <v>82.7716034922</v>
      </c>
      <c r="C1078" s="15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9" t="inlineStr">
        <is>
          <t>12/09/2007</t>
        </is>
      </c>
      <c r="B1079" s="8" t="n">
        <v>82.7716034922</v>
      </c>
      <c r="C1079" s="15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9" t="inlineStr">
        <is>
          <t>13/09/2007</t>
        </is>
      </c>
      <c r="B1080" s="8" t="n">
        <v>83.033642601</v>
      </c>
      <c r="C1080" s="15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9" t="inlineStr">
        <is>
          <t>14/09/2007</t>
        </is>
      </c>
      <c r="B1081" s="8" t="n">
        <v>82.9026230466</v>
      </c>
      <c r="C1081" s="15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9" t="inlineStr">
        <is>
          <t>17/09/2007</t>
        </is>
      </c>
      <c r="B1082" s="8" t="n">
        <v>82.5750741606</v>
      </c>
      <c r="C1082" s="15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9" t="inlineStr">
        <is>
          <t>18/09/2007</t>
        </is>
      </c>
      <c r="B1083" s="8" t="n">
        <v>82.70609371499999</v>
      </c>
      <c r="C1083" s="15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9" t="inlineStr">
        <is>
          <t>19/09/2007</t>
        </is>
      </c>
      <c r="B1084" s="8" t="n">
        <v>82.31303505179999</v>
      </c>
      <c r="C1084" s="15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9" t="inlineStr">
        <is>
          <t>20/09/2007</t>
        </is>
      </c>
      <c r="B1085" s="8" t="n">
        <v>82.214770386</v>
      </c>
      <c r="C1085" s="15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9" t="inlineStr">
        <is>
          <t>21/09/2007</t>
        </is>
      </c>
      <c r="B1086" s="8" t="n">
        <v>82.214770386</v>
      </c>
      <c r="C1086" s="15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9" t="inlineStr">
        <is>
          <t>24/09/2007</t>
        </is>
      </c>
      <c r="B1087" s="8" t="n">
        <v>81.69069216840001</v>
      </c>
      <c r="C1087" s="15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9" t="inlineStr">
        <is>
          <t>25/09/2007</t>
        </is>
      </c>
      <c r="B1088" s="8" t="n">
        <v>81.1666139508</v>
      </c>
      <c r="C1088" s="15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9" t="inlineStr">
        <is>
          <t>26/09/2007</t>
        </is>
      </c>
      <c r="B1089" s="8" t="n">
        <v>80.90457484199999</v>
      </c>
      <c r="C1089" s="15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9" t="inlineStr">
        <is>
          <t>27/09/2007</t>
        </is>
      </c>
      <c r="B1090" s="8" t="n">
        <v>80.90457484199999</v>
      </c>
      <c r="C1090" s="15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9" t="inlineStr">
        <is>
          <t>28/09/2007</t>
        </is>
      </c>
      <c r="B1091" s="8" t="n">
        <v>80.31498684719999</v>
      </c>
      <c r="C1091" s="15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9" t="inlineStr">
        <is>
          <t>01/10/2007</t>
        </is>
      </c>
      <c r="B1092" s="8" t="n">
        <v>79.059053304</v>
      </c>
      <c r="C1092" s="15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9" t="inlineStr">
        <is>
          <t>02/10/2007</t>
        </is>
      </c>
      <c r="B1093" s="8" t="n">
        <v>79.350784128</v>
      </c>
      <c r="C1093" s="15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9" t="inlineStr">
        <is>
          <t>03/10/2007</t>
        </is>
      </c>
      <c r="B1094" s="8" t="n">
        <v>78.79973701599999</v>
      </c>
      <c r="C1094" s="15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9" t="inlineStr">
        <is>
          <t>04/10/2007</t>
        </is>
      </c>
      <c r="B1095" s="8" t="n">
        <v>78.15144629599999</v>
      </c>
      <c r="C1095" s="15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9" t="inlineStr">
        <is>
          <t>05/10/2007</t>
        </is>
      </c>
      <c r="B1096" s="8" t="n">
        <v>77.30866836</v>
      </c>
      <c r="C1096" s="15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9" t="inlineStr">
        <is>
          <t>08/10/2007</t>
        </is>
      </c>
      <c r="B1097" s="8" t="n">
        <v>77.76247186399999</v>
      </c>
      <c r="C1097" s="15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9" t="inlineStr">
        <is>
          <t>09/10/2007</t>
        </is>
      </c>
      <c r="B1098" s="8" t="n">
        <v>77.535570112</v>
      </c>
      <c r="C1098" s="15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9" t="inlineStr">
        <is>
          <t>10/10/2007</t>
        </is>
      </c>
      <c r="B1099" s="8" t="n">
        <v>77.697642792</v>
      </c>
      <c r="C1099" s="15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9" t="inlineStr">
        <is>
          <t>11/10/2007</t>
        </is>
      </c>
      <c r="B1100" s="8" t="n">
        <v>77.66522825599999</v>
      </c>
      <c r="C1100" s="15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9" t="inlineStr">
        <is>
          <t>15/10/2007</t>
        </is>
      </c>
      <c r="B1101" s="8" t="n">
        <v>77.600399184</v>
      </c>
      <c r="C1101" s="15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9" t="inlineStr">
        <is>
          <t>16/10/2007</t>
        </is>
      </c>
      <c r="B1102" s="8" t="n">
        <v>76.790035784</v>
      </c>
      <c r="C1102" s="15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9" t="inlineStr">
        <is>
          <t>17/10/2007</t>
        </is>
      </c>
      <c r="B1103" s="8" t="n">
        <v>77.04935207199999</v>
      </c>
      <c r="C1103" s="15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9" t="inlineStr">
        <is>
          <t>18/10/2007</t>
        </is>
      </c>
      <c r="B1104" s="8" t="n">
        <v>76.984523</v>
      </c>
      <c r="C1104" s="15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9" t="inlineStr">
        <is>
          <t>19/10/2007</t>
        </is>
      </c>
      <c r="B1105" s="8" t="n">
        <v>76.984523</v>
      </c>
      <c r="C1105" s="15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9" t="inlineStr">
        <is>
          <t>22/10/2007</t>
        </is>
      </c>
      <c r="B1106" s="8" t="n">
        <v>77.17901021599999</v>
      </c>
      <c r="C1106" s="15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9" t="inlineStr">
        <is>
          <t>23/10/2007</t>
        </is>
      </c>
      <c r="B1107" s="8" t="n">
        <v>77.14659568</v>
      </c>
      <c r="C1107" s="15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9" t="inlineStr">
        <is>
          <t>24/10/2007</t>
        </is>
      </c>
      <c r="B1108" s="8" t="n">
        <v>77.17901021599999</v>
      </c>
      <c r="C1108" s="15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9" t="inlineStr">
        <is>
          <t>25/10/2007</t>
        </is>
      </c>
      <c r="B1109" s="8" t="n">
        <v>76.919693928</v>
      </c>
      <c r="C1109" s="15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9" t="inlineStr">
        <is>
          <t>26/10/2007</t>
        </is>
      </c>
      <c r="B1110" s="8" t="n">
        <v>76.53071949599999</v>
      </c>
      <c r="C1110" s="15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9" t="inlineStr">
        <is>
          <t>29/10/2007</t>
        </is>
      </c>
      <c r="B1111" s="8" t="n">
        <v>76.49830496</v>
      </c>
      <c r="C1111" s="15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9" t="inlineStr">
        <is>
          <t>30/10/2007</t>
        </is>
      </c>
      <c r="B1112" s="8" t="n">
        <v>75.94725784799999</v>
      </c>
      <c r="C1112" s="15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9" t="inlineStr">
        <is>
          <t>31/10/2007</t>
        </is>
      </c>
      <c r="B1113" s="8" t="n">
        <v>76.04450145599999</v>
      </c>
      <c r="C1113" s="15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9" t="inlineStr">
        <is>
          <t>01/11/2007</t>
        </is>
      </c>
      <c r="B1114" s="8" t="n">
        <v>75.9418914156</v>
      </c>
      <c r="C1114" s="15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9" t="inlineStr">
        <is>
          <t>05/11/2007</t>
        </is>
      </c>
      <c r="B1115" s="8" t="n">
        <v>75.29804324760001</v>
      </c>
      <c r="C1115" s="15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9" t="inlineStr">
        <is>
          <t>06/11/2007</t>
        </is>
      </c>
      <c r="B1116" s="8" t="n">
        <v>75.16927361400001</v>
      </c>
      <c r="C1116" s="15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9" t="inlineStr">
        <is>
          <t>07/11/2007</t>
        </is>
      </c>
      <c r="B1117" s="8" t="n">
        <v>74.84734953</v>
      </c>
      <c r="C1117" s="15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9" t="inlineStr">
        <is>
          <t>08/11/2007</t>
        </is>
      </c>
      <c r="B1118" s="8" t="n">
        <v>74.91173434679999</v>
      </c>
      <c r="C1118" s="15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9" t="inlineStr">
        <is>
          <t>09/11/2007</t>
        </is>
      </c>
      <c r="B1119" s="8" t="n">
        <v>74.6541950796</v>
      </c>
      <c r="C1119" s="15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9" t="inlineStr">
        <is>
          <t>12/11/2007</t>
        </is>
      </c>
      <c r="B1120" s="8" t="n">
        <v>75.0726963888</v>
      </c>
      <c r="C1120" s="15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9" t="inlineStr">
        <is>
          <t>13/11/2007</t>
        </is>
      </c>
      <c r="B1121" s="8" t="n">
        <v>74.0747317284</v>
      </c>
      <c r="C1121" s="15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9" t="inlineStr">
        <is>
          <t>14/11/2007</t>
        </is>
      </c>
      <c r="B1122" s="8" t="n">
        <v>74.1391165452</v>
      </c>
      <c r="C1122" s="15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9" t="inlineStr">
        <is>
          <t>16/11/2007</t>
        </is>
      </c>
      <c r="B1123" s="8" t="n">
        <v>74.30007858719999</v>
      </c>
      <c r="C1123" s="15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9" t="inlineStr">
        <is>
          <t>19/11/2007</t>
        </is>
      </c>
      <c r="B1124" s="8" t="n">
        <v>74.4610406292</v>
      </c>
      <c r="C1124" s="15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9" t="inlineStr">
        <is>
          <t>20/11/2007</t>
        </is>
      </c>
      <c r="B1125" s="8" t="n">
        <v>74.36446340400001</v>
      </c>
      <c r="C1125" s="15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9" t="inlineStr">
        <is>
          <t>21/11/2007</t>
        </is>
      </c>
      <c r="B1126" s="8" t="n">
        <v>74.7185798964</v>
      </c>
      <c r="C1126" s="15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9" t="inlineStr">
        <is>
          <t>22/11/2007</t>
        </is>
      </c>
      <c r="B1127" s="8" t="n">
        <v>74.7185798964</v>
      </c>
      <c r="C1127" s="15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9" t="inlineStr">
        <is>
          <t>23/11/2007</t>
        </is>
      </c>
      <c r="B1128" s="8" t="n">
        <v>74.52542544599999</v>
      </c>
      <c r="C1128" s="15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9" t="inlineStr">
        <is>
          <t>26/11/2007</t>
        </is>
      </c>
      <c r="B1129" s="8" t="n">
        <v>74.5898102628</v>
      </c>
      <c r="C1129" s="15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9" t="inlineStr">
        <is>
          <t>27/11/2007</t>
        </is>
      </c>
      <c r="B1130" s="8" t="n">
        <v>74.8795419384</v>
      </c>
      <c r="C1130" s="15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9" t="inlineStr">
        <is>
          <t>28/11/2007</t>
        </is>
      </c>
      <c r="B1131" s="8" t="n">
        <v>75.0726963888</v>
      </c>
      <c r="C1131" s="15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9" t="inlineStr">
        <is>
          <t>29/11/2007</t>
        </is>
      </c>
      <c r="B1132" s="8" t="n">
        <v>75.04050398039999</v>
      </c>
      <c r="C1132" s="15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9" t="inlineStr">
        <is>
          <t>30/11/2007</t>
        </is>
      </c>
      <c r="B1133" s="8" t="n">
        <v>75.008311572</v>
      </c>
      <c r="C1133" s="15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9" t="inlineStr">
        <is>
          <t>03/12/2007</t>
        </is>
      </c>
      <c r="B1134" s="8" t="n">
        <v>74.15389679600001</v>
      </c>
      <c r="C1134" s="15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9" t="inlineStr">
        <is>
          <t>04/12/2007</t>
        </is>
      </c>
      <c r="B1135" s="8" t="n">
        <v>74.1855324175</v>
      </c>
      <c r="C1135" s="15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9" t="inlineStr">
        <is>
          <t>05/12/2007</t>
        </is>
      </c>
      <c r="B1136" s="8" t="n">
        <v>74.1855324175</v>
      </c>
      <c r="C1136" s="15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9" t="inlineStr">
        <is>
          <t>06/12/2007</t>
        </is>
      </c>
      <c r="B1137" s="8" t="n">
        <v>73.900811824</v>
      </c>
      <c r="C1137" s="15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9" t="inlineStr">
        <is>
          <t>07/12/2007</t>
        </is>
      </c>
      <c r="B1138" s="8" t="n">
        <v>74.217168039</v>
      </c>
      <c r="C1138" s="15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9" t="inlineStr">
        <is>
          <t>10/12/2007</t>
        </is>
      </c>
      <c r="B1139" s="8" t="n">
        <v>74.37534614650001</v>
      </c>
      <c r="C1139" s="15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9" t="inlineStr">
        <is>
          <t>11/12/2007</t>
        </is>
      </c>
      <c r="B1140" s="8" t="n">
        <v>74.34371052500001</v>
      </c>
      <c r="C1140" s="15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9" t="inlineStr">
        <is>
          <t>12/12/2007</t>
        </is>
      </c>
      <c r="B1141" s="8" t="n">
        <v>74.40698176800001</v>
      </c>
      <c r="C1141" s="15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9" t="inlineStr">
        <is>
          <t>13/12/2007</t>
        </is>
      </c>
      <c r="B1142" s="8" t="n">
        <v>74.88151609050001</v>
      </c>
      <c r="C1142" s="15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9" t="inlineStr">
        <is>
          <t>14/12/2007</t>
        </is>
      </c>
      <c r="B1143" s="8" t="n">
        <v>75.10296544099999</v>
      </c>
      <c r="C1143" s="15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9" t="inlineStr">
        <is>
          <t>17/12/2007</t>
        </is>
      </c>
      <c r="B1144" s="8" t="n">
        <v>74.69170236150001</v>
      </c>
      <c r="C1144" s="15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9" t="inlineStr">
        <is>
          <t>18/12/2007</t>
        </is>
      </c>
      <c r="B1145" s="8" t="n">
        <v>74.66006674</v>
      </c>
      <c r="C1145" s="15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9" t="inlineStr">
        <is>
          <t>19/12/2007</t>
        </is>
      </c>
      <c r="B1146" s="8" t="n">
        <v>75.00805857650001</v>
      </c>
      <c r="C1146" s="15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9" t="inlineStr">
        <is>
          <t>20/12/2007</t>
        </is>
      </c>
      <c r="B1147" s="8" t="n">
        <v>75.1978723055</v>
      </c>
      <c r="C1147" s="15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9" t="inlineStr">
        <is>
          <t>21/12/2007</t>
        </is>
      </c>
      <c r="B1148" s="8" t="n">
        <v>75.1978723055</v>
      </c>
      <c r="C1148" s="15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9" t="inlineStr">
        <is>
          <t>26/12/2007</t>
        </is>
      </c>
      <c r="B1149" s="8" t="n">
        <v>75.6407710065</v>
      </c>
      <c r="C1149" s="15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9" t="inlineStr">
        <is>
          <t>27/12/2007</t>
        </is>
      </c>
      <c r="B1150" s="8" t="n">
        <v>75.545864142</v>
      </c>
      <c r="C1150" s="15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9" t="inlineStr">
        <is>
          <t>28/12/2007</t>
        </is>
      </c>
      <c r="B1151" s="8" t="n">
        <v>75.545864142</v>
      </c>
      <c r="C1151" s="15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9" t="inlineStr">
        <is>
          <t>02/01/2008</t>
        </is>
      </c>
      <c r="B1152" s="8" t="n">
        <v>75.419772233</v>
      </c>
      <c r="C1152" s="15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9" t="inlineStr">
        <is>
          <t>03/01/2008</t>
        </is>
      </c>
      <c r="B1153" s="8" t="n">
        <v>75.45106674429999</v>
      </c>
      <c r="C1153" s="15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9" t="inlineStr">
        <is>
          <t>04/01/2008</t>
        </is>
      </c>
      <c r="B1154" s="8" t="n">
        <v>75.54495027820001</v>
      </c>
      <c r="C1154" s="15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9" t="inlineStr">
        <is>
          <t>07/01/2008</t>
        </is>
      </c>
      <c r="B1155" s="8" t="n">
        <v>76.1708405042</v>
      </c>
      <c r="C1155" s="15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9" t="inlineStr">
        <is>
          <t>08/01/2008</t>
        </is>
      </c>
      <c r="B1156" s="8" t="n">
        <v>75.9517789251</v>
      </c>
      <c r="C1156" s="15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9" t="inlineStr">
        <is>
          <t>09/01/2008</t>
        </is>
      </c>
      <c r="B1157" s="8" t="n">
        <v>76.20213501550001</v>
      </c>
      <c r="C1157" s="15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9" t="inlineStr">
        <is>
          <t>10/01/2008</t>
        </is>
      </c>
      <c r="B1158" s="8" t="n">
        <v>76.23342952679999</v>
      </c>
      <c r="C1158" s="15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9" t="inlineStr">
        <is>
          <t>11/01/2008</t>
        </is>
      </c>
      <c r="B1159" s="8" t="n">
        <v>76.70284719630001</v>
      </c>
      <c r="C1159" s="15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9" t="inlineStr">
        <is>
          <t>14/01/2008</t>
        </is>
      </c>
      <c r="B1160" s="8" t="n">
        <v>77.5165044901</v>
      </c>
      <c r="C1160" s="15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9" t="inlineStr">
        <is>
          <t>15/01/2008</t>
        </is>
      </c>
      <c r="B1161" s="8" t="n">
        <v>77.610388024</v>
      </c>
      <c r="C1161" s="15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9" t="inlineStr">
        <is>
          <t>16/01/2008</t>
        </is>
      </c>
      <c r="B1162" s="8" t="n">
        <v>78.2675727613</v>
      </c>
      <c r="C1162" s="15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9" t="inlineStr">
        <is>
          <t>17/01/2008</t>
        </is>
      </c>
      <c r="B1163" s="8" t="n">
        <v>78.9247574986</v>
      </c>
      <c r="C1163" s="15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9" t="inlineStr">
        <is>
          <t>18/01/2008</t>
        </is>
      </c>
      <c r="B1164" s="8" t="n">
        <v>78.7995794534</v>
      </c>
      <c r="C1164" s="15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9" t="inlineStr">
        <is>
          <t>21/01/2008</t>
        </is>
      </c>
      <c r="B1165" s="8" t="n">
        <v>79.4567641907</v>
      </c>
      <c r="C1165" s="15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9" t="inlineStr">
        <is>
          <t>22/01/2008</t>
        </is>
      </c>
      <c r="B1166" s="8" t="n">
        <v>80.61466110880001</v>
      </c>
      <c r="C1166" s="15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9" t="inlineStr">
        <is>
          <t>23/01/2008</t>
        </is>
      </c>
      <c r="B1167" s="8" t="n">
        <v>80.4581885523</v>
      </c>
      <c r="C1167" s="15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9" t="inlineStr">
        <is>
          <t>24/01/2008</t>
        </is>
      </c>
      <c r="B1168" s="8" t="n">
        <v>80.39559952970001</v>
      </c>
      <c r="C1168" s="15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9" t="inlineStr">
        <is>
          <t>25/01/2008</t>
        </is>
      </c>
      <c r="B1169" s="8" t="n">
        <v>80.5833665975</v>
      </c>
      <c r="C1169" s="15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9" t="inlineStr">
        <is>
          <t>28/01/2008</t>
        </is>
      </c>
      <c r="B1170" s="8" t="n">
        <v>80.9901952444</v>
      </c>
      <c r="C1170" s="15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9" t="inlineStr">
        <is>
          <t>29/01/2008</t>
        </is>
      </c>
      <c r="B1171" s="8" t="n">
        <v>80.7711336653</v>
      </c>
      <c r="C1171" s="15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9" t="inlineStr">
        <is>
          <t>30/01/2008</t>
        </is>
      </c>
      <c r="B1172" s="8" t="n">
        <v>80.8650171992</v>
      </c>
      <c r="C1172" s="15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9" t="inlineStr">
        <is>
          <t>31/01/2008</t>
        </is>
      </c>
      <c r="B1173" s="8" t="n">
        <v>80.73983915400001</v>
      </c>
      <c r="C1173" s="15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9" t="inlineStr">
        <is>
          <t>01/02/2008</t>
        </is>
      </c>
      <c r="B1174" s="8" t="n">
        <v>80.9678940048</v>
      </c>
      <c r="C1174" s="15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9" t="inlineStr">
        <is>
          <t>06/02/2008</t>
        </is>
      </c>
      <c r="B1175" s="8" t="n">
        <v>81.0301530544</v>
      </c>
      <c r="C1175" s="15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9" t="inlineStr">
        <is>
          <t>07/02/2008</t>
        </is>
      </c>
      <c r="B1176" s="8" t="n">
        <v>81.0612825792</v>
      </c>
      <c r="C1176" s="15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9" t="inlineStr">
        <is>
          <t>08/02/2008</t>
        </is>
      </c>
      <c r="B1177" s="8" t="n">
        <v>80.6877282816</v>
      </c>
      <c r="C1177" s="15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9" t="inlineStr">
        <is>
          <t>11/02/2008</t>
        </is>
      </c>
      <c r="B1178" s="8" t="n">
        <v>81.0301530544</v>
      </c>
      <c r="C1178" s="15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9" t="inlineStr">
        <is>
          <t>12/02/2008</t>
        </is>
      </c>
      <c r="B1179" s="8" t="n">
        <v>81.15467115360001</v>
      </c>
      <c r="C1179" s="15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9" t="inlineStr">
        <is>
          <t>13/02/2008</t>
        </is>
      </c>
      <c r="B1180" s="8" t="n">
        <v>80.93676448000001</v>
      </c>
      <c r="C1180" s="15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9" t="inlineStr">
        <is>
          <t>14/02/2008</t>
        </is>
      </c>
      <c r="B1181" s="8" t="n">
        <v>81.27918925279999</v>
      </c>
      <c r="C1181" s="15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9" t="inlineStr">
        <is>
          <t>15/02/2008</t>
        </is>
      </c>
      <c r="B1182" s="8" t="n">
        <v>81.092412104</v>
      </c>
      <c r="C1182" s="15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9" t="inlineStr">
        <is>
          <t>18/02/2008</t>
        </is>
      </c>
      <c r="B1183" s="8" t="n">
        <v>81.15467115360001</v>
      </c>
      <c r="C1183" s="15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9" t="inlineStr">
        <is>
          <t>19/02/2008</t>
        </is>
      </c>
      <c r="B1184" s="8" t="n">
        <v>81.092412104</v>
      </c>
      <c r="C1184" s="15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9" t="inlineStr">
        <is>
          <t>20/02/2008</t>
        </is>
      </c>
      <c r="B1185" s="8" t="n">
        <v>81.3414483024</v>
      </c>
      <c r="C1185" s="15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9" t="inlineStr">
        <is>
          <t>21/02/2008</t>
        </is>
      </c>
      <c r="B1186" s="8" t="n">
        <v>82.02629784800001</v>
      </c>
      <c r="C1186" s="15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9" t="inlineStr">
        <is>
          <t>22/02/2008</t>
        </is>
      </c>
      <c r="B1187" s="8" t="n">
        <v>82.24420452160001</v>
      </c>
      <c r="C1187" s="15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9" t="inlineStr">
        <is>
          <t>25/02/2008</t>
        </is>
      </c>
      <c r="B1188" s="8" t="n">
        <v>81.9017797488</v>
      </c>
      <c r="C1188" s="15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9" t="inlineStr">
        <is>
          <t>26/02/2008</t>
        </is>
      </c>
      <c r="B1189" s="8" t="n">
        <v>82.61775881920001</v>
      </c>
      <c r="C1189" s="15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9" t="inlineStr">
        <is>
          <t>27/02/2008</t>
        </is>
      </c>
      <c r="B1190" s="8" t="n">
        <v>82.39985214559999</v>
      </c>
      <c r="C1190" s="15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9" t="inlineStr">
        <is>
          <t>28/02/2008</t>
        </is>
      </c>
      <c r="B1191" s="8" t="n">
        <v>82.648888344</v>
      </c>
      <c r="C1191" s="15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9" t="inlineStr">
        <is>
          <t>29/02/2008</t>
        </is>
      </c>
      <c r="B1192" s="8" t="n">
        <v>83.02244264160001</v>
      </c>
      <c r="C1192" s="15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9" t="inlineStr">
        <is>
          <t>03/03/2008</t>
        </is>
      </c>
      <c r="B1193" s="8" t="n">
        <v>82.59799477049999</v>
      </c>
      <c r="C1193" s="15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9" t="inlineStr">
        <is>
          <t>04/03/2008</t>
        </is>
      </c>
      <c r="B1194" s="8" t="n">
        <v>82.752499063</v>
      </c>
      <c r="C1194" s="15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9" t="inlineStr">
        <is>
          <t>05/03/2008</t>
        </is>
      </c>
      <c r="B1195" s="8" t="n">
        <v>82.78339992149999</v>
      </c>
      <c r="C1195" s="15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9" t="inlineStr">
        <is>
          <t>06/03/2008</t>
        </is>
      </c>
      <c r="B1196" s="8" t="n">
        <v>83.67952481799999</v>
      </c>
      <c r="C1196" s="15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9" t="inlineStr">
        <is>
          <t>07/03/2008</t>
        </is>
      </c>
      <c r="B1197" s="8" t="n">
        <v>83.617723101</v>
      </c>
      <c r="C1197" s="15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9" t="inlineStr">
        <is>
          <t>10/03/2008</t>
        </is>
      </c>
      <c r="B1198" s="8" t="n">
        <v>84.0194342615</v>
      </c>
      <c r="C1198" s="15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9" t="inlineStr">
        <is>
          <t>11/03/2008</t>
        </is>
      </c>
      <c r="B1199" s="8" t="n">
        <v>83.8340291105</v>
      </c>
      <c r="C1199" s="15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9" t="inlineStr">
        <is>
          <t>12/03/2008</t>
        </is>
      </c>
      <c r="B1200" s="8" t="n">
        <v>84.11213683699999</v>
      </c>
      <c r="C1200" s="15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9" t="inlineStr">
        <is>
          <t>13/03/2008</t>
        </is>
      </c>
      <c r="B1201" s="8" t="n">
        <v>83.98853340299999</v>
      </c>
      <c r="C1201" s="15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9" t="inlineStr">
        <is>
          <t>14/03/2008</t>
        </is>
      </c>
      <c r="B1202" s="8" t="n">
        <v>84.60655057299999</v>
      </c>
      <c r="C1202" s="15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9" t="inlineStr">
        <is>
          <t>17/03/2008</t>
        </is>
      </c>
      <c r="B1203" s="8" t="n">
        <v>84.482947139</v>
      </c>
      <c r="C1203" s="15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9" t="inlineStr">
        <is>
          <t>18/03/2008</t>
        </is>
      </c>
      <c r="B1204" s="8" t="n">
        <v>85.1936668845</v>
      </c>
      <c r="C1204" s="15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9" t="inlineStr">
        <is>
          <t>19/03/2008</t>
        </is>
      </c>
      <c r="B1205" s="8" t="n">
        <v>85.471774611</v>
      </c>
      <c r="C1205" s="15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9" t="inlineStr">
        <is>
          <t>20/03/2008</t>
        </is>
      </c>
      <c r="B1206" s="8" t="n">
        <v>85.533576328</v>
      </c>
      <c r="C1206" s="15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9" t="inlineStr">
        <is>
          <t>24/03/2008</t>
        </is>
      </c>
      <c r="B1207" s="8" t="n">
        <v>86.151593498</v>
      </c>
      <c r="C1207" s="15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9" t="inlineStr">
        <is>
          <t>25/03/2008</t>
        </is>
      </c>
      <c r="B1208" s="8" t="n">
        <v>85.6880806205</v>
      </c>
      <c r="C1208" s="15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9" t="inlineStr">
        <is>
          <t>26/03/2008</t>
        </is>
      </c>
      <c r="B1209" s="8" t="n">
        <v>86.1824943565</v>
      </c>
      <c r="C1209" s="15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9" t="inlineStr">
        <is>
          <t>27/03/2008</t>
        </is>
      </c>
      <c r="B1210" s="8" t="n">
        <v>86.83141238500001</v>
      </c>
      <c r="C1210" s="15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9" t="inlineStr">
        <is>
          <t>28/03/2008</t>
        </is>
      </c>
      <c r="B1211" s="8" t="n">
        <v>86.61510637550001</v>
      </c>
      <c r="C1211" s="15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9" t="inlineStr">
        <is>
          <t>31/03/2008</t>
        </is>
      </c>
      <c r="B1212" s="8" t="n">
        <v>87.41852869649999</v>
      </c>
      <c r="C1212" s="15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9" t="inlineStr">
        <is>
          <t>01/04/2008</t>
        </is>
      </c>
      <c r="B1213" s="8" t="n">
        <v>86.2977593232</v>
      </c>
      <c r="C1213" s="15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9" t="inlineStr">
        <is>
          <t>02/04/2008</t>
        </is>
      </c>
      <c r="B1214" s="8" t="n">
        <v>85.92949007999999</v>
      </c>
      <c r="C1214" s="15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9" t="inlineStr">
        <is>
          <t>03/04/2008</t>
        </is>
      </c>
      <c r="B1215" s="8" t="n">
        <v>86.4205157376</v>
      </c>
      <c r="C1215" s="15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9" t="inlineStr">
        <is>
          <t>04/04/2008</t>
        </is>
      </c>
      <c r="B1216" s="8" t="n">
        <v>86.2670702196</v>
      </c>
      <c r="C1216" s="15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9" t="inlineStr">
        <is>
          <t>07/04/2008</t>
        </is>
      </c>
      <c r="B1217" s="8" t="n">
        <v>87.1263651204</v>
      </c>
      <c r="C1217" s="15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9" t="inlineStr">
        <is>
          <t>08/04/2008</t>
        </is>
      </c>
      <c r="B1218" s="8" t="n">
        <v>86.8194740844</v>
      </c>
      <c r="C1218" s="15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9" t="inlineStr">
        <is>
          <t>09/04/2008</t>
        </is>
      </c>
      <c r="B1219" s="8" t="n">
        <v>86.5125830484</v>
      </c>
      <c r="C1219" s="15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9" t="inlineStr">
        <is>
          <t>10/04/2008</t>
        </is>
      </c>
      <c r="B1220" s="8" t="n">
        <v>86.11362470159999</v>
      </c>
      <c r="C1220" s="15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9" t="inlineStr">
        <is>
          <t>11/04/2008</t>
        </is>
      </c>
      <c r="B1221" s="8" t="n">
        <v>86.5739612556</v>
      </c>
      <c r="C1221" s="15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9" t="inlineStr">
        <is>
          <t>14/04/2008</t>
        </is>
      </c>
      <c r="B1222" s="8" t="n">
        <v>86.7887849808</v>
      </c>
      <c r="C1222" s="15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9" t="inlineStr">
        <is>
          <t>15/04/2008</t>
        </is>
      </c>
      <c r="B1223" s="8" t="n">
        <v>86.88085229159999</v>
      </c>
      <c r="C1223" s="15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9" t="inlineStr">
        <is>
          <t>16/04/2008</t>
        </is>
      </c>
      <c r="B1224" s="8" t="n">
        <v>86.8194740844</v>
      </c>
      <c r="C1224" s="15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9" t="inlineStr">
        <is>
          <t>17/04/2008</t>
        </is>
      </c>
      <c r="B1225" s="8" t="n">
        <v>87.0956760168</v>
      </c>
      <c r="C1225" s="15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9" t="inlineStr">
        <is>
          <t>18/04/2008</t>
        </is>
      </c>
      <c r="B1226" s="8" t="n">
        <v>86.72740677359999</v>
      </c>
      <c r="C1226" s="15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9" t="inlineStr">
        <is>
          <t>22/04/2008</t>
        </is>
      </c>
      <c r="B1227" s="8" t="n">
        <v>86.48189394479999</v>
      </c>
      <c r="C1227" s="15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9" t="inlineStr">
        <is>
          <t>23/04/2008</t>
        </is>
      </c>
      <c r="B1228" s="8" t="n">
        <v>85.8681118728</v>
      </c>
      <c r="C1228" s="15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9" t="inlineStr">
        <is>
          <t>24/04/2008</t>
        </is>
      </c>
      <c r="B1229" s="8" t="n">
        <v>85.5919099404</v>
      </c>
      <c r="C1229" s="15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9" t="inlineStr">
        <is>
          <t>25/04/2008</t>
        </is>
      </c>
      <c r="B1230" s="8" t="n">
        <v>85.83742276919999</v>
      </c>
      <c r="C1230" s="15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9" t="inlineStr">
        <is>
          <t>28/04/2008</t>
        </is>
      </c>
      <c r="B1231" s="8" t="n">
        <v>85.469153526</v>
      </c>
      <c r="C1231" s="15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9" t="inlineStr">
        <is>
          <t>29/04/2008</t>
        </is>
      </c>
      <c r="B1232" s="8" t="n">
        <v>85.13157338639999</v>
      </c>
      <c r="C1232" s="15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9" t="inlineStr">
        <is>
          <t>30/04/2008</t>
        </is>
      </c>
      <c r="B1233" s="8" t="n">
        <v>84.9474387648</v>
      </c>
      <c r="C1233" s="15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9" t="inlineStr">
        <is>
          <t>02/05/2008</t>
        </is>
      </c>
      <c r="B1234" s="8" t="n">
        <v>83.02760138710001</v>
      </c>
      <c r="C1234" s="15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9" t="inlineStr">
        <is>
          <t>05/05/2008</t>
        </is>
      </c>
      <c r="B1235" s="8" t="n">
        <v>83.1786155766</v>
      </c>
      <c r="C1235" s="15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9" t="inlineStr">
        <is>
          <t>06/05/2008</t>
        </is>
      </c>
      <c r="B1236" s="8" t="n">
        <v>82.75577584600001</v>
      </c>
      <c r="C1236" s="15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9" t="inlineStr">
        <is>
          <t>07/05/2008</t>
        </is>
      </c>
      <c r="B1237" s="8" t="n">
        <v>82.48395030490001</v>
      </c>
      <c r="C1237" s="15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9" t="inlineStr">
        <is>
          <t>08/05/2008</t>
        </is>
      </c>
      <c r="B1238" s="8" t="n">
        <v>81.91009638480001</v>
      </c>
      <c r="C1238" s="15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9" t="inlineStr">
        <is>
          <t>09/05/2008</t>
        </is>
      </c>
      <c r="B1239" s="8" t="n">
        <v>81.1852282752</v>
      </c>
      <c r="C1239" s="15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9" t="inlineStr">
        <is>
          <t>12/05/2008</t>
        </is>
      </c>
      <c r="B1240" s="8" t="n">
        <v>80.79259138250001</v>
      </c>
      <c r="C1240" s="15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9" t="inlineStr">
        <is>
          <t>13/05/2008</t>
        </is>
      </c>
      <c r="B1241" s="8" t="n">
        <v>80.79259138250001</v>
      </c>
      <c r="C1241" s="15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9" t="inlineStr">
        <is>
          <t>14/05/2008</t>
        </is>
      </c>
      <c r="B1242" s="8" t="n">
        <v>80.73218570670001</v>
      </c>
      <c r="C1242" s="15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9" t="inlineStr">
        <is>
          <t>15/05/2008</t>
        </is>
      </c>
      <c r="B1243" s="8" t="n">
        <v>80.06772327290001</v>
      </c>
      <c r="C1243" s="15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9" t="inlineStr">
        <is>
          <t>16/05/2008</t>
        </is>
      </c>
      <c r="B1244" s="8" t="n">
        <v>80.037520435</v>
      </c>
      <c r="C1244" s="15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9" t="inlineStr">
        <is>
          <t>19/05/2008</t>
        </is>
      </c>
      <c r="B1245" s="8" t="n">
        <v>80.2791431382</v>
      </c>
      <c r="C1245" s="15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9" t="inlineStr">
        <is>
          <t>20/05/2008</t>
        </is>
      </c>
      <c r="B1246" s="8" t="n">
        <v>80.24894030030001</v>
      </c>
      <c r="C1246" s="15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9" t="inlineStr">
        <is>
          <t>21/05/2008</t>
        </is>
      </c>
      <c r="B1247" s="8" t="n">
        <v>80.037520435</v>
      </c>
      <c r="C1247" s="15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9" t="inlineStr">
        <is>
          <t>23/05/2008</t>
        </is>
      </c>
      <c r="B1248" s="8" t="n">
        <v>79.85630340760001</v>
      </c>
      <c r="C1248" s="15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9" t="inlineStr">
        <is>
          <t>26/05/2008</t>
        </is>
      </c>
      <c r="B1249" s="8" t="n">
        <v>79.91670908340001</v>
      </c>
      <c r="C1249" s="15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9" t="inlineStr">
        <is>
          <t>27/05/2008</t>
        </is>
      </c>
      <c r="B1250" s="8" t="n">
        <v>78.9804211085</v>
      </c>
      <c r="C1250" s="15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9" t="inlineStr">
        <is>
          <t>28/05/2008</t>
        </is>
      </c>
      <c r="B1251" s="8" t="n">
        <v>78.9502182706</v>
      </c>
      <c r="C1251" s="15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9" t="inlineStr">
        <is>
          <t>29/05/2008</t>
        </is>
      </c>
      <c r="B1252" s="8" t="n">
        <v>79.31265232540001</v>
      </c>
      <c r="C1252" s="15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9" t="inlineStr">
        <is>
          <t>30/05/2008</t>
        </is>
      </c>
      <c r="B1253" s="8" t="n">
        <v>78.9502182706</v>
      </c>
      <c r="C1253" s="15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9" t="inlineStr">
        <is>
          <t>02/06/2008</t>
        </is>
      </c>
      <c r="B1254" s="8" t="n">
        <v>77.53582054680001</v>
      </c>
      <c r="C1254" s="15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9" t="inlineStr">
        <is>
          <t>03/06/2008</t>
        </is>
      </c>
      <c r="B1255" s="8" t="n">
        <v>77.74313557500001</v>
      </c>
      <c r="C1255" s="15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9" t="inlineStr">
        <is>
          <t>04/06/2008</t>
        </is>
      </c>
      <c r="B1256" s="8" t="n">
        <v>77.446971249</v>
      </c>
      <c r="C1256" s="15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9" t="inlineStr">
        <is>
          <t>05/06/2008</t>
        </is>
      </c>
      <c r="B1257" s="8" t="n">
        <v>77.68390270980001</v>
      </c>
      <c r="C1257" s="15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9" t="inlineStr">
        <is>
          <t>06/06/2008</t>
        </is>
      </c>
      <c r="B1258" s="8" t="n">
        <v>77.21003978820001</v>
      </c>
      <c r="C1258" s="15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9" t="inlineStr">
        <is>
          <t>09/06/2008</t>
        </is>
      </c>
      <c r="B1259" s="8" t="n">
        <v>77.446971249</v>
      </c>
      <c r="C1259" s="15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9" t="inlineStr">
        <is>
          <t>10/06/2008</t>
        </is>
      </c>
      <c r="B1260" s="8" t="n">
        <v>77.3877383838</v>
      </c>
      <c r="C1260" s="15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9" t="inlineStr">
        <is>
          <t>11/06/2008</t>
        </is>
      </c>
      <c r="B1261" s="8" t="n">
        <v>77.41735481640001</v>
      </c>
      <c r="C1261" s="15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9" t="inlineStr">
        <is>
          <t>12/06/2008</t>
        </is>
      </c>
      <c r="B1262" s="8" t="n">
        <v>77.150806923</v>
      </c>
      <c r="C1262" s="15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9" t="inlineStr">
        <is>
          <t>13/06/2008</t>
        </is>
      </c>
      <c r="B1263" s="8" t="n">
        <v>77.26927265340001</v>
      </c>
      <c r="C1263" s="15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9" t="inlineStr">
        <is>
          <t>16/06/2008</t>
        </is>
      </c>
      <c r="B1264" s="8" t="n">
        <v>77.446971249</v>
      </c>
      <c r="C1264" s="15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9" t="inlineStr">
        <is>
          <t>17/06/2008</t>
        </is>
      </c>
      <c r="B1265" s="8" t="n">
        <v>77.8023684402</v>
      </c>
      <c r="C1265" s="15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9" t="inlineStr">
        <is>
          <t>18/06/2008</t>
        </is>
      </c>
      <c r="B1266" s="8" t="n">
        <v>77.41735481640001</v>
      </c>
      <c r="C1266" s="15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9" t="inlineStr">
        <is>
          <t>19/06/2008</t>
        </is>
      </c>
      <c r="B1267" s="8" t="n">
        <v>77.1804233556</v>
      </c>
      <c r="C1267" s="15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9" t="inlineStr">
        <is>
          <t>20/06/2008</t>
        </is>
      </c>
      <c r="B1268" s="8" t="n">
        <v>77.0915740578</v>
      </c>
      <c r="C1268" s="15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9" t="inlineStr">
        <is>
          <t>23/06/2008</t>
        </is>
      </c>
      <c r="B1269" s="8" t="n">
        <v>77.1804233556</v>
      </c>
      <c r="C1269" s="15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9" t="inlineStr">
        <is>
          <t>24/06/2008</t>
        </is>
      </c>
      <c r="B1270" s="8" t="n">
        <v>77.47658768160001</v>
      </c>
      <c r="C1270" s="15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9" t="inlineStr">
        <is>
          <t>25/06/2008</t>
        </is>
      </c>
      <c r="B1271" s="8" t="n">
        <v>77.62466984460001</v>
      </c>
      <c r="C1271" s="15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9" t="inlineStr">
        <is>
          <t>26/06/2008</t>
        </is>
      </c>
      <c r="B1272" s="8" t="n">
        <v>77.8616013054</v>
      </c>
      <c r="C1272" s="15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9" t="inlineStr">
        <is>
          <t>27/06/2008</t>
        </is>
      </c>
      <c r="B1273" s="8" t="n">
        <v>77.6542862772</v>
      </c>
      <c r="C1273" s="15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9" t="inlineStr">
        <is>
          <t>30/06/2008</t>
        </is>
      </c>
      <c r="B1274" s="8" t="n">
        <v>77.74313557500001</v>
      </c>
      <c r="C1274" s="15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9" t="inlineStr">
        <is>
          <t>01/07/2008</t>
        </is>
      </c>
      <c r="B1275" s="8" t="n">
        <v>76.1074796005</v>
      </c>
      <c r="C1275" s="15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9" t="inlineStr">
        <is>
          <t>02/07/2008</t>
        </is>
      </c>
      <c r="B1276" s="8" t="n">
        <v>76.48583418360001</v>
      </c>
      <c r="C1276" s="15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9" t="inlineStr">
        <is>
          <t>03/07/2008</t>
        </is>
      </c>
      <c r="B1277" s="8" t="n">
        <v>76.6604593758</v>
      </c>
      <c r="C1277" s="15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9" t="inlineStr">
        <is>
          <t>04/07/2008</t>
        </is>
      </c>
      <c r="B1278" s="8" t="n">
        <v>76.89329296540001</v>
      </c>
      <c r="C1278" s="15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9" t="inlineStr">
        <is>
          <t>07/07/2008</t>
        </is>
      </c>
      <c r="B1279" s="8" t="n">
        <v>77.6791063303</v>
      </c>
      <c r="C1279" s="15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9" t="inlineStr">
        <is>
          <t>08/07/2008</t>
        </is>
      </c>
      <c r="B1280" s="8" t="n">
        <v>77.6500021316</v>
      </c>
      <c r="C1280" s="15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9" t="inlineStr">
        <is>
          <t>10/07/2008</t>
        </is>
      </c>
      <c r="B1281" s="8" t="n">
        <v>78.14477350950001</v>
      </c>
      <c r="C1281" s="15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9" t="inlineStr">
        <is>
          <t>11/07/2008</t>
        </is>
      </c>
      <c r="B1282" s="8" t="n">
        <v>78.8141700796</v>
      </c>
      <c r="C1282" s="15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9" t="inlineStr">
        <is>
          <t>14/07/2008</t>
        </is>
      </c>
      <c r="B1283" s="8" t="n">
        <v>78.8432742783</v>
      </c>
      <c r="C1283" s="15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9" t="inlineStr">
        <is>
          <t>15/07/2008</t>
        </is>
      </c>
      <c r="B1284" s="8" t="n">
        <v>79.5417750471</v>
      </c>
      <c r="C1284" s="15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9" t="inlineStr">
        <is>
          <t>16/07/2008</t>
        </is>
      </c>
      <c r="B1285" s="8" t="n">
        <v>79.8910254315</v>
      </c>
      <c r="C1285" s="15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9" t="inlineStr">
        <is>
          <t>17/07/2008</t>
        </is>
      </c>
      <c r="B1286" s="8" t="n">
        <v>79.8328170341</v>
      </c>
      <c r="C1286" s="15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9" t="inlineStr">
        <is>
          <t>18/07/2008</t>
        </is>
      </c>
      <c r="B1287" s="8" t="n">
        <v>79.8619212328</v>
      </c>
      <c r="C1287" s="15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9" t="inlineStr">
        <is>
          <t>21/07/2008</t>
        </is>
      </c>
      <c r="B1288" s="8" t="n">
        <v>80.4149010081</v>
      </c>
      <c r="C1288" s="15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9" t="inlineStr">
        <is>
          <t>22/07/2008</t>
        </is>
      </c>
      <c r="B1289" s="8" t="n">
        <v>80.8514639886</v>
      </c>
      <c r="C1289" s="15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9" t="inlineStr">
        <is>
          <t>23/07/2008</t>
        </is>
      </c>
      <c r="B1290" s="8" t="n">
        <v>81.05519337950001</v>
      </c>
      <c r="C1290" s="15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9" t="inlineStr">
        <is>
          <t>24/07/2008</t>
        </is>
      </c>
      <c r="B1291" s="8" t="n">
        <v>80.7641513925</v>
      </c>
      <c r="C1291" s="15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9" t="inlineStr">
        <is>
          <t>25/07/2008</t>
        </is>
      </c>
      <c r="B1292" s="8" t="n">
        <v>81.3462353665</v>
      </c>
      <c r="C1292" s="15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9" t="inlineStr">
        <is>
          <t>28/07/2008</t>
        </is>
      </c>
      <c r="B1293" s="8" t="n">
        <v>81.1716101743</v>
      </c>
      <c r="C1293" s="15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9" t="inlineStr">
        <is>
          <t>29/07/2008</t>
        </is>
      </c>
      <c r="B1294" s="8" t="n">
        <v>81.6954857509</v>
      </c>
      <c r="C1294" s="15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9" t="inlineStr">
        <is>
          <t>30/07/2008</t>
        </is>
      </c>
      <c r="B1295" s="8" t="n">
        <v>81.95742353920001</v>
      </c>
      <c r="C1295" s="15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9" t="inlineStr">
        <is>
          <t>31/07/2008</t>
        </is>
      </c>
      <c r="B1296" s="8" t="n">
        <v>82.2775697249</v>
      </c>
      <c r="C1296" s="15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9" t="inlineStr">
        <is>
          <t>01/08/2008</t>
        </is>
      </c>
      <c r="B1297" s="8" t="n">
        <v>82.5125054886</v>
      </c>
      <c r="C1297" s="15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9" t="inlineStr">
        <is>
          <t>04/08/2008</t>
        </is>
      </c>
      <c r="B1298" s="8" t="n">
        <v>82.6876912752</v>
      </c>
      <c r="C1298" s="15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9" t="inlineStr">
        <is>
          <t>05/08/2008</t>
        </is>
      </c>
      <c r="B1299" s="8" t="n">
        <v>82.6876912752</v>
      </c>
      <c r="C1299" s="15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9" t="inlineStr">
        <is>
          <t>06/08/2008</t>
        </is>
      </c>
      <c r="B1300" s="8" t="n">
        <v>83.3008415283</v>
      </c>
      <c r="C1300" s="15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9" t="inlineStr">
        <is>
          <t>07/08/2008</t>
        </is>
      </c>
      <c r="B1301" s="8" t="n">
        <v>83.35923679049999</v>
      </c>
      <c r="C1301" s="15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9" t="inlineStr">
        <is>
          <t>08/08/2008</t>
        </is>
      </c>
      <c r="B1302" s="8" t="n">
        <v>83.56362020819999</v>
      </c>
      <c r="C1302" s="15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9" t="inlineStr">
        <is>
          <t>11/08/2008</t>
        </is>
      </c>
      <c r="B1303" s="8" t="n">
        <v>84.089177568</v>
      </c>
      <c r="C1303" s="15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9" t="inlineStr">
        <is>
          <t>12/08/2008</t>
        </is>
      </c>
      <c r="B1304" s="8" t="n">
        <v>84.05997993689999</v>
      </c>
      <c r="C1304" s="15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9" t="inlineStr">
        <is>
          <t>13/08/2008</t>
        </is>
      </c>
      <c r="B1305" s="8" t="n">
        <v>84.05997993689999</v>
      </c>
      <c r="C1305" s="15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9" t="inlineStr">
        <is>
          <t>14/08/2008</t>
        </is>
      </c>
      <c r="B1306" s="8" t="n">
        <v>84.2059680924</v>
      </c>
      <c r="C1306" s="15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9" t="inlineStr">
        <is>
          <t>15/08/2008</t>
        </is>
      </c>
      <c r="B1307" s="8" t="n">
        <v>83.94318941249999</v>
      </c>
      <c r="C1307" s="15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9" t="inlineStr">
        <is>
          <t>18/08/2008</t>
        </is>
      </c>
      <c r="B1308" s="8" t="n">
        <v>84.4103515101</v>
      </c>
      <c r="C1308" s="15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9" t="inlineStr">
        <is>
          <t>19/08/2008</t>
        </is>
      </c>
      <c r="B1309" s="8" t="n">
        <v>84.8775136077</v>
      </c>
      <c r="C1309" s="15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9" t="inlineStr">
        <is>
          <t>20/08/2008</t>
        </is>
      </c>
      <c r="B1310" s="8" t="n">
        <v>85.0818970254</v>
      </c>
      <c r="C1310" s="15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9" t="inlineStr">
        <is>
          <t>21/08/2008</t>
        </is>
      </c>
      <c r="B1311" s="8" t="n">
        <v>85.8118378029</v>
      </c>
      <c r="C1311" s="15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9" t="inlineStr">
        <is>
          <t>22/08/2008</t>
        </is>
      </c>
      <c r="B1312" s="8" t="n">
        <v>86.0746164828</v>
      </c>
      <c r="C1312" s="15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9" t="inlineStr">
        <is>
          <t>25/08/2008</t>
        </is>
      </c>
      <c r="B1313" s="8" t="n">
        <v>85.75344254069999</v>
      </c>
      <c r="C1313" s="15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9" t="inlineStr">
        <is>
          <t>26/08/2008</t>
        </is>
      </c>
      <c r="B1314" s="8" t="n">
        <v>86.3665927938</v>
      </c>
      <c r="C1314" s="15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9" t="inlineStr">
        <is>
          <t>27/08/2008</t>
        </is>
      </c>
      <c r="B1315" s="8" t="n">
        <v>87.1841264646</v>
      </c>
      <c r="C1315" s="15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9" t="inlineStr">
        <is>
          <t>28/08/2008</t>
        </is>
      </c>
      <c r="B1316" s="8" t="n">
        <v>87.33011462009999</v>
      </c>
      <c r="C1316" s="15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9" t="inlineStr">
        <is>
          <t>29/08/2008</t>
        </is>
      </c>
      <c r="B1317" s="8" t="n">
        <v>87.4177075134</v>
      </c>
      <c r="C1317" s="15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9" t="inlineStr">
        <is>
          <t>01/09/2008</t>
        </is>
      </c>
      <c r="B1318" s="8" t="n">
        <v>88.167454627</v>
      </c>
      <c r="C1318" s="15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9" t="inlineStr">
        <is>
          <t>02/09/2008</t>
        </is>
      </c>
      <c r="B1319" s="8" t="n">
        <v>88.37161347</v>
      </c>
      <c r="C1319" s="15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9" t="inlineStr">
        <is>
          <t>03/09/2008</t>
        </is>
      </c>
      <c r="B1320" s="8" t="n">
        <v>88.838262254</v>
      </c>
      <c r="C1320" s="15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9" t="inlineStr">
        <is>
          <t>04/09/2008</t>
        </is>
      </c>
      <c r="B1321" s="8" t="n">
        <v>89.275745489</v>
      </c>
      <c r="C1321" s="15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9" t="inlineStr">
        <is>
          <t>05/09/2008</t>
        </is>
      </c>
      <c r="B1322" s="8" t="n">
        <v>89.24657994</v>
      </c>
      <c r="C1322" s="15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9" t="inlineStr">
        <is>
          <t>08/09/2008</t>
        </is>
      </c>
      <c r="B1323" s="8" t="n">
        <v>89.53823543</v>
      </c>
      <c r="C1323" s="15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9" t="inlineStr">
        <is>
          <t>09/09/2008</t>
        </is>
      </c>
      <c r="B1324" s="8" t="n">
        <v>89.771559822</v>
      </c>
      <c r="C1324" s="15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9" t="inlineStr">
        <is>
          <t>10/09/2008</t>
        </is>
      </c>
      <c r="B1325" s="8" t="n">
        <v>90.092380861</v>
      </c>
      <c r="C1325" s="15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9" t="inlineStr">
        <is>
          <t>11/09/2008</t>
        </is>
      </c>
      <c r="B1326" s="8" t="n">
        <v>90.12154640999999</v>
      </c>
      <c r="C1326" s="15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9" t="inlineStr">
        <is>
          <t>12/09/2008</t>
        </is>
      </c>
      <c r="B1327" s="8" t="n">
        <v>90.209043057</v>
      </c>
      <c r="C1327" s="15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9" t="inlineStr">
        <is>
          <t>15/09/2008</t>
        </is>
      </c>
      <c r="B1328" s="8" t="n">
        <v>90.179877508</v>
      </c>
      <c r="C1328" s="15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9" t="inlineStr">
        <is>
          <t>16/09/2008</t>
        </is>
      </c>
      <c r="B1329" s="8" t="n">
        <v>90.179877508</v>
      </c>
      <c r="C1329" s="15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9" t="inlineStr">
        <is>
          <t>17/09/2008</t>
        </is>
      </c>
      <c r="B1330" s="8" t="n">
        <v>89.975718665</v>
      </c>
      <c r="C1330" s="15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9" t="inlineStr">
        <is>
          <t>18/09/2008</t>
        </is>
      </c>
      <c r="B1331" s="8" t="n">
        <v>90.325705253</v>
      </c>
      <c r="C1331" s="15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9" t="inlineStr">
        <is>
          <t>19/09/2008</t>
        </is>
      </c>
      <c r="B1332" s="8" t="n">
        <v>90.12154640999999</v>
      </c>
      <c r="C1332" s="15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9" t="inlineStr">
        <is>
          <t>22/09/2008</t>
        </is>
      </c>
      <c r="B1333" s="8" t="n">
        <v>90.238208606</v>
      </c>
      <c r="C1333" s="15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9" t="inlineStr">
        <is>
          <t>23/09/2008</t>
        </is>
      </c>
      <c r="B1334" s="8" t="n">
        <v>90.12154640999999</v>
      </c>
      <c r="C1334" s="15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9" t="inlineStr">
        <is>
          <t>24/09/2008</t>
        </is>
      </c>
      <c r="B1335" s="8" t="n">
        <v>90.267374155</v>
      </c>
      <c r="C1335" s="15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9" t="inlineStr">
        <is>
          <t>25/09/2008</t>
        </is>
      </c>
      <c r="B1336" s="8" t="n">
        <v>90.325705253</v>
      </c>
      <c r="C1336" s="15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9" t="inlineStr">
        <is>
          <t>26/09/2008</t>
        </is>
      </c>
      <c r="B1337" s="8" t="n">
        <v>90.61736074300001</v>
      </c>
      <c r="C1337" s="15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9" t="inlineStr">
        <is>
          <t>29/09/2008</t>
        </is>
      </c>
      <c r="B1338" s="8" t="n">
        <v>90.471532998</v>
      </c>
      <c r="C1338" s="15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9" t="inlineStr">
        <is>
          <t>30/09/2008</t>
        </is>
      </c>
      <c r="B1339" s="8" t="n">
        <v>90.70485739</v>
      </c>
      <c r="C1339" s="15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9" t="inlineStr">
        <is>
          <t>01/10/2008</t>
        </is>
      </c>
      <c r="B1340" s="8" t="n">
        <v>89.70904655299999</v>
      </c>
      <c r="C1340" s="15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9" t="inlineStr">
        <is>
          <t>02/10/2008</t>
        </is>
      </c>
      <c r="B1341" s="8" t="n">
        <v>89.76681155399999</v>
      </c>
      <c r="C1341" s="15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9" t="inlineStr">
        <is>
          <t>03/10/2008</t>
        </is>
      </c>
      <c r="B1342" s="8" t="n">
        <v>90.0267540585</v>
      </c>
      <c r="C1342" s="15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9" t="inlineStr">
        <is>
          <t>06/10/2008</t>
        </is>
      </c>
      <c r="B1343" s="8" t="n">
        <v>89.91122405649999</v>
      </c>
      <c r="C1343" s="15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9" t="inlineStr">
        <is>
          <t>07/10/2008</t>
        </is>
      </c>
      <c r="B1344" s="8" t="n">
        <v>90.22893156199999</v>
      </c>
      <c r="C1344" s="15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9" t="inlineStr">
        <is>
          <t>08/10/2008</t>
        </is>
      </c>
      <c r="B1345" s="8" t="n">
        <v>90.3155790635</v>
      </c>
      <c r="C1345" s="15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9" t="inlineStr">
        <is>
          <t>09/10/2008</t>
        </is>
      </c>
      <c r="B1346" s="8" t="n">
        <v>90.3155790635</v>
      </c>
      <c r="C1346" s="15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9" t="inlineStr">
        <is>
          <t>10/10/2008</t>
        </is>
      </c>
      <c r="B1347" s="8" t="n">
        <v>90.0267540585</v>
      </c>
      <c r="C1347" s="15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9" t="inlineStr">
        <is>
          <t>13/10/2008</t>
        </is>
      </c>
      <c r="B1348" s="8" t="n">
        <v>90.11340156</v>
      </c>
      <c r="C1348" s="15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9" t="inlineStr">
        <is>
          <t>14/10/2008</t>
        </is>
      </c>
      <c r="B1349" s="8" t="n">
        <v>89.9689890575</v>
      </c>
      <c r="C1349" s="15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9" t="inlineStr">
        <is>
          <t>15/10/2008</t>
        </is>
      </c>
      <c r="B1350" s="8" t="n">
        <v>90.17116656099999</v>
      </c>
      <c r="C1350" s="15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9" t="inlineStr">
        <is>
          <t>16/10/2008</t>
        </is>
      </c>
      <c r="B1351" s="8" t="n">
        <v>90.2000490615</v>
      </c>
      <c r="C1351" s="15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9" t="inlineStr">
        <is>
          <t>17/10/2008</t>
        </is>
      </c>
      <c r="B1352" s="8" t="n">
        <v>90.05563655899999</v>
      </c>
      <c r="C1352" s="15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9" t="inlineStr">
        <is>
          <t>20/10/2008</t>
        </is>
      </c>
      <c r="B1353" s="8" t="n">
        <v>90.3155790635</v>
      </c>
      <c r="C1353" s="15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9" t="inlineStr">
        <is>
          <t>21/10/2008</t>
        </is>
      </c>
      <c r="B1354" s="8" t="n">
        <v>90.28669656300001</v>
      </c>
      <c r="C1354" s="15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9" t="inlineStr">
        <is>
          <t>22/10/2008</t>
        </is>
      </c>
      <c r="B1355" s="8" t="n">
        <v>90.11340156</v>
      </c>
      <c r="C1355" s="15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9" t="inlineStr">
        <is>
          <t>23/10/2008</t>
        </is>
      </c>
      <c r="B1356" s="8" t="n">
        <v>89.2758090455</v>
      </c>
      <c r="C1356" s="15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9" t="inlineStr">
        <is>
          <t>24/10/2008</t>
        </is>
      </c>
      <c r="B1357" s="8" t="n">
        <v>89.304691546</v>
      </c>
      <c r="C1357" s="15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9" t="inlineStr">
        <is>
          <t>27/10/2008</t>
        </is>
      </c>
      <c r="B1358" s="8" t="n">
        <v>89.6223990515</v>
      </c>
      <c r="C1358" s="15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9" t="inlineStr">
        <is>
          <t>28/10/2008</t>
        </is>
      </c>
      <c r="B1359" s="8" t="n">
        <v>89.70904655299999</v>
      </c>
      <c r="C1359" s="15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9" t="inlineStr">
        <is>
          <t>29/10/2008</t>
        </is>
      </c>
      <c r="B1360" s="8" t="n">
        <v>89.53575155</v>
      </c>
      <c r="C1360" s="15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9" t="inlineStr">
        <is>
          <t>30/10/2008</t>
        </is>
      </c>
      <c r="B1361" s="8" t="n">
        <v>89.36245654699999</v>
      </c>
      <c r="C1361" s="15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9" t="inlineStr">
        <is>
          <t>31/10/2008</t>
        </is>
      </c>
      <c r="B1362" s="8" t="n">
        <v>89.304691546</v>
      </c>
      <c r="C1362" s="15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9" t="inlineStr">
        <is>
          <t>03/11/2008</t>
        </is>
      </c>
      <c r="B1363" s="8" t="n">
        <v>88.8227526375</v>
      </c>
      <c r="C1363" s="15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9" t="inlineStr">
        <is>
          <t>04/11/2008</t>
        </is>
      </c>
      <c r="B1364" s="8" t="n">
        <v>88.3623820375</v>
      </c>
      <c r="C1364" s="15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9" t="inlineStr">
        <is>
          <t>05/11/2008</t>
        </is>
      </c>
      <c r="B1365" s="8" t="n">
        <v>88.1321967375</v>
      </c>
      <c r="C1365" s="15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9" t="inlineStr">
        <is>
          <t>06/11/2008</t>
        </is>
      </c>
      <c r="B1366" s="8" t="n">
        <v>88.21851622499999</v>
      </c>
      <c r="C1366" s="15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9" t="inlineStr">
        <is>
          <t>07/11/2008</t>
        </is>
      </c>
      <c r="B1367" s="8" t="n">
        <v>88.333608875</v>
      </c>
      <c r="C1367" s="15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9" t="inlineStr">
        <is>
          <t>10/11/2008</t>
        </is>
      </c>
      <c r="B1368" s="8" t="n">
        <v>88.333608875</v>
      </c>
      <c r="C1368" s="15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9" t="inlineStr">
        <is>
          <t>11/11/2008</t>
        </is>
      </c>
      <c r="B1369" s="8" t="n">
        <v>88.1609699</v>
      </c>
      <c r="C1369" s="15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9" t="inlineStr">
        <is>
          <t>12/11/2008</t>
        </is>
      </c>
      <c r="B1370" s="8" t="n">
        <v>88.50624784999999</v>
      </c>
      <c r="C1370" s="15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9" t="inlineStr">
        <is>
          <t>13/11/2008</t>
        </is>
      </c>
      <c r="B1371" s="8" t="n">
        <v>88.59256733749999</v>
      </c>
      <c r="C1371" s="15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9" t="inlineStr">
        <is>
          <t>14/11/2008</t>
        </is>
      </c>
      <c r="B1372" s="8" t="n">
        <v>88.27606254999999</v>
      </c>
      <c r="C1372" s="15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9" t="inlineStr">
        <is>
          <t>17/11/2008</t>
        </is>
      </c>
      <c r="B1373" s="8" t="n">
        <v>88.3623820375</v>
      </c>
      <c r="C1373" s="15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9" t="inlineStr">
        <is>
          <t>18/11/2008</t>
        </is>
      </c>
      <c r="B1374" s="8" t="n">
        <v>88.1609699</v>
      </c>
      <c r="C1374" s="15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9" t="inlineStr">
        <is>
          <t>19/11/2008</t>
        </is>
      </c>
      <c r="B1375" s="8" t="n">
        <v>88.563794175</v>
      </c>
      <c r="C1375" s="15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9" t="inlineStr">
        <is>
          <t>20/11/2008</t>
        </is>
      </c>
      <c r="B1376" s="8" t="n">
        <v>88.18974306249999</v>
      </c>
      <c r="C1376" s="15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9" t="inlineStr">
        <is>
          <t>21/11/2008</t>
        </is>
      </c>
      <c r="B1377" s="8" t="n">
        <v>88.4199283625</v>
      </c>
      <c r="C1377" s="15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9" t="inlineStr">
        <is>
          <t>24/11/2008</t>
        </is>
      </c>
      <c r="B1378" s="8" t="n">
        <v>88.8227526375</v>
      </c>
      <c r="C1378" s="15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9" t="inlineStr">
        <is>
          <t>25/11/2008</t>
        </is>
      </c>
      <c r="B1379" s="8" t="n">
        <v>88.7652063125</v>
      </c>
      <c r="C1379" s="15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9" t="inlineStr">
        <is>
          <t>26/11/2008</t>
        </is>
      </c>
      <c r="B1380" s="8" t="n">
        <v>89.11048426249999</v>
      </c>
      <c r="C1380" s="15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9" t="inlineStr">
        <is>
          <t>27/11/2008</t>
        </is>
      </c>
      <c r="B1381" s="8" t="n">
        <v>88.563794175</v>
      </c>
      <c r="C1381" s="15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9" t="inlineStr">
        <is>
          <t>28/11/2008</t>
        </is>
      </c>
      <c r="B1382" s="8" t="n">
        <v>88.30483571249999</v>
      </c>
      <c r="C1382" s="15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9" t="inlineStr">
        <is>
          <t>01/12/2008</t>
        </is>
      </c>
      <c r="B1383" s="8" t="n">
        <v>88.67907697140001</v>
      </c>
      <c r="C1383" s="15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9" t="inlineStr">
        <is>
          <t>02/12/2008</t>
        </is>
      </c>
      <c r="B1384" s="8" t="n">
        <v>88.7078875877</v>
      </c>
      <c r="C1384" s="15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9" t="inlineStr">
        <is>
          <t>03/12/2008</t>
        </is>
      </c>
      <c r="B1385" s="8" t="n">
        <v>88.5350238899</v>
      </c>
      <c r="C1385" s="15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9" t="inlineStr">
        <is>
          <t>04/12/2008</t>
        </is>
      </c>
      <c r="B1386" s="8" t="n">
        <v>89.0824255996</v>
      </c>
      <c r="C1386" s="15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9" t="inlineStr">
        <is>
          <t>05/12/2008</t>
        </is>
      </c>
      <c r="B1387" s="8" t="n">
        <v>89.16885744850001</v>
      </c>
      <c r="C1387" s="15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9" t="inlineStr">
        <is>
          <t>08/12/2008</t>
        </is>
      </c>
      <c r="B1388" s="8" t="n">
        <v>89.22647868110001</v>
      </c>
      <c r="C1388" s="15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9" t="inlineStr">
        <is>
          <t>09/12/2008</t>
        </is>
      </c>
      <c r="B1389" s="8" t="n">
        <v>89.7162591582</v>
      </c>
      <c r="C1389" s="15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9" t="inlineStr">
        <is>
          <t>10/12/2008</t>
        </is>
      </c>
      <c r="B1390" s="8" t="n">
        <v>89.80269100710001</v>
      </c>
      <c r="C1390" s="15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9" t="inlineStr">
        <is>
          <t>11/12/2008</t>
        </is>
      </c>
      <c r="B1391" s="8" t="n">
        <v>90.1484184027</v>
      </c>
      <c r="C1391" s="15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9" t="inlineStr">
        <is>
          <t>12/12/2008</t>
        </is>
      </c>
      <c r="B1392" s="8" t="n">
        <v>90.66700949609999</v>
      </c>
      <c r="C1392" s="15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9" t="inlineStr">
        <is>
          <t>15/12/2008</t>
        </is>
      </c>
      <c r="B1393" s="8" t="n">
        <v>91.0127368917</v>
      </c>
      <c r="C1393" s="15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9" t="inlineStr">
        <is>
          <t>16/12/2008</t>
        </is>
      </c>
      <c r="B1394" s="8" t="n">
        <v>91.8194341481</v>
      </c>
      <c r="C1394" s="15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9" t="inlineStr">
        <is>
          <t>17/12/2008</t>
        </is>
      </c>
      <c r="B1395" s="8" t="n">
        <v>92.25159339260001</v>
      </c>
      <c r="C1395" s="15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9" t="inlineStr">
        <is>
          <t>18/12/2008</t>
        </is>
      </c>
      <c r="B1396" s="8" t="n">
        <v>93.3175861957</v>
      </c>
      <c r="C1396" s="15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9" t="inlineStr">
        <is>
          <t>19/12/2008</t>
        </is>
      </c>
      <c r="B1397" s="8" t="n">
        <v>93.8649879054</v>
      </c>
      <c r="C1397" s="15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9" t="inlineStr">
        <is>
          <t>22/12/2008</t>
        </is>
      </c>
      <c r="B1398" s="8" t="n">
        <v>93.69212420760002</v>
      </c>
      <c r="C1398" s="15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9" t="inlineStr">
        <is>
          <t>23/12/2008</t>
        </is>
      </c>
      <c r="B1399" s="8" t="n">
        <v>94.32595776620001</v>
      </c>
      <c r="C1399" s="15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9" t="inlineStr">
        <is>
          <t>26/12/2008</t>
        </is>
      </c>
      <c r="B1400" s="8" t="n">
        <v>94.38357899879999</v>
      </c>
      <c r="C1400" s="15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9" t="inlineStr">
        <is>
          <t>29/12/2008</t>
        </is>
      </c>
      <c r="B1401" s="8" t="n">
        <v>94.6716851618</v>
      </c>
      <c r="C1401" s="15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9" t="inlineStr">
        <is>
          <t>30/12/2008</t>
        </is>
      </c>
      <c r="B1402" s="8" t="n">
        <v>94.9886019411</v>
      </c>
      <c r="C1402" s="15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9" t="inlineStr">
        <is>
          <t>02/01/2009</t>
        </is>
      </c>
      <c r="B1403" s="8" t="n">
        <v>95.61096433279999</v>
      </c>
      <c r="C1403" s="15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9" t="inlineStr">
        <is>
          <t>06/01/2009</t>
        </is>
      </c>
      <c r="B1404" s="8" t="n">
        <v>96.652730288</v>
      </c>
      <c r="C1404" s="15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9" t="inlineStr">
        <is>
          <t>07/01/2009</t>
        </is>
      </c>
      <c r="B1405" s="8" t="n">
        <v>97.02892354960001</v>
      </c>
      <c r="C1405" s="15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9" t="inlineStr">
        <is>
          <t>08/01/2009</t>
        </is>
      </c>
      <c r="B1406" s="8" t="n">
        <v>97.63662035680001</v>
      </c>
      <c r="C1406" s="15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9" t="inlineStr">
        <is>
          <t>09/01/2009</t>
        </is>
      </c>
      <c r="B1407" s="8" t="n">
        <v>97.81024801599999</v>
      </c>
      <c r="C1407" s="15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9" t="inlineStr">
        <is>
          <t>12/01/2009</t>
        </is>
      </c>
      <c r="B1408" s="8" t="n">
        <v>99.19926928960001</v>
      </c>
      <c r="C1408" s="15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9" t="inlineStr">
        <is>
          <t>13/01/2009</t>
        </is>
      </c>
      <c r="B1409" s="8" t="n">
        <v>100.3567870176</v>
      </c>
      <c r="C1409" s="15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9" t="inlineStr">
        <is>
          <t>14/01/2009</t>
        </is>
      </c>
      <c r="B1410" s="8" t="n">
        <v>102.2088153824</v>
      </c>
      <c r="C1410" s="15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9" t="inlineStr">
        <is>
          <t>15/01/2009</t>
        </is>
      </c>
      <c r="B1411" s="8" t="n">
        <v>103.3373951672</v>
      </c>
      <c r="C1411" s="15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9" t="inlineStr">
        <is>
          <t>16/01/2009</t>
        </is>
      </c>
      <c r="B1412" s="8" t="n">
        <v>104.9289820432</v>
      </c>
      <c r="C1412" s="15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9" t="inlineStr">
        <is>
          <t>19/01/2009</t>
        </is>
      </c>
      <c r="B1413" s="8" t="n">
        <v>108.083217852</v>
      </c>
      <c r="C1413" s="15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9" t="inlineStr">
        <is>
          <t>20/01/2009</t>
        </is>
      </c>
      <c r="B1414" s="8" t="n">
        <v>109.5011770688</v>
      </c>
      <c r="C1414" s="15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9" t="inlineStr">
        <is>
          <t>21/01/2009</t>
        </is>
      </c>
      <c r="B1415" s="8" t="n">
        <v>110.8901983424</v>
      </c>
      <c r="C1415" s="15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9" t="inlineStr">
        <is>
          <t>22/01/2009</t>
        </is>
      </c>
      <c r="B1416" s="8" t="n">
        <v>112.3949713888</v>
      </c>
      <c r="C1416" s="15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9" t="inlineStr">
        <is>
          <t>23/01/2009</t>
        </is>
      </c>
      <c r="B1417" s="8" t="n">
        <v>113.2341717416</v>
      </c>
      <c r="C1417" s="15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9" t="inlineStr">
        <is>
          <t>26/01/2009</t>
        </is>
      </c>
      <c r="B1418" s="8" t="n">
        <v>114.594255072</v>
      </c>
      <c r="C1418" s="15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9" t="inlineStr">
        <is>
          <t>27/01/2009</t>
        </is>
      </c>
      <c r="B1419" s="8" t="n">
        <v>115.6649589704</v>
      </c>
      <c r="C1419" s="15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9" t="inlineStr">
        <is>
          <t>28/01/2009</t>
        </is>
      </c>
      <c r="B1420" s="8" t="n">
        <v>117.343359676</v>
      </c>
      <c r="C1420" s="15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9" t="inlineStr">
        <is>
          <t>29/01/2009</t>
        </is>
      </c>
      <c r="B1421" s="8" t="n">
        <v>118.3272497448</v>
      </c>
      <c r="C1421" s="15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9" t="inlineStr">
        <is>
          <t>30/01/2009</t>
        </is>
      </c>
      <c r="B1422" s="8" t="n">
        <v>119.8320227912</v>
      </c>
      <c r="C1422" s="15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9" t="inlineStr">
        <is>
          <t>03/02/2009</t>
        </is>
      </c>
      <c r="B1423" s="8" t="n">
        <v>122.7827753238</v>
      </c>
      <c r="C1423" s="15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9" t="inlineStr">
        <is>
          <t>04/02/2009</t>
        </is>
      </c>
      <c r="B1424" s="8" t="n">
        <v>123.3311704181</v>
      </c>
      <c r="C1424" s="15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9" t="inlineStr">
        <is>
          <t>05/02/2009</t>
        </is>
      </c>
      <c r="B1425" s="8" t="n">
        <v>123.8507026127</v>
      </c>
      <c r="C1425" s="15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9" t="inlineStr">
        <is>
          <t>06/02/2009</t>
        </is>
      </c>
      <c r="B1426" s="8" t="n">
        <v>126.0154200902</v>
      </c>
      <c r="C1426" s="15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9" t="inlineStr">
        <is>
          <t>09/02/2009</t>
        </is>
      </c>
      <c r="B1427" s="8" t="n">
        <v>126.7369925827</v>
      </c>
      <c r="C1427" s="15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9" t="inlineStr">
        <is>
          <t>10/02/2009</t>
        </is>
      </c>
      <c r="B1428" s="8" t="n">
        <v>127.285387677</v>
      </c>
      <c r="C1428" s="15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9" t="inlineStr">
        <is>
          <t>11/02/2009</t>
        </is>
      </c>
      <c r="B1429" s="8" t="n">
        <v>127.8915085707</v>
      </c>
      <c r="C1429" s="15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9" t="inlineStr">
        <is>
          <t>12/02/2009</t>
        </is>
      </c>
      <c r="B1430" s="8" t="n">
        <v>128.9882987593</v>
      </c>
      <c r="C1430" s="15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9" t="inlineStr">
        <is>
          <t>13/02/2009</t>
        </is>
      </c>
      <c r="B1431" s="8" t="n">
        <v>130.0850889479</v>
      </c>
      <c r="C1431" s="15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9" t="inlineStr">
        <is>
          <t>16/02/2009</t>
        </is>
      </c>
      <c r="B1432" s="8" t="n">
        <v>130.2871292458</v>
      </c>
      <c r="C1432" s="15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9" t="inlineStr">
        <is>
          <t>17/02/2009</t>
        </is>
      </c>
      <c r="B1433" s="8" t="n">
        <v>132.2209435257</v>
      </c>
      <c r="C1433" s="15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9" t="inlineStr">
        <is>
          <t>18/02/2009</t>
        </is>
      </c>
      <c r="B1434" s="8" t="n">
        <v>132.9425160182</v>
      </c>
      <c r="C1434" s="15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9" t="inlineStr">
        <is>
          <t>19/02/2009</t>
        </is>
      </c>
      <c r="B1435" s="8" t="n">
        <v>133.5486369119</v>
      </c>
      <c r="C1435" s="15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9" t="inlineStr">
        <is>
          <t>20/02/2009</t>
        </is>
      </c>
      <c r="B1436" s="8" t="n">
        <v>133.9527175077</v>
      </c>
      <c r="C1436" s="15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9" t="inlineStr">
        <is>
          <t>25/02/2009</t>
        </is>
      </c>
      <c r="B1437" s="8" t="n">
        <v>134.2413465047</v>
      </c>
      <c r="C1437" s="15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9" t="inlineStr">
        <is>
          <t>26/02/2009</t>
        </is>
      </c>
      <c r="B1438" s="8" t="n">
        <v>134.6165642008</v>
      </c>
      <c r="C1438" s="15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9" t="inlineStr">
        <is>
          <t>27/02/2009</t>
        </is>
      </c>
      <c r="B1439" s="8" t="n">
        <v>135.4247253924</v>
      </c>
      <c r="C1439" s="15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9" t="inlineStr">
        <is>
          <t>02/03/2009</t>
        </is>
      </c>
      <c r="B1440" s="8" t="n">
        <v>136.9286669475</v>
      </c>
      <c r="C1440" s="15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9" t="inlineStr">
        <is>
          <t>03/03/2009</t>
        </is>
      </c>
      <c r="B1441" s="8" t="n">
        <v>138.004555815</v>
      </c>
      <c r="C1441" s="15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9" t="inlineStr">
        <is>
          <t>04/03/2009</t>
        </is>
      </c>
      <c r="B1442" s="8" t="n">
        <v>138.7315077525</v>
      </c>
      <c r="C1442" s="15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9" t="inlineStr">
        <is>
          <t>05/03/2009</t>
        </is>
      </c>
      <c r="B1443" s="8" t="n">
        <v>138.6151954425</v>
      </c>
      <c r="C1443" s="15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9" t="inlineStr">
        <is>
          <t>06/03/2009</t>
        </is>
      </c>
      <c r="B1444" s="8" t="n">
        <v>140.3017239375</v>
      </c>
      <c r="C1444" s="15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9" t="inlineStr">
        <is>
          <t>09/03/2009</t>
        </is>
      </c>
      <c r="B1445" s="8" t="n">
        <v>141.31945665</v>
      </c>
      <c r="C1445" s="15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9" t="inlineStr">
        <is>
          <t>11/03/2009</t>
        </is>
      </c>
      <c r="B1446" s="8" t="n">
        <v>141.9882524325</v>
      </c>
      <c r="C1446" s="15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9" t="inlineStr">
        <is>
          <t>12/03/2009</t>
        </is>
      </c>
      <c r="B1447" s="8" t="n">
        <v>142.4535016725</v>
      </c>
      <c r="C1447" s="15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9" t="inlineStr">
        <is>
          <t>13/03/2009</t>
        </is>
      </c>
      <c r="B1448" s="8" t="n">
        <v>143.238609765</v>
      </c>
      <c r="C1448" s="15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9" t="inlineStr">
        <is>
          <t>16/03/2009</t>
        </is>
      </c>
      <c r="B1449" s="8" t="n">
        <v>143.238609765</v>
      </c>
      <c r="C1449" s="15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9" t="inlineStr">
        <is>
          <t>17/03/2009</t>
        </is>
      </c>
      <c r="B1450" s="8" t="n">
        <v>143.5584686175</v>
      </c>
      <c r="C1450" s="15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9" t="inlineStr">
        <is>
          <t>18/03/2009</t>
        </is>
      </c>
      <c r="B1451" s="8" t="n">
        <v>143.41307823</v>
      </c>
      <c r="C1451" s="15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9" t="inlineStr">
        <is>
          <t>19/03/2009</t>
        </is>
      </c>
      <c r="B1452" s="8" t="n">
        <v>144.2563424775</v>
      </c>
      <c r="C1452" s="15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9" t="inlineStr">
        <is>
          <t>20/03/2009</t>
        </is>
      </c>
      <c r="B1453" s="8" t="n">
        <v>143.87832747</v>
      </c>
      <c r="C1453" s="15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9" t="inlineStr">
        <is>
          <t>23/03/2009</t>
        </is>
      </c>
      <c r="B1454" s="8" t="n">
        <v>144.0237178575</v>
      </c>
      <c r="C1454" s="15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9" t="inlineStr">
        <is>
          <t>24/03/2009</t>
        </is>
      </c>
      <c r="B1455" s="8" t="n">
        <v>142.540735905</v>
      </c>
      <c r="C1455" s="15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9" t="inlineStr">
        <is>
          <t>25/03/2009</t>
        </is>
      </c>
      <c r="B1456" s="8" t="n">
        <v>142.01733051</v>
      </c>
      <c r="C1456" s="15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9" t="inlineStr">
        <is>
          <t>26/03/2009</t>
        </is>
      </c>
      <c r="B1457" s="8" t="n">
        <v>137.6846969625</v>
      </c>
      <c r="C1457" s="15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9" t="inlineStr">
        <is>
          <t>27/03/2009</t>
        </is>
      </c>
      <c r="B1458" s="8" t="n">
        <v>136.0563246225</v>
      </c>
      <c r="C1458" s="15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9" t="inlineStr">
        <is>
          <t>30/03/2009</t>
        </is>
      </c>
      <c r="B1459" s="8" t="n">
        <v>136.3471053975</v>
      </c>
      <c r="C1459" s="15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9" t="inlineStr">
        <is>
          <t>31/03/2009</t>
        </is>
      </c>
      <c r="B1460" s="8" t="n">
        <v>135.9981684675</v>
      </c>
      <c r="C1460" s="15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9" t="inlineStr">
        <is>
          <t>01/04/2009</t>
        </is>
      </c>
      <c r="B1461" s="8" t="n">
        <v>136.3480807882</v>
      </c>
      <c r="C1461" s="15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9" t="inlineStr">
        <is>
          <t>02/04/2009</t>
        </is>
      </c>
      <c r="B1462" s="8" t="n">
        <v>136.6975419094</v>
      </c>
      <c r="C1462" s="15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9" t="inlineStr">
        <is>
          <t>03/04/2009</t>
        </is>
      </c>
      <c r="B1463" s="8" t="n">
        <v>137.0761247907</v>
      </c>
      <c r="C1463" s="15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9" t="inlineStr">
        <is>
          <t>06/04/2009</t>
        </is>
      </c>
      <c r="B1464" s="8" t="n">
        <v>137.0178812705</v>
      </c>
      <c r="C1464" s="15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9" t="inlineStr">
        <is>
          <t>07/04/2009</t>
        </is>
      </c>
      <c r="B1465" s="8" t="n">
        <v>137.3964641518</v>
      </c>
      <c r="C1465" s="15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9" t="inlineStr">
        <is>
          <t>08/04/2009</t>
        </is>
      </c>
      <c r="B1466" s="8" t="n">
        <v>136.9887595104</v>
      </c>
      <c r="C1466" s="15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9" t="inlineStr">
        <is>
          <t>09/04/2009</t>
        </is>
      </c>
      <c r="B1467" s="8" t="n">
        <v>136.2607155079</v>
      </c>
      <c r="C1467" s="15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9" t="inlineStr">
        <is>
          <t>13/04/2009</t>
        </is>
      </c>
      <c r="B1468" s="8" t="n">
        <v>136.5519331089</v>
      </c>
      <c r="C1468" s="15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9" t="inlineStr">
        <is>
          <t>14/04/2009</t>
        </is>
      </c>
      <c r="B1469" s="8" t="n">
        <v>136.581054869</v>
      </c>
      <c r="C1469" s="15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9" t="inlineStr">
        <is>
          <t>15/04/2009</t>
        </is>
      </c>
      <c r="B1470" s="8" t="n">
        <v>136.7849071897</v>
      </c>
      <c r="C1470" s="15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9" t="inlineStr">
        <is>
          <t>16/04/2009</t>
        </is>
      </c>
      <c r="B1471" s="8" t="n">
        <v>136.1442284675</v>
      </c>
      <c r="C1471" s="15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9" t="inlineStr">
        <is>
          <t>17/04/2009</t>
        </is>
      </c>
      <c r="B1472" s="8" t="n">
        <v>136.1442284675</v>
      </c>
      <c r="C1472" s="15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9" t="inlineStr">
        <is>
          <t>20/04/2009</t>
        </is>
      </c>
      <c r="B1473" s="8" t="n">
        <v>134.5716534221</v>
      </c>
      <c r="C1473" s="15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9" t="inlineStr">
        <is>
          <t>22/04/2009</t>
        </is>
      </c>
      <c r="B1474" s="8" t="n">
        <v>133.2029306974</v>
      </c>
      <c r="C1474" s="15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9" t="inlineStr">
        <is>
          <t>23/04/2009</t>
        </is>
      </c>
      <c r="B1475" s="8" t="n">
        <v>133.4941482984</v>
      </c>
      <c r="C1475" s="15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9" t="inlineStr">
        <is>
          <t>24/04/2009</t>
        </is>
      </c>
      <c r="B1476" s="8" t="n">
        <v>133.4359047782</v>
      </c>
      <c r="C1476" s="15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9" t="inlineStr">
        <is>
          <t>27/04/2009</t>
        </is>
      </c>
      <c r="B1477" s="8" t="n">
        <v>133.086443657</v>
      </c>
      <c r="C1477" s="15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9" t="inlineStr">
        <is>
          <t>28/04/2009</t>
        </is>
      </c>
      <c r="B1478" s="8" t="n">
        <v>133.1446871772</v>
      </c>
      <c r="C1478" s="15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9" t="inlineStr">
        <is>
          <t>29/04/2009</t>
        </is>
      </c>
      <c r="B1479" s="8" t="n">
        <v>133.3485394979</v>
      </c>
      <c r="C1479" s="15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9" t="inlineStr">
        <is>
          <t>30/04/2009</t>
        </is>
      </c>
      <c r="B1480" s="8" t="n">
        <v>132.9408348565</v>
      </c>
      <c r="C1480" s="15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9" t="inlineStr">
        <is>
          <t>04/05/2009</t>
        </is>
      </c>
      <c r="B1481" s="8" t="n">
        <v>132.8299634568</v>
      </c>
      <c r="C1481" s="15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9" t="inlineStr">
        <is>
          <t>05/05/2009</t>
        </is>
      </c>
      <c r="B1482" s="8" t="n">
        <v>132.6259683396</v>
      </c>
      <c r="C1482" s="15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9" t="inlineStr">
        <is>
          <t>06/05/2009</t>
        </is>
      </c>
      <c r="B1483" s="8" t="n">
        <v>132.6259683396</v>
      </c>
      <c r="C1483" s="15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9" t="inlineStr">
        <is>
          <t>07/05/2009</t>
        </is>
      </c>
      <c r="B1484" s="8" t="n">
        <v>131.9265565092</v>
      </c>
      <c r="C1484" s="15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9" t="inlineStr">
        <is>
          <t>08/05/2009</t>
        </is>
      </c>
      <c r="B1485" s="8" t="n">
        <v>131.6934192324</v>
      </c>
      <c r="C1485" s="15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9" t="inlineStr">
        <is>
          <t>11/05/2009</t>
        </is>
      </c>
      <c r="B1486" s="8" t="n">
        <v>131.1397182</v>
      </c>
      <c r="C1486" s="15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9" t="inlineStr">
        <is>
          <t>12/05/2009</t>
        </is>
      </c>
      <c r="B1487" s="8" t="n">
        <v>130.265453412</v>
      </c>
      <c r="C1487" s="15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9" t="inlineStr">
        <is>
          <t>13/05/2009</t>
        </is>
      </c>
      <c r="B1488" s="8" t="n">
        <v>128.95405623</v>
      </c>
      <c r="C1488" s="15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9" t="inlineStr">
        <is>
          <t>14/05/2009</t>
        </is>
      </c>
      <c r="B1489" s="8" t="n">
        <v>128.6334924744</v>
      </c>
      <c r="C1489" s="15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9" t="inlineStr">
        <is>
          <t>18/05/2009</t>
        </is>
      </c>
      <c r="B1490" s="8" t="n">
        <v>128.662634634</v>
      </c>
      <c r="C1490" s="15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9" t="inlineStr">
        <is>
          <t>19/05/2009</t>
        </is>
      </c>
      <c r="B1491" s="8" t="n">
        <v>128.5752081552</v>
      </c>
      <c r="C1491" s="15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9" t="inlineStr">
        <is>
          <t>20/05/2009</t>
        </is>
      </c>
      <c r="B1492" s="8" t="n">
        <v>128.95405623</v>
      </c>
      <c r="C1492" s="15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9" t="inlineStr">
        <is>
          <t>22/05/2009</t>
        </is>
      </c>
      <c r="B1493" s="8" t="n">
        <v>129.5660415816</v>
      </c>
      <c r="C1493" s="15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9" t="inlineStr">
        <is>
          <t>25/05/2009</t>
        </is>
      </c>
      <c r="B1494" s="8" t="n">
        <v>128.6043503148</v>
      </c>
      <c r="C1494" s="15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9" t="inlineStr">
        <is>
          <t>26/05/2009</t>
        </is>
      </c>
      <c r="B1495" s="8" t="n">
        <v>128.6334924744</v>
      </c>
      <c r="C1495" s="15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9" t="inlineStr">
        <is>
          <t>27/05/2009</t>
        </is>
      </c>
      <c r="B1496" s="8" t="n">
        <v>128.8957719108</v>
      </c>
      <c r="C1496" s="15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9" t="inlineStr">
        <is>
          <t>28/05/2009</t>
        </is>
      </c>
      <c r="B1497" s="8" t="n">
        <v>128.7792032724</v>
      </c>
      <c r="C1497" s="15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9" t="inlineStr">
        <is>
          <t>29/05/2009</t>
        </is>
      </c>
      <c r="B1498" s="8" t="n">
        <v>128.4294973572</v>
      </c>
      <c r="C1498" s="15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9" t="inlineStr">
        <is>
          <t>01/06/2009</t>
        </is>
      </c>
      <c r="B1499" s="8" t="n">
        <v>128.2371706364</v>
      </c>
      <c r="C1499" s="15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9" t="inlineStr">
        <is>
          <t>02/06/2009</t>
        </is>
      </c>
      <c r="B1500" s="8" t="n">
        <v>128.1204853128</v>
      </c>
      <c r="C1500" s="15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9" t="inlineStr">
        <is>
          <t>03/06/2009</t>
        </is>
      </c>
      <c r="B1501" s="8" t="n">
        <v>127.2161740549</v>
      </c>
      <c r="C1501" s="15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9" t="inlineStr">
        <is>
          <t>04/06/2009</t>
        </is>
      </c>
      <c r="B1502" s="8" t="n">
        <v>127.1286600622</v>
      </c>
      <c r="C1502" s="15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9" t="inlineStr">
        <is>
          <t>05/06/2009</t>
        </is>
      </c>
      <c r="B1503" s="8" t="n">
        <v>127.6245726875</v>
      </c>
      <c r="C1503" s="15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9" t="inlineStr">
        <is>
          <t>08/06/2009</t>
        </is>
      </c>
      <c r="B1504" s="8" t="n">
        <v>127.5954013566</v>
      </c>
      <c r="C1504" s="15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9" t="inlineStr">
        <is>
          <t>09/06/2009</t>
        </is>
      </c>
      <c r="B1505" s="8" t="n">
        <v>124.9408102447</v>
      </c>
      <c r="C1505" s="15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9" t="inlineStr">
        <is>
          <t>12/06/2009</t>
        </is>
      </c>
      <c r="B1506" s="8" t="n">
        <v>124.2990409649</v>
      </c>
      <c r="C1506" s="15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9" t="inlineStr">
        <is>
          <t>15/06/2009</t>
        </is>
      </c>
      <c r="B1507" s="8" t="n">
        <v>123.1613590598</v>
      </c>
      <c r="C1507" s="15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9" t="inlineStr">
        <is>
          <t>16/06/2009</t>
        </is>
      </c>
      <c r="B1508" s="8" t="n">
        <v>121.9069918311</v>
      </c>
      <c r="C1508" s="15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9" t="inlineStr">
        <is>
          <t>17/06/2009</t>
        </is>
      </c>
      <c r="B1509" s="8" t="n">
        <v>122.1403624783</v>
      </c>
      <c r="C1509" s="15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9" t="inlineStr">
        <is>
          <t>18/06/2009</t>
        </is>
      </c>
      <c r="B1510" s="8" t="n">
        <v>121.0318519041</v>
      </c>
      <c r="C1510" s="15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9" t="inlineStr">
        <is>
          <t>19/06/2009</t>
        </is>
      </c>
      <c r="B1511" s="8" t="n">
        <v>119.6316280209</v>
      </c>
      <c r="C1511" s="15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9" t="inlineStr">
        <is>
          <t>22/06/2009</t>
        </is>
      </c>
      <c r="B1512" s="8" t="n">
        <v>119.0482014029</v>
      </c>
      <c r="C1512" s="15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9" t="inlineStr">
        <is>
          <t>23/06/2009</t>
        </is>
      </c>
      <c r="B1513" s="8" t="n">
        <v>119.60245669</v>
      </c>
      <c r="C1513" s="15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9" t="inlineStr">
        <is>
          <t>24/06/2009</t>
        </is>
      </c>
      <c r="B1514" s="8" t="n">
        <v>119.60245669</v>
      </c>
      <c r="C1514" s="15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9" t="inlineStr">
        <is>
          <t>25/06/2009</t>
        </is>
      </c>
      <c r="B1515" s="8" t="n">
        <v>119.9525126608</v>
      </c>
      <c r="C1515" s="15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9" t="inlineStr">
        <is>
          <t>26/06/2009</t>
        </is>
      </c>
      <c r="B1516" s="8" t="n">
        <v>119.7774846754</v>
      </c>
      <c r="C1516" s="15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9" t="inlineStr">
        <is>
          <t>29/06/2009</t>
        </is>
      </c>
      <c r="B1517" s="8" t="n">
        <v>119.6899706827</v>
      </c>
      <c r="C1517" s="15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9" t="inlineStr">
        <is>
          <t>30/06/2009</t>
        </is>
      </c>
      <c r="B1518" s="8" t="n">
        <v>120.0400266535</v>
      </c>
      <c r="C1518" s="15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9" t="inlineStr">
        <is>
          <t>01/07/2009</t>
        </is>
      </c>
      <c r="B1519" s="8" t="n">
        <v>120.4412389434</v>
      </c>
      <c r="C1519" s="15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9" t="inlineStr">
        <is>
          <t>02/07/2009</t>
        </is>
      </c>
      <c r="B1520" s="8" t="n">
        <v>120.6170227998</v>
      </c>
      <c r="C1520" s="15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9" t="inlineStr">
        <is>
          <t>03/07/2009</t>
        </is>
      </c>
      <c r="B1521" s="8" t="n">
        <v>120.8221039656</v>
      </c>
      <c r="C1521" s="15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9" t="inlineStr">
        <is>
          <t>06/07/2009</t>
        </is>
      </c>
      <c r="B1522" s="8" t="n">
        <v>121.1150770596</v>
      </c>
      <c r="C1522" s="15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9" t="inlineStr">
        <is>
          <t>07/07/2009</t>
        </is>
      </c>
      <c r="B1523" s="8" t="n">
        <v>121.5545367006</v>
      </c>
      <c r="C1523" s="15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9" t="inlineStr">
        <is>
          <t>08/07/2009</t>
        </is>
      </c>
      <c r="B1524" s="8" t="n">
        <v>121.0857797502</v>
      </c>
      <c r="C1524" s="15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9" t="inlineStr">
        <is>
          <t>10/07/2009</t>
        </is>
      </c>
      <c r="B1525" s="8" t="n">
        <v>120.1775631588</v>
      </c>
      <c r="C1525" s="15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9" t="inlineStr">
        <is>
          <t>13/07/2009</t>
        </is>
      </c>
      <c r="B1526" s="8" t="n">
        <v>120.1775631588</v>
      </c>
      <c r="C1526" s="15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9" t="inlineStr">
        <is>
          <t>14/07/2009</t>
        </is>
      </c>
      <c r="B1527" s="8" t="n">
        <v>120.7635093468</v>
      </c>
      <c r="C1527" s="15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9" t="inlineStr">
        <is>
          <t>15/07/2009</t>
        </is>
      </c>
      <c r="B1528" s="8" t="n">
        <v>121.2029689878</v>
      </c>
      <c r="C1528" s="15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9" t="inlineStr">
        <is>
          <t>16/07/2009</t>
        </is>
      </c>
      <c r="B1529" s="8" t="n">
        <v>121.144374369</v>
      </c>
      <c r="C1529" s="15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9" t="inlineStr">
        <is>
          <t>17/07/2009</t>
        </is>
      </c>
      <c r="B1530" s="8" t="n">
        <v>121.3787528442</v>
      </c>
      <c r="C1530" s="15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9" t="inlineStr">
        <is>
          <t>20/07/2009</t>
        </is>
      </c>
      <c r="B1531" s="8" t="n">
        <v>120.7928066562</v>
      </c>
      <c r="C1531" s="15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9" t="inlineStr">
        <is>
          <t>21/07/2009</t>
        </is>
      </c>
      <c r="B1532" s="8" t="n">
        <v>121.6717259382</v>
      </c>
      <c r="C1532" s="15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9" t="inlineStr">
        <is>
          <t>22/07/2009</t>
        </is>
      </c>
      <c r="B1533" s="8" t="n">
        <v>122.316266745</v>
      </c>
      <c r="C1533" s="15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9" t="inlineStr">
        <is>
          <t>23/07/2009</t>
        </is>
      </c>
      <c r="B1534" s="8" t="n">
        <v>122.0818882698</v>
      </c>
      <c r="C1534" s="15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9" t="inlineStr">
        <is>
          <t>24/07/2009</t>
        </is>
      </c>
      <c r="B1535" s="8" t="n">
        <v>122.2576721262</v>
      </c>
      <c r="C1535" s="15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9" t="inlineStr">
        <is>
          <t>27/07/2009</t>
        </is>
      </c>
      <c r="B1536" s="8" t="n">
        <v>122.4920506014</v>
      </c>
      <c r="C1536" s="15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9" t="inlineStr">
        <is>
          <t>28/07/2009</t>
        </is>
      </c>
      <c r="B1537" s="8" t="n">
        <v>122.2869694356</v>
      </c>
      <c r="C1537" s="15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9" t="inlineStr">
        <is>
          <t>29/07/2009</t>
        </is>
      </c>
      <c r="B1538" s="8" t="n">
        <v>122.2576721262</v>
      </c>
      <c r="C1538" s="15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9" t="inlineStr">
        <is>
          <t>30/07/2009</t>
        </is>
      </c>
      <c r="B1539" s="8" t="n">
        <v>122.4920506014</v>
      </c>
      <c r="C1539" s="15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9" t="inlineStr">
        <is>
          <t>31/07/2009</t>
        </is>
      </c>
      <c r="B1540" s="8" t="n">
        <v>122.8729156236</v>
      </c>
      <c r="C1540" s="15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9" t="inlineStr">
        <is>
          <t>03/08/2009</t>
        </is>
      </c>
      <c r="B1541" s="8" t="n">
        <v>123.49327536</v>
      </c>
      <c r="C1541" s="15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9" t="inlineStr">
        <is>
          <t>04/08/2009</t>
        </is>
      </c>
      <c r="B1542" s="8" t="n">
        <v>123.6696943248</v>
      </c>
      <c r="C1542" s="15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9" t="inlineStr">
        <is>
          <t>05/08/2009</t>
        </is>
      </c>
      <c r="B1543" s="8" t="n">
        <v>124.0519354152</v>
      </c>
      <c r="C1543" s="15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9" t="inlineStr">
        <is>
          <t>06/08/2009</t>
        </is>
      </c>
      <c r="B1544" s="8" t="n">
        <v>124.1695480584</v>
      </c>
      <c r="C1544" s="15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9" t="inlineStr">
        <is>
          <t>07/08/2009</t>
        </is>
      </c>
      <c r="B1545" s="8" t="n">
        <v>124.4635796664</v>
      </c>
      <c r="C1545" s="15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9" t="inlineStr">
        <is>
          <t>10/08/2009</t>
        </is>
      </c>
      <c r="B1546" s="8" t="n">
        <v>125.3456744904</v>
      </c>
      <c r="C1546" s="15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9" t="inlineStr">
        <is>
          <t>11/08/2009</t>
        </is>
      </c>
      <c r="B1547" s="8" t="n">
        <v>126.0513503496</v>
      </c>
      <c r="C1547" s="15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9" t="inlineStr">
        <is>
          <t>12/08/2009</t>
        </is>
      </c>
      <c r="B1548" s="8" t="n">
        <v>128.4624095352</v>
      </c>
      <c r="C1548" s="15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9" t="inlineStr">
        <is>
          <t>13/08/2009</t>
        </is>
      </c>
      <c r="B1549" s="8" t="n">
        <v>129.2856980376</v>
      </c>
      <c r="C1549" s="15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9" t="inlineStr">
        <is>
          <t>14/08/2009</t>
        </is>
      </c>
      <c r="B1550" s="8" t="n">
        <v>130.84406556</v>
      </c>
      <c r="C1550" s="15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9" t="inlineStr">
        <is>
          <t>17/08/2009</t>
        </is>
      </c>
      <c r="B1551" s="8" t="n">
        <v>132.0495951528</v>
      </c>
      <c r="C1551" s="15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9" t="inlineStr">
        <is>
          <t>18/08/2009</t>
        </is>
      </c>
      <c r="B1552" s="8" t="n">
        <v>133.7549784792</v>
      </c>
      <c r="C1552" s="15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9" t="inlineStr">
        <is>
          <t>19/08/2009</t>
        </is>
      </c>
      <c r="B1553" s="8" t="n">
        <v>134.225429052</v>
      </c>
      <c r="C1553" s="15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9" t="inlineStr">
        <is>
          <t>20/08/2009</t>
        </is>
      </c>
      <c r="B1554" s="8" t="n">
        <v>135.5779744488</v>
      </c>
      <c r="C1554" s="15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9" t="inlineStr">
        <is>
          <t>21/08/2009</t>
        </is>
      </c>
      <c r="B1555" s="8" t="n">
        <v>137.9890336344</v>
      </c>
      <c r="C1555" s="15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9" t="inlineStr">
        <is>
          <t>24/08/2009</t>
        </is>
      </c>
      <c r="B1556" s="8" t="n">
        <v>138.488887368</v>
      </c>
      <c r="C1556" s="15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9" t="inlineStr">
        <is>
          <t>25/08/2009</t>
        </is>
      </c>
      <c r="B1557" s="8" t="n">
        <v>141.6644287344</v>
      </c>
      <c r="C1557" s="15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9" t="inlineStr">
        <is>
          <t>26/08/2009</t>
        </is>
      </c>
      <c r="B1558" s="8" t="n">
        <v>143.3698120608</v>
      </c>
      <c r="C1558" s="15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9" t="inlineStr">
        <is>
          <t>27/08/2009</t>
        </is>
      </c>
      <c r="B1559" s="8" t="n">
        <v>147.9567051456</v>
      </c>
      <c r="C1559" s="15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9" t="inlineStr">
        <is>
          <t>28/08/2009</t>
        </is>
      </c>
      <c r="B1560" s="8" t="n">
        <v>148.6623810048</v>
      </c>
      <c r="C1560" s="15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9" t="inlineStr">
        <is>
          <t>31/08/2009</t>
        </is>
      </c>
      <c r="B1561" s="8" t="n">
        <v>151.573293924</v>
      </c>
      <c r="C1561" s="15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9" t="inlineStr">
        <is>
          <t>01/09/2009</t>
        </is>
      </c>
      <c r="B1562" s="8" t="n">
        <v>152.169116248</v>
      </c>
      <c r="C1562" s="15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9" t="inlineStr">
        <is>
          <t>02/09/2009</t>
        </is>
      </c>
      <c r="B1563" s="8" t="n">
        <v>155.507057224</v>
      </c>
      <c r="C1563" s="15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9" t="inlineStr">
        <is>
          <t>03/09/2009</t>
        </is>
      </c>
      <c r="B1564" s="8" t="n">
        <v>156.971066424</v>
      </c>
      <c r="C1564" s="15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9" t="inlineStr">
        <is>
          <t>04/09/2009</t>
        </is>
      </c>
      <c r="B1565" s="8" t="n">
        <v>157.732351208</v>
      </c>
      <c r="C1565" s="15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9" t="inlineStr">
        <is>
          <t>08/09/2009</t>
        </is>
      </c>
      <c r="B1566" s="8" t="n">
        <v>158.522916176</v>
      </c>
      <c r="C1566" s="15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9" t="inlineStr">
        <is>
          <t>09/09/2009</t>
        </is>
      </c>
      <c r="B1567" s="8" t="n">
        <v>159.5770028</v>
      </c>
      <c r="C1567" s="15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9" t="inlineStr">
        <is>
          <t>10/09/2009</t>
        </is>
      </c>
      <c r="B1568" s="8" t="n">
        <v>161.509494944</v>
      </c>
      <c r="C1568" s="15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9" t="inlineStr">
        <is>
          <t>11/09/2009</t>
        </is>
      </c>
      <c r="B1569" s="8" t="n">
        <v>161.7730166</v>
      </c>
      <c r="C1569" s="15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9" t="inlineStr">
        <is>
          <t>14/09/2009</t>
        </is>
      </c>
      <c r="B1570" s="8" t="n">
        <v>162.036538256</v>
      </c>
      <c r="C1570" s="15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9" t="inlineStr">
        <is>
          <t>15/09/2009</t>
        </is>
      </c>
      <c r="B1571" s="8" t="n">
        <v>163.178465432</v>
      </c>
      <c r="C1571" s="15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9" t="inlineStr">
        <is>
          <t>16/09/2009</t>
        </is>
      </c>
      <c r="B1572" s="8" t="n">
        <v>163.9690304</v>
      </c>
      <c r="C1572" s="15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9" t="inlineStr">
        <is>
          <t>17/09/2009</t>
        </is>
      </c>
      <c r="B1573" s="8" t="n">
        <v>164.583914264</v>
      </c>
      <c r="C1573" s="15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9" t="inlineStr">
        <is>
          <t>18/09/2009</t>
        </is>
      </c>
      <c r="B1574" s="8" t="n">
        <v>164.701035</v>
      </c>
      <c r="C1574" s="15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9" t="inlineStr">
        <is>
          <t>21/09/2009</t>
        </is>
      </c>
      <c r="B1575" s="8" t="n">
        <v>165.520880152</v>
      </c>
      <c r="C1575" s="15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9" t="inlineStr">
        <is>
          <t>22/09/2009</t>
        </is>
      </c>
      <c r="B1576" s="8" t="n">
        <v>165.052397208</v>
      </c>
      <c r="C1576" s="15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9" t="inlineStr">
        <is>
          <t>23/09/2009</t>
        </is>
      </c>
      <c r="B1577" s="8" t="n">
        <v>165.550160336</v>
      </c>
      <c r="C1577" s="15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9" t="inlineStr">
        <is>
          <t>24/09/2009</t>
        </is>
      </c>
      <c r="B1578" s="8" t="n">
        <v>165.87224236</v>
      </c>
      <c r="C1578" s="15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9" t="inlineStr">
        <is>
          <t>25/09/2009</t>
        </is>
      </c>
      <c r="B1579" s="8" t="n">
        <v>166.692087512</v>
      </c>
      <c r="C1579" s="15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9" t="inlineStr">
        <is>
          <t>28/09/2009</t>
        </is>
      </c>
      <c r="B1580" s="8" t="n">
        <v>167.102010088</v>
      </c>
      <c r="C1580" s="15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9" t="inlineStr">
        <is>
          <t>29/09/2009</t>
        </is>
      </c>
      <c r="B1581" s="8" t="n">
        <v>167.072729904</v>
      </c>
      <c r="C1581" s="15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9" t="inlineStr">
        <is>
          <t>30/09/2009</t>
        </is>
      </c>
      <c r="B1582" s="8" t="n">
        <v>167.424092112</v>
      </c>
      <c r="C1582" s="15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9" t="inlineStr">
        <is>
          <t>01/10/2009</t>
        </is>
      </c>
      <c r="B1583" s="8" t="n">
        <v>166.9307040448</v>
      </c>
      <c r="C1583" s="15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9" t="inlineStr">
        <is>
          <t>02/10/2009</t>
        </is>
      </c>
      <c r="B1584" s="8" t="n">
        <v>168.1891227464</v>
      </c>
      <c r="C1584" s="15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9" t="inlineStr">
        <is>
          <t>05/10/2009</t>
        </is>
      </c>
      <c r="B1585" s="8" t="n">
        <v>167.6038117224</v>
      </c>
      <c r="C1585" s="15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9" t="inlineStr">
        <is>
          <t>06/10/2009</t>
        </is>
      </c>
      <c r="B1586" s="8" t="n">
        <v>167.5745461712</v>
      </c>
      <c r="C1586" s="15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9" t="inlineStr">
        <is>
          <t>07/10/2009</t>
        </is>
      </c>
      <c r="B1587" s="8" t="n">
        <v>168.3647160536</v>
      </c>
      <c r="C1587" s="15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9" t="inlineStr">
        <is>
          <t>08/10/2009</t>
        </is>
      </c>
      <c r="B1588" s="8" t="n">
        <v>168.2769194</v>
      </c>
      <c r="C1588" s="15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9" t="inlineStr">
        <is>
          <t>09/10/2009</t>
        </is>
      </c>
      <c r="B1589" s="8" t="n">
        <v>166.959969596</v>
      </c>
      <c r="C1589" s="15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9" t="inlineStr">
        <is>
          <t>13/10/2009</t>
        </is>
      </c>
      <c r="B1590" s="8" t="n">
        <v>167.837936132</v>
      </c>
      <c r="C1590" s="15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9" t="inlineStr">
        <is>
          <t>14/10/2009</t>
        </is>
      </c>
      <c r="B1591" s="8" t="n">
        <v>166.2868619184</v>
      </c>
      <c r="C1591" s="15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9" t="inlineStr">
        <is>
          <t>15/10/2009</t>
        </is>
      </c>
      <c r="B1592" s="8" t="n">
        <v>166.9892351472</v>
      </c>
      <c r="C1592" s="15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9" t="inlineStr">
        <is>
          <t>16/10/2009</t>
        </is>
      </c>
      <c r="B1593" s="8" t="n">
        <v>167.1648284544</v>
      </c>
      <c r="C1593" s="15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9" t="inlineStr">
        <is>
          <t>19/10/2009</t>
        </is>
      </c>
      <c r="B1594" s="8" t="n">
        <v>167.3111562104</v>
      </c>
      <c r="C1594" s="15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9" t="inlineStr">
        <is>
          <t>20/10/2009</t>
        </is>
      </c>
      <c r="B1595" s="8" t="n">
        <v>167.6623428248</v>
      </c>
      <c r="C1595" s="15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9" t="inlineStr">
        <is>
          <t>21/10/2009</t>
        </is>
      </c>
      <c r="B1596" s="8" t="n">
        <v>168.3061849512</v>
      </c>
      <c r="C1596" s="15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9" t="inlineStr">
        <is>
          <t>22/10/2009</t>
        </is>
      </c>
      <c r="B1597" s="8" t="n">
        <v>168.6866371168</v>
      </c>
      <c r="C1597" s="15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9" t="inlineStr">
        <is>
          <t>23/10/2009</t>
        </is>
      </c>
      <c r="B1598" s="8" t="n">
        <v>168.3061849512</v>
      </c>
      <c r="C1598" s="15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9" t="inlineStr">
        <is>
          <t>26/10/2009</t>
        </is>
      </c>
      <c r="B1599" s="8" t="n">
        <v>167.106297352</v>
      </c>
      <c r="C1599" s="15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9" t="inlineStr">
        <is>
          <t>27/10/2009</t>
        </is>
      </c>
      <c r="B1600" s="8" t="n">
        <v>167.4867495176</v>
      </c>
      <c r="C1600" s="15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9" t="inlineStr">
        <is>
          <t>28/10/2009</t>
        </is>
      </c>
      <c r="B1601" s="8" t="n">
        <v>167.252625108</v>
      </c>
      <c r="C1601" s="15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9" t="inlineStr">
        <is>
          <t>29/10/2009</t>
        </is>
      </c>
      <c r="B1602" s="8" t="n">
        <v>167.6038117224</v>
      </c>
      <c r="C1602" s="15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9" t="inlineStr">
        <is>
          <t>30/10/2009</t>
        </is>
      </c>
      <c r="B1603" s="8" t="n">
        <v>168.1013260928</v>
      </c>
      <c r="C1603" s="15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9" t="inlineStr">
        <is>
          <t>03/11/2009</t>
        </is>
      </c>
      <c r="B1604" s="8" t="n">
        <v>167.4656117472</v>
      </c>
      <c r="C1604" s="15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9" t="inlineStr">
        <is>
          <t>04/11/2009</t>
        </is>
      </c>
      <c r="B1605" s="8" t="n">
        <v>168.0211017303</v>
      </c>
      <c r="C1605" s="15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9" t="inlineStr">
        <is>
          <t>05/11/2009</t>
        </is>
      </c>
      <c r="B1606" s="8" t="n">
        <v>167.524084377</v>
      </c>
      <c r="C1606" s="15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9" t="inlineStr">
        <is>
          <t>06/11/2009</t>
        </is>
      </c>
      <c r="B1607" s="8" t="n">
        <v>166.7347038747</v>
      </c>
      <c r="C1607" s="15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9" t="inlineStr">
        <is>
          <t>09/11/2009</t>
        </is>
      </c>
      <c r="B1608" s="8" t="n">
        <v>166.7931765045</v>
      </c>
      <c r="C1608" s="15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9" t="inlineStr">
        <is>
          <t>10/11/2009</t>
        </is>
      </c>
      <c r="B1609" s="8" t="n">
        <v>165.2728881297</v>
      </c>
      <c r="C1609" s="15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9" t="inlineStr">
        <is>
          <t>11/11/2009</t>
        </is>
      </c>
      <c r="B1610" s="8" t="n">
        <v>165.8283781128</v>
      </c>
      <c r="C1610" s="15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9" t="inlineStr">
        <is>
          <t>12/11/2009</t>
        </is>
      </c>
      <c r="B1611" s="8" t="n">
        <v>165.8283781128</v>
      </c>
      <c r="C1611" s="15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9" t="inlineStr">
        <is>
          <t>13/11/2009</t>
        </is>
      </c>
      <c r="B1612" s="8" t="n">
        <v>165.8868507426</v>
      </c>
      <c r="C1612" s="15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9" t="inlineStr">
        <is>
          <t>16/11/2009</t>
        </is>
      </c>
      <c r="B1613" s="8" t="n">
        <v>163.8110723847</v>
      </c>
      <c r="C1613" s="15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9" t="inlineStr">
        <is>
          <t>17/11/2009</t>
        </is>
      </c>
      <c r="B1614" s="8" t="n">
        <v>163.3725276612</v>
      </c>
      <c r="C1614" s="15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9" t="inlineStr">
        <is>
          <t>18/11/2009</t>
        </is>
      </c>
      <c r="B1615" s="8" t="n">
        <v>163.0801645122</v>
      </c>
      <c r="C1615" s="15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9" t="inlineStr">
        <is>
          <t>19/11/2009</t>
        </is>
      </c>
      <c r="B1616" s="8" t="n">
        <v>162.5246745291</v>
      </c>
      <c r="C1616" s="15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9" t="inlineStr">
        <is>
          <t>20/11/2009</t>
        </is>
      </c>
      <c r="B1617" s="8" t="n">
        <v>161.9107119162</v>
      </c>
      <c r="C1617" s="15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9" t="inlineStr">
        <is>
          <t>23/11/2009</t>
        </is>
      </c>
      <c r="B1618" s="8" t="n">
        <v>162.0276571758</v>
      </c>
      <c r="C1618" s="15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9" t="inlineStr">
        <is>
          <t>24/11/2009</t>
        </is>
      </c>
      <c r="B1619" s="8" t="n">
        <v>162.5246745291</v>
      </c>
      <c r="C1619" s="15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9" t="inlineStr">
        <is>
          <t>25/11/2009</t>
        </is>
      </c>
      <c r="B1620" s="8" t="n">
        <v>161.384458248</v>
      </c>
      <c r="C1620" s="15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9" t="inlineStr">
        <is>
          <t>26/11/2009</t>
        </is>
      </c>
      <c r="B1621" s="8" t="n">
        <v>162.3200203248</v>
      </c>
      <c r="C1621" s="15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9" t="inlineStr">
        <is>
          <t>27/11/2009</t>
        </is>
      </c>
      <c r="B1622" s="8" t="n">
        <v>162.2323113801</v>
      </c>
      <c r="C1622" s="15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9" t="inlineStr">
        <is>
          <t>30/11/2009</t>
        </is>
      </c>
      <c r="B1623" s="8" t="n">
        <v>162.1738387503</v>
      </c>
      <c r="C1623" s="15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9" t="inlineStr">
        <is>
          <t>01/12/2009</t>
        </is>
      </c>
      <c r="B1624" s="8" t="n">
        <v>163.3000907025</v>
      </c>
      <c r="C1624" s="15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9" t="inlineStr">
        <is>
          <t>02/12/2009</t>
        </is>
      </c>
      <c r="B1625" s="8" t="n">
        <v>162.9776529</v>
      </c>
      <c r="C1625" s="15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9" t="inlineStr">
        <is>
          <t>03/12/2009</t>
        </is>
      </c>
      <c r="B1626" s="8" t="n">
        <v>163.388028285</v>
      </c>
      <c r="C1626" s="15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9" t="inlineStr">
        <is>
          <t>04/12/2009</t>
        </is>
      </c>
      <c r="B1627" s="8" t="n">
        <v>164.1794665275</v>
      </c>
      <c r="C1627" s="15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9" t="inlineStr">
        <is>
          <t>07/12/2009</t>
        </is>
      </c>
      <c r="B1628" s="8" t="n">
        <v>164.85365466</v>
      </c>
      <c r="C1628" s="15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9" t="inlineStr">
        <is>
          <t>08/12/2009</t>
        </is>
      </c>
      <c r="B1629" s="8" t="n">
        <v>165.381280155</v>
      </c>
      <c r="C1629" s="15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9" t="inlineStr">
        <is>
          <t>09/12/2009</t>
        </is>
      </c>
      <c r="B1630" s="8" t="n">
        <v>166.084780815</v>
      </c>
      <c r="C1630" s="15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9" t="inlineStr">
        <is>
          <t>10/12/2009</t>
        </is>
      </c>
      <c r="B1631" s="8" t="n">
        <v>166.9934691675</v>
      </c>
      <c r="C1631" s="15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9" t="inlineStr">
        <is>
          <t>11/12/2009</t>
        </is>
      </c>
      <c r="B1632" s="8" t="n">
        <v>168.1073452125</v>
      </c>
      <c r="C1632" s="15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9" t="inlineStr">
        <is>
          <t>14/12/2009</t>
        </is>
      </c>
      <c r="B1633" s="8" t="n">
        <v>169.6315966425</v>
      </c>
      <c r="C1633" s="15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9" t="inlineStr">
        <is>
          <t>15/12/2009</t>
        </is>
      </c>
      <c r="B1634" s="8" t="n">
        <v>169.2212212575</v>
      </c>
      <c r="C1634" s="15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9" t="inlineStr">
        <is>
          <t>16/12/2009</t>
        </is>
      </c>
      <c r="B1635" s="8" t="n">
        <v>170.3937223575</v>
      </c>
      <c r="C1635" s="15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9" t="inlineStr">
        <is>
          <t>17/12/2009</t>
        </is>
      </c>
      <c r="B1636" s="8" t="n">
        <v>173.9698507125</v>
      </c>
      <c r="C1636" s="15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9" t="inlineStr">
        <is>
          <t>18/12/2009</t>
        </is>
      </c>
      <c r="B1637" s="8" t="n">
        <v>174.7026639</v>
      </c>
      <c r="C1637" s="15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9" t="inlineStr">
        <is>
          <t>21/12/2009</t>
        </is>
      </c>
      <c r="B1638" s="8" t="n">
        <v>176.81316588</v>
      </c>
      <c r="C1638" s="15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9" t="inlineStr">
        <is>
          <t>22/12/2009</t>
        </is>
      </c>
      <c r="B1639" s="8" t="n">
        <v>179.4219808275</v>
      </c>
      <c r="C1639" s="15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9" t="inlineStr">
        <is>
          <t>23/12/2009</t>
        </is>
      </c>
      <c r="B1640" s="8" t="n">
        <v>182.265295995</v>
      </c>
      <c r="C1640" s="15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9" t="inlineStr">
        <is>
          <t>28/12/2009</t>
        </is>
      </c>
      <c r="B1641" s="8" t="n">
        <v>185.84142435</v>
      </c>
      <c r="C1641" s="15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9" t="inlineStr">
        <is>
          <t>29/12/2009</t>
        </is>
      </c>
      <c r="B1642" s="8" t="n">
        <v>186.134549625</v>
      </c>
      <c r="C1642" s="15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9" t="inlineStr">
        <is>
          <t>30/12/2009</t>
        </is>
      </c>
      <c r="B1643" s="8" t="n">
        <v>189.0951149025</v>
      </c>
      <c r="C1643" s="15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9" t="inlineStr">
        <is>
          <t>04/01/2010</t>
        </is>
      </c>
      <c r="B1644" s="8" t="n">
        <v>191.4358846084</v>
      </c>
      <c r="C1644" s="15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9" t="inlineStr">
        <is>
          <t>05/01/2010</t>
        </is>
      </c>
      <c r="B1645" s="8" t="n">
        <v>194.1157539608</v>
      </c>
      <c r="C1645" s="15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9" t="inlineStr">
        <is>
          <t>06/01/2010</t>
        </is>
      </c>
      <c r="B1646" s="8" t="n">
        <v>198.5142351805</v>
      </c>
      <c r="C1646" s="15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9" t="inlineStr">
        <is>
          <t>07/01/2010</t>
        </is>
      </c>
      <c r="B1647" s="8" t="n">
        <v>202.6796842826</v>
      </c>
      <c r="C1647" s="15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9" t="inlineStr">
        <is>
          <t>08/01/2010</t>
        </is>
      </c>
      <c r="B1648" s="8" t="n">
        <v>206.6994883112</v>
      </c>
      <c r="C1648" s="15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9" t="inlineStr">
        <is>
          <t>11/01/2010</t>
        </is>
      </c>
      <c r="B1649" s="8" t="n">
        <v>206.9907784582</v>
      </c>
      <c r="C1649" s="15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9" t="inlineStr">
        <is>
          <t>12/01/2010</t>
        </is>
      </c>
      <c r="B1650" s="8" t="n">
        <v>207.7772618551</v>
      </c>
      <c r="C1650" s="15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9" t="inlineStr">
        <is>
          <t>13/01/2010</t>
        </is>
      </c>
      <c r="B1651" s="8" t="n">
        <v>206.8742623994</v>
      </c>
      <c r="C1651" s="15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9" t="inlineStr">
        <is>
          <t>14/01/2010</t>
        </is>
      </c>
      <c r="B1652" s="8" t="n">
        <v>206.7286173259</v>
      </c>
      <c r="C1652" s="15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9" t="inlineStr">
        <is>
          <t>15/01/2010</t>
        </is>
      </c>
      <c r="B1653" s="8" t="n">
        <v>208.4181001785</v>
      </c>
      <c r="C1653" s="15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9" t="inlineStr">
        <is>
          <t>18/01/2010</t>
        </is>
      </c>
      <c r="B1654" s="8" t="n">
        <v>209.4958737224</v>
      </c>
      <c r="C1654" s="15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9" t="inlineStr">
        <is>
          <t>19/01/2010</t>
        </is>
      </c>
      <c r="B1655" s="8" t="n">
        <v>208.3015841197</v>
      </c>
      <c r="C1655" s="15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9" t="inlineStr">
        <is>
          <t>20/01/2010</t>
        </is>
      </c>
      <c r="B1656" s="8" t="n">
        <v>208.1559390462</v>
      </c>
      <c r="C1656" s="15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9" t="inlineStr">
        <is>
          <t>21/01/2010</t>
        </is>
      </c>
      <c r="B1657" s="8" t="n">
        <v>209.72890584</v>
      </c>
      <c r="C1657" s="15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9" t="inlineStr">
        <is>
          <t>22/01/2010</t>
        </is>
      </c>
      <c r="B1658" s="8" t="n">
        <v>209.9328089429</v>
      </c>
      <c r="C1658" s="15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9" t="inlineStr">
        <is>
          <t>25/01/2010</t>
        </is>
      </c>
      <c r="B1659" s="8" t="n">
        <v>210.3406151487</v>
      </c>
      <c r="C1659" s="15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9" t="inlineStr">
        <is>
          <t>26/01/2010</t>
        </is>
      </c>
      <c r="B1660" s="8" t="n">
        <v>210.2823571193</v>
      </c>
      <c r="C1660" s="15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9" t="inlineStr">
        <is>
          <t>27/01/2010</t>
        </is>
      </c>
      <c r="B1661" s="8" t="n">
        <v>209.6997768253</v>
      </c>
      <c r="C1661" s="15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9" t="inlineStr">
        <is>
          <t>28/01/2010</t>
        </is>
      </c>
      <c r="B1662" s="8" t="n">
        <v>209.7580348547</v>
      </c>
      <c r="C1662" s="15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9" t="inlineStr">
        <is>
          <t>29/01/2010</t>
        </is>
      </c>
      <c r="B1663" s="8" t="n">
        <v>210.5445182516</v>
      </c>
      <c r="C1663" s="15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9" t="inlineStr">
        <is>
          <t>01/02/2010</t>
        </is>
      </c>
      <c r="B1664" s="8" t="n">
        <v>207.6860166926</v>
      </c>
      <c r="C1664" s="15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9" t="inlineStr">
        <is>
          <t>02/02/2010</t>
        </is>
      </c>
      <c r="B1665" s="8" t="n">
        <v>208.5784850205</v>
      </c>
      <c r="C1665" s="15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9" t="inlineStr">
        <is>
          <t>03/02/2010</t>
        </is>
      </c>
      <c r="B1666" s="8" t="n">
        <v>207.6284380908</v>
      </c>
      <c r="C1666" s="15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9" t="inlineStr">
        <is>
          <t>04/02/2010</t>
        </is>
      </c>
      <c r="B1667" s="8" t="n">
        <v>207.7435952944</v>
      </c>
      <c r="C1667" s="15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9" t="inlineStr">
        <is>
          <t>05/02/2010</t>
        </is>
      </c>
      <c r="B1668" s="8" t="n">
        <v>208.6648529232</v>
      </c>
      <c r="C1668" s="15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9" t="inlineStr">
        <is>
          <t>08/02/2010</t>
        </is>
      </c>
      <c r="B1669" s="8" t="n">
        <v>208.8375887286</v>
      </c>
      <c r="C1669" s="15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9" t="inlineStr">
        <is>
          <t>09/02/2010</t>
        </is>
      </c>
      <c r="B1670" s="8" t="n">
        <v>208.5784850205</v>
      </c>
      <c r="C1670" s="15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9" t="inlineStr">
        <is>
          <t>10/02/2010</t>
        </is>
      </c>
      <c r="B1671" s="8" t="n">
        <v>208.6648529232</v>
      </c>
      <c r="C1671" s="15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9" t="inlineStr">
        <is>
          <t>11/02/2010</t>
        </is>
      </c>
      <c r="B1672" s="8" t="n">
        <v>208.6360636223</v>
      </c>
      <c r="C1672" s="15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9" t="inlineStr">
        <is>
          <t>12/02/2010</t>
        </is>
      </c>
      <c r="B1673" s="8" t="n">
        <v>208.7800101268</v>
      </c>
      <c r="C1673" s="15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9" t="inlineStr">
        <is>
          <t>17/02/2010</t>
        </is>
      </c>
      <c r="B1674" s="8" t="n">
        <v>209.4133747466</v>
      </c>
      <c r="C1674" s="15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9" t="inlineStr">
        <is>
          <t>18/02/2010</t>
        </is>
      </c>
      <c r="B1675" s="8" t="n">
        <v>208.9527459322</v>
      </c>
      <c r="C1675" s="15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9" t="inlineStr">
        <is>
          <t>19/02/2010</t>
        </is>
      </c>
      <c r="B1676" s="8" t="n">
        <v>209.7300570565</v>
      </c>
      <c r="C1676" s="15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9" t="inlineStr">
        <is>
          <t>22/02/2010</t>
        </is>
      </c>
      <c r="B1677" s="8" t="n">
        <v>208.5209064187</v>
      </c>
      <c r="C1677" s="15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9" t="inlineStr">
        <is>
          <t>23/02/2010</t>
        </is>
      </c>
      <c r="B1678" s="8" t="n">
        <v>208.6072743214</v>
      </c>
      <c r="C1678" s="15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9" t="inlineStr">
        <is>
          <t>24/02/2010</t>
        </is>
      </c>
      <c r="B1679" s="8" t="n">
        <v>208.6648529232</v>
      </c>
      <c r="C1679" s="15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9" t="inlineStr">
        <is>
          <t>25/02/2010</t>
        </is>
      </c>
      <c r="B1680" s="8" t="n">
        <v>209.586110552</v>
      </c>
      <c r="C1680" s="15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9" t="inlineStr">
        <is>
          <t>26/02/2010</t>
        </is>
      </c>
      <c r="B1681" s="8" t="n">
        <v>209.3557961448</v>
      </c>
      <c r="C1681" s="15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9" t="inlineStr">
        <is>
          <t>01/03/2010</t>
        </is>
      </c>
      <c r="B1682" s="8" t="n">
        <v>207.1209660192</v>
      </c>
      <c r="C1682" s="15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9" t="inlineStr">
        <is>
          <t>02/03/2010</t>
        </is>
      </c>
      <c r="B1683" s="8" t="n">
        <v>206.7501903984</v>
      </c>
      <c r="C1683" s="15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9" t="inlineStr">
        <is>
          <t>03/03/2010</t>
        </is>
      </c>
      <c r="B1684" s="8" t="n">
        <v>206.2368087696</v>
      </c>
      <c r="C1684" s="15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9" t="inlineStr">
        <is>
          <t>04/03/2010</t>
        </is>
      </c>
      <c r="B1685" s="8" t="n">
        <v>205.1815243104</v>
      </c>
      <c r="C1685" s="15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9" t="inlineStr">
        <is>
          <t>05/03/2010</t>
        </is>
      </c>
      <c r="B1686" s="8" t="n">
        <v>204.5825790768</v>
      </c>
      <c r="C1686" s="15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9" t="inlineStr">
        <is>
          <t>08/03/2010</t>
        </is>
      </c>
      <c r="B1687" s="8" t="n">
        <v>202.8427857792</v>
      </c>
      <c r="C1687" s="15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9" t="inlineStr">
        <is>
          <t>09/03/2010</t>
        </is>
      </c>
      <c r="B1688" s="8" t="n">
        <v>201.8445437232</v>
      </c>
      <c r="C1688" s="15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9" t="inlineStr">
        <is>
          <t>10/03/2010</t>
        </is>
      </c>
      <c r="B1689" s="8" t="n">
        <v>198.3364359264</v>
      </c>
      <c r="C1689" s="15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9" t="inlineStr">
        <is>
          <t>11/03/2010</t>
        </is>
      </c>
      <c r="B1690" s="8" t="n">
        <v>199.6484112</v>
      </c>
      <c r="C1690" s="15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9" t="inlineStr">
        <is>
          <t>12/03/2010</t>
        </is>
      </c>
      <c r="B1691" s="8" t="n">
        <v>197.4807998784</v>
      </c>
      <c r="C1691" s="15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9" t="inlineStr">
        <is>
          <t>15/03/2010</t>
        </is>
      </c>
      <c r="B1692" s="8" t="n">
        <v>198.1653087168</v>
      </c>
      <c r="C1692" s="15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9" t="inlineStr">
        <is>
          <t>16/03/2010</t>
        </is>
      </c>
      <c r="B1693" s="8" t="n">
        <v>197.8515754992</v>
      </c>
      <c r="C1693" s="15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9" t="inlineStr">
        <is>
          <t>17/03/2010</t>
        </is>
      </c>
      <c r="B1694" s="8" t="n">
        <v>197.3952362736</v>
      </c>
      <c r="C1694" s="15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9" t="inlineStr">
        <is>
          <t>18/03/2010</t>
        </is>
      </c>
      <c r="B1695" s="8" t="n">
        <v>197.4522786768</v>
      </c>
      <c r="C1695" s="15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9" t="inlineStr">
        <is>
          <t>19/03/2010</t>
        </is>
      </c>
      <c r="B1696" s="8" t="n">
        <v>197.50932108</v>
      </c>
      <c r="C1696" s="15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9" t="inlineStr">
        <is>
          <t>22/03/2010</t>
        </is>
      </c>
      <c r="B1697" s="8" t="n">
        <v>195.7410065808</v>
      </c>
      <c r="C1697" s="15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9" t="inlineStr">
        <is>
          <t>23/03/2010</t>
        </is>
      </c>
      <c r="B1698" s="8" t="n">
        <v>194.1152980896</v>
      </c>
      <c r="C1698" s="15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9" t="inlineStr">
        <is>
          <t>24/03/2010</t>
        </is>
      </c>
      <c r="B1699" s="8" t="n">
        <v>194.514594912</v>
      </c>
      <c r="C1699" s="15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9" t="inlineStr">
        <is>
          <t>25/03/2010</t>
        </is>
      </c>
      <c r="B1700" s="8" t="n">
        <v>195.2561461536</v>
      </c>
      <c r="C1700" s="15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9" t="inlineStr">
        <is>
          <t>26/03/2010</t>
        </is>
      </c>
      <c r="B1701" s="8" t="n">
        <v>192.6892380096</v>
      </c>
      <c r="C1701" s="15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9" t="inlineStr">
        <is>
          <t>29/03/2010</t>
        </is>
      </c>
      <c r="B1702" s="8" t="n">
        <v>191.4913475424</v>
      </c>
      <c r="C1702" s="15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9" t="inlineStr">
        <is>
          <t>30/03/2010</t>
        </is>
      </c>
      <c r="B1703" s="8" t="n">
        <v>190.6927538976</v>
      </c>
      <c r="C1703" s="15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9" t="inlineStr">
        <is>
          <t>31/03/2010</t>
        </is>
      </c>
      <c r="B1704" s="8" t="n">
        <v>191.377262736</v>
      </c>
      <c r="C1704" s="15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9" t="inlineStr">
        <is>
          <t>01/04/2010</t>
        </is>
      </c>
      <c r="B1705" s="8" t="n">
        <v>190.1696476135</v>
      </c>
      <c r="C1705" s="15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9" t="inlineStr">
        <is>
          <t>05/04/2010</t>
        </is>
      </c>
      <c r="B1706" s="8" t="n">
        <v>188.669574489</v>
      </c>
      <c r="C1706" s="15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9" t="inlineStr">
        <is>
          <t>06/04/2010</t>
        </is>
      </c>
      <c r="B1707" s="8" t="n">
        <v>191.047048875</v>
      </c>
      <c r="C1707" s="15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9" t="inlineStr">
        <is>
          <t>07/04/2010</t>
        </is>
      </c>
      <c r="B1708" s="8" t="n">
        <v>190.820622743</v>
      </c>
      <c r="C1708" s="15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9" t="inlineStr">
        <is>
          <t>08/04/2010</t>
        </is>
      </c>
      <c r="B1709" s="8" t="n">
        <v>192.518818733</v>
      </c>
      <c r="C1709" s="15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9" t="inlineStr">
        <is>
          <t>09/04/2010</t>
        </is>
      </c>
      <c r="B1710" s="8" t="n">
        <v>191.5848109385</v>
      </c>
      <c r="C1710" s="15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9" t="inlineStr">
        <is>
          <t>12/04/2010</t>
        </is>
      </c>
      <c r="B1711" s="8" t="n">
        <v>190.6791064105</v>
      </c>
      <c r="C1711" s="15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9" t="inlineStr">
        <is>
          <t>13/04/2010</t>
        </is>
      </c>
      <c r="B1712" s="8" t="n">
        <v>190.3960737455</v>
      </c>
      <c r="C1712" s="15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9" t="inlineStr">
        <is>
          <t>14/04/2010</t>
        </is>
      </c>
      <c r="B1713" s="8" t="n">
        <v>189.4903692175</v>
      </c>
      <c r="C1713" s="15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9" t="inlineStr">
        <is>
          <t>15/04/2010</t>
        </is>
      </c>
      <c r="B1714" s="8" t="n">
        <v>187.5091405625</v>
      </c>
      <c r="C1714" s="15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9" t="inlineStr">
        <is>
          <t>16/04/2010</t>
        </is>
      </c>
      <c r="B1715" s="8" t="n">
        <v>186.971378499</v>
      </c>
      <c r="C1715" s="15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9" t="inlineStr">
        <is>
          <t>19/04/2010</t>
        </is>
      </c>
      <c r="B1716" s="8" t="n">
        <v>184.5656008465</v>
      </c>
      <c r="C1716" s="15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9" t="inlineStr">
        <is>
          <t>20/04/2010</t>
        </is>
      </c>
      <c r="B1717" s="8" t="n">
        <v>177.6029972875</v>
      </c>
      <c r="C1717" s="15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9" t="inlineStr">
        <is>
          <t>22/04/2010</t>
        </is>
      </c>
      <c r="B1718" s="8" t="n">
        <v>176.6972927595</v>
      </c>
      <c r="C1718" s="15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9" t="inlineStr">
        <is>
          <t>23/04/2010</t>
        </is>
      </c>
      <c r="B1719" s="8" t="n">
        <v>175.2255229015</v>
      </c>
      <c r="C1719" s="15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9" t="inlineStr">
        <is>
          <t>26/04/2010</t>
        </is>
      </c>
      <c r="B1720" s="8" t="n">
        <v>164.7533142965</v>
      </c>
      <c r="C1720" s="15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9" t="inlineStr">
        <is>
          <t>27/04/2010</t>
        </is>
      </c>
      <c r="B1721" s="8" t="n">
        <v>163.3947575045</v>
      </c>
      <c r="C1721" s="15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9" t="inlineStr">
        <is>
          <t>28/04/2010</t>
        </is>
      </c>
      <c r="B1722" s="8" t="n">
        <v>162.347536644</v>
      </c>
      <c r="C1722" s="15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9" t="inlineStr">
        <is>
          <t>29/04/2010</t>
        </is>
      </c>
      <c r="B1723" s="8" t="n">
        <v>155.8094820825</v>
      </c>
      <c r="C1723" s="15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9" t="inlineStr">
        <is>
          <t>30/04/2010</t>
        </is>
      </c>
      <c r="B1724" s="8" t="n">
        <v>153.2055815645</v>
      </c>
      <c r="C1724" s="15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9" t="inlineStr">
        <is>
          <t>03/05/2010</t>
        </is>
      </c>
      <c r="B1725" s="8" t="n">
        <v>146.5929633585</v>
      </c>
      <c r="C1725" s="15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9" t="inlineStr">
        <is>
          <t>04/05/2010</t>
        </is>
      </c>
      <c r="B1726" s="8" t="n">
        <v>143.823891927</v>
      </c>
      <c r="C1726" s="15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9" t="inlineStr">
        <is>
          <t>05/05/2010</t>
        </is>
      </c>
      <c r="B1727" s="8" t="n">
        <v>138.3696603195</v>
      </c>
      <c r="C1727" s="15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9" t="inlineStr">
        <is>
          <t>06/05/2010</t>
        </is>
      </c>
      <c r="B1728" s="8" t="n">
        <v>134.761476333</v>
      </c>
      <c r="C1728" s="15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9" t="inlineStr">
        <is>
          <t>07/05/2010</t>
        </is>
      </c>
      <c r="B1729" s="8" t="n">
        <v>132.5518132715</v>
      </c>
      <c r="C1729" s="15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9" t="inlineStr">
        <is>
          <t>10/05/2010</t>
        </is>
      </c>
      <c r="B1730" s="8" t="n">
        <v>128.8597180295</v>
      </c>
      <c r="C1730" s="15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9" t="inlineStr">
        <is>
          <t>11/05/2010</t>
        </is>
      </c>
      <c r="B1731" s="8" t="n">
        <v>121.4755275455</v>
      </c>
      <c r="C1731" s="15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9" t="inlineStr">
        <is>
          <t>12/05/2010</t>
        </is>
      </c>
      <c r="B1732" s="8" t="n">
        <v>120.4685924795</v>
      </c>
      <c r="C1732" s="15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9" t="inlineStr">
        <is>
          <t>13/05/2010</t>
        </is>
      </c>
      <c r="B1733" s="8" t="n">
        <v>118.9581898805</v>
      </c>
      <c r="C1733" s="15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9" t="inlineStr">
        <is>
          <t>14/05/2010</t>
        </is>
      </c>
      <c r="B1734" s="8" t="n">
        <v>118.2868998365</v>
      </c>
      <c r="C1734" s="15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9" t="inlineStr">
        <is>
          <t>17/05/2010</t>
        </is>
      </c>
      <c r="B1735" s="8" t="n">
        <v>116.6646155635</v>
      </c>
      <c r="C1735" s="15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9" t="inlineStr">
        <is>
          <t>18/05/2010</t>
        </is>
      </c>
      <c r="B1736" s="8" t="n">
        <v>115.79753259</v>
      </c>
      <c r="C1736" s="15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9" t="inlineStr">
        <is>
          <t>19/05/2010</t>
        </is>
      </c>
      <c r="B1737" s="8" t="n">
        <v>114.1472778985</v>
      </c>
      <c r="C1737" s="15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9" t="inlineStr">
        <is>
          <t>20/05/2010</t>
        </is>
      </c>
      <c r="B1738" s="8" t="n">
        <v>113.727721621</v>
      </c>
      <c r="C1738" s="15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9" t="inlineStr">
        <is>
          <t>21/05/2010</t>
        </is>
      </c>
      <c r="B1739" s="8" t="n">
        <v>113.839603295</v>
      </c>
      <c r="C1739" s="15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9" t="inlineStr">
        <is>
          <t>24/05/2010</t>
        </is>
      </c>
      <c r="B1740" s="8" t="n">
        <v>114.790597524</v>
      </c>
      <c r="C1740" s="15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9" t="inlineStr">
        <is>
          <t>25/05/2010</t>
        </is>
      </c>
      <c r="B1741" s="8" t="n">
        <v>115.3779763125</v>
      </c>
      <c r="C1741" s="15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9" t="inlineStr">
        <is>
          <t>26/05/2010</t>
        </is>
      </c>
      <c r="B1742" s="8" t="n">
        <v>115.517828405</v>
      </c>
      <c r="C1742" s="15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9" t="inlineStr">
        <is>
          <t>27/05/2010</t>
        </is>
      </c>
      <c r="B1743" s="8" t="n">
        <v>115.3220354755</v>
      </c>
      <c r="C1743" s="15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9" t="inlineStr">
        <is>
          <t>28/05/2010</t>
        </is>
      </c>
      <c r="B1744" s="8" t="n">
        <v>115.79753259</v>
      </c>
      <c r="C1744" s="15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9" t="inlineStr">
        <is>
          <t>31/05/2010</t>
        </is>
      </c>
      <c r="B1745" s="8" t="n">
        <v>115.3779763125</v>
      </c>
      <c r="C1745" s="15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9" t="inlineStr">
        <is>
          <t>01/06/2010</t>
        </is>
      </c>
      <c r="B1746" s="8" t="n">
        <v>113.4902851896</v>
      </c>
      <c r="C1746" s="15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9" t="inlineStr">
        <is>
          <t>02/06/2010</t>
        </is>
      </c>
      <c r="B1747" s="8" t="n">
        <v>112.6305103018</v>
      </c>
      <c r="C1747" s="15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9" t="inlineStr">
        <is>
          <t>04/06/2010</t>
        </is>
      </c>
      <c r="B1748" s="8" t="n">
        <v>111.8262047616</v>
      </c>
      <c r="C1748" s="15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9" t="inlineStr">
        <is>
          <t>07/06/2010</t>
        </is>
      </c>
      <c r="B1749" s="8" t="n">
        <v>112.3531635638</v>
      </c>
      <c r="C1749" s="15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9" t="inlineStr">
        <is>
          <t>08/06/2010</t>
        </is>
      </c>
      <c r="B1750" s="8" t="n">
        <v>113.157469104</v>
      </c>
      <c r="C1750" s="15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9" t="inlineStr">
        <is>
          <t>09/06/2010</t>
        </is>
      </c>
      <c r="B1751" s="8" t="n">
        <v>112.3531635638</v>
      </c>
      <c r="C1751" s="15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9" t="inlineStr">
        <is>
          <t>10/06/2010</t>
        </is>
      </c>
      <c r="B1752" s="8" t="n">
        <v>112.8246530184</v>
      </c>
      <c r="C1752" s="15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9" t="inlineStr">
        <is>
          <t>11/06/2010</t>
        </is>
      </c>
      <c r="B1753" s="8" t="n">
        <v>112.1312861734</v>
      </c>
      <c r="C1753" s="15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9" t="inlineStr">
        <is>
          <t>14/06/2010</t>
        </is>
      </c>
      <c r="B1754" s="8" t="n">
        <v>110.9386952</v>
      </c>
      <c r="C1754" s="15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9" t="inlineStr">
        <is>
          <t>15/06/2010</t>
        </is>
      </c>
      <c r="B1755" s="8" t="n">
        <v>111.5211233498</v>
      </c>
      <c r="C1755" s="15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9" t="inlineStr">
        <is>
          <t>16/06/2010</t>
        </is>
      </c>
      <c r="B1756" s="8" t="n">
        <v>112.0758168258</v>
      </c>
      <c r="C1756" s="15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9" t="inlineStr">
        <is>
          <t>17/06/2010</t>
        </is>
      </c>
      <c r="B1757" s="8" t="n">
        <v>112.0758168258</v>
      </c>
      <c r="C1757" s="15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9" t="inlineStr">
        <is>
          <t>18/06/2010</t>
        </is>
      </c>
      <c r="B1758" s="8" t="n">
        <v>111.8539394354</v>
      </c>
      <c r="C1758" s="15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9" t="inlineStr">
        <is>
          <t>21/06/2010</t>
        </is>
      </c>
      <c r="B1759" s="8" t="n">
        <v>111.7430007402</v>
      </c>
      <c r="C1759" s="15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9" t="inlineStr">
        <is>
          <t>22/06/2010</t>
        </is>
      </c>
      <c r="B1760" s="8" t="n">
        <v>111.6875313926</v>
      </c>
      <c r="C1760" s="15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9" t="inlineStr">
        <is>
          <t>23/06/2010</t>
        </is>
      </c>
      <c r="B1761" s="8" t="n">
        <v>111.770735414</v>
      </c>
      <c r="C1761" s="15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9" t="inlineStr">
        <is>
          <t>24/06/2010</t>
        </is>
      </c>
      <c r="B1762" s="8" t="n">
        <v>112.0758168258</v>
      </c>
      <c r="C1762" s="15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9" t="inlineStr">
        <is>
          <t>25/06/2010</t>
        </is>
      </c>
      <c r="B1763" s="8" t="n">
        <v>111.8816741092</v>
      </c>
      <c r="C1763" s="15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9" t="inlineStr">
        <is>
          <t>28/06/2010</t>
        </is>
      </c>
      <c r="B1764" s="8" t="n">
        <v>112.2699595424</v>
      </c>
      <c r="C1764" s="15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9" t="inlineStr">
        <is>
          <t>29/06/2010</t>
        </is>
      </c>
      <c r="B1765" s="8" t="n">
        <v>111.1328379166</v>
      </c>
      <c r="C1765" s="15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9" t="inlineStr">
        <is>
          <t>30/06/2010</t>
        </is>
      </c>
      <c r="B1766" s="8" t="n">
        <v>111.5211233498</v>
      </c>
      <c r="C1766" s="15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9" t="inlineStr">
        <is>
          <t>01/07/2010</t>
        </is>
      </c>
      <c r="B1767" s="8" t="n">
        <v>111.2987059479</v>
      </c>
      <c r="C1767" s="15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9" t="inlineStr">
        <is>
          <t>02/07/2010</t>
        </is>
      </c>
      <c r="B1768" s="8" t="n">
        <v>111.4371716184</v>
      </c>
      <c r="C1768" s="15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9" t="inlineStr">
        <is>
          <t>05/07/2010</t>
        </is>
      </c>
      <c r="B1769" s="8" t="n">
        <v>111.7141029594</v>
      </c>
      <c r="C1769" s="15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9" t="inlineStr">
        <is>
          <t>06/07/2010</t>
        </is>
      </c>
      <c r="B1770" s="8" t="n">
        <v>110.7448432659</v>
      </c>
      <c r="C1770" s="15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9" t="inlineStr">
        <is>
          <t>07/07/2010</t>
        </is>
      </c>
      <c r="B1771" s="8" t="n">
        <v>111.603330423</v>
      </c>
      <c r="C1771" s="15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9" t="inlineStr">
        <is>
          <t>08/07/2010</t>
        </is>
      </c>
      <c r="B1772" s="8" t="n">
        <v>111.1602402774</v>
      </c>
      <c r="C1772" s="15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9" t="inlineStr">
        <is>
          <t>12/07/2010</t>
        </is>
      </c>
      <c r="B1773" s="8" t="n">
        <v>111.3817853502</v>
      </c>
      <c r="C1773" s="15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9" t="inlineStr">
        <is>
          <t>13/07/2010</t>
        </is>
      </c>
      <c r="B1774" s="8" t="n">
        <v>111.3817853502</v>
      </c>
      <c r="C1774" s="15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9" t="inlineStr">
        <is>
          <t>14/07/2010</t>
        </is>
      </c>
      <c r="B1775" s="8" t="n">
        <v>111.6864098253</v>
      </c>
      <c r="C1775" s="15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9" t="inlineStr">
        <is>
          <t>15/07/2010</t>
        </is>
      </c>
      <c r="B1776" s="8" t="n">
        <v>112.1294999709</v>
      </c>
      <c r="C1776" s="15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9" t="inlineStr">
        <is>
          <t>16/07/2010</t>
        </is>
      </c>
      <c r="B1777" s="8" t="n">
        <v>112.5725901165</v>
      </c>
      <c r="C1777" s="15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9" t="inlineStr">
        <is>
          <t>19/07/2010</t>
        </is>
      </c>
      <c r="B1778" s="8" t="n">
        <v>113.264918469</v>
      </c>
      <c r="C1778" s="15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9" t="inlineStr">
        <is>
          <t>20/07/2010</t>
        </is>
      </c>
      <c r="B1779" s="8" t="n">
        <v>113.6803154805</v>
      </c>
      <c r="C1779" s="15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9" t="inlineStr">
        <is>
          <t>21/07/2010</t>
        </is>
      </c>
      <c r="B1780" s="8" t="n">
        <v>113.8464742851</v>
      </c>
      <c r="C1780" s="15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9" t="inlineStr">
        <is>
          <t>22/07/2010</t>
        </is>
      </c>
      <c r="B1781" s="8" t="n">
        <v>114.1234056261</v>
      </c>
      <c r="C1781" s="15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9" t="inlineStr">
        <is>
          <t>23/07/2010</t>
        </is>
      </c>
      <c r="B1782" s="8" t="n">
        <v>113.9018605533</v>
      </c>
      <c r="C1782" s="15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9" t="inlineStr">
        <is>
          <t>26/07/2010</t>
        </is>
      </c>
      <c r="B1783" s="8" t="n">
        <v>113.9295536874</v>
      </c>
      <c r="C1783" s="15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9" t="inlineStr">
        <is>
          <t>27/07/2010</t>
        </is>
      </c>
      <c r="B1784" s="8" t="n">
        <v>115.0649721855</v>
      </c>
      <c r="C1784" s="15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9" t="inlineStr">
        <is>
          <t>28/07/2010</t>
        </is>
      </c>
      <c r="B1785" s="8" t="n">
        <v>116.5050151587</v>
      </c>
      <c r="C1785" s="15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9" t="inlineStr">
        <is>
          <t>30/07/2010</t>
        </is>
      </c>
      <c r="B1786" s="8" t="n">
        <v>119.3851011051</v>
      </c>
      <c r="C1786" s="15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9" t="inlineStr">
        <is>
          <t>02/08/2010</t>
        </is>
      </c>
      <c r="B1787" s="8" t="n">
        <v>118.1430815637</v>
      </c>
      <c r="C1787" s="15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9" t="inlineStr">
        <is>
          <t>03/08/2010</t>
        </is>
      </c>
      <c r="B1788" s="8" t="n">
        <v>119.4347132998</v>
      </c>
      <c r="C1788" s="15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9" t="inlineStr">
        <is>
          <t>04/08/2010</t>
        </is>
      </c>
      <c r="B1789" s="8" t="n">
        <v>122.1828659298</v>
      </c>
      <c r="C1789" s="15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9" t="inlineStr">
        <is>
          <t>05/08/2010</t>
        </is>
      </c>
      <c r="B1790" s="8" t="n">
        <v>122.292792035</v>
      </c>
      <c r="C1790" s="15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9" t="inlineStr">
        <is>
          <t>06/08/2010</t>
        </is>
      </c>
      <c r="B1791" s="8" t="n">
        <v>122.5126442454</v>
      </c>
      <c r="C1791" s="15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9" t="inlineStr">
        <is>
          <t>09/08/2010</t>
        </is>
      </c>
      <c r="B1792" s="8" t="n">
        <v>122.4027181402</v>
      </c>
      <c r="C1792" s="15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9" t="inlineStr">
        <is>
          <t>10/08/2010</t>
        </is>
      </c>
      <c r="B1793" s="8" t="n">
        <v>122.9798301925</v>
      </c>
      <c r="C1793" s="15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9" t="inlineStr">
        <is>
          <t>11/08/2010</t>
        </is>
      </c>
      <c r="B1794" s="8" t="n">
        <v>123.1447193503</v>
      </c>
      <c r="C1794" s="15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9" t="inlineStr">
        <is>
          <t>12/08/2010</t>
        </is>
      </c>
      <c r="B1795" s="8" t="n">
        <v>125.0959077176</v>
      </c>
      <c r="C1795" s="15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9" t="inlineStr">
        <is>
          <t>13/08/2010</t>
        </is>
      </c>
      <c r="B1796" s="8" t="n">
        <v>125.7005012962</v>
      </c>
      <c r="C1796" s="15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9" t="inlineStr">
        <is>
          <t>16/08/2010</t>
        </is>
      </c>
      <c r="B1797" s="8" t="n">
        <v>128.5860615577</v>
      </c>
      <c r="C1797" s="15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9" t="inlineStr">
        <is>
          <t>17/08/2010</t>
        </is>
      </c>
      <c r="B1798" s="8" t="n">
        <v>129.2730997152</v>
      </c>
      <c r="C1798" s="15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9" t="inlineStr">
        <is>
          <t>18/08/2010</t>
        </is>
      </c>
      <c r="B1799" s="8" t="n">
        <v>129.5204334519</v>
      </c>
      <c r="C1799" s="15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9" t="inlineStr">
        <is>
          <t>19/08/2010</t>
        </is>
      </c>
      <c r="B1800" s="8" t="n">
        <v>130.7571021354</v>
      </c>
      <c r="C1800" s="15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9" t="inlineStr">
        <is>
          <t>20/08/2010</t>
        </is>
      </c>
      <c r="B1801" s="8" t="n">
        <v>131.2792511351</v>
      </c>
      <c r="C1801" s="15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9" t="inlineStr">
        <is>
          <t>24/08/2010</t>
        </is>
      </c>
      <c r="B1802" s="8" t="n">
        <v>131.8288816611</v>
      </c>
      <c r="C1802" s="15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9" t="inlineStr">
        <is>
          <t>26/08/2010</t>
        </is>
      </c>
      <c r="B1803" s="8" t="n">
        <v>133.5052547654</v>
      </c>
      <c r="C1803" s="15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9" t="inlineStr">
        <is>
          <t>27/08/2010</t>
        </is>
      </c>
      <c r="B1804" s="8" t="n">
        <v>133.285402555</v>
      </c>
      <c r="C1804" s="15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9" t="inlineStr">
        <is>
          <t>30/08/2010</t>
        </is>
      </c>
      <c r="B1805" s="8" t="n">
        <v>134.0548852914</v>
      </c>
      <c r="C1805" s="15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9" t="inlineStr">
        <is>
          <t>31/08/2010</t>
        </is>
      </c>
      <c r="B1806" s="8" t="n">
        <v>135.758739922</v>
      </c>
      <c r="C1806" s="15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9" t="inlineStr">
        <is>
          <t>01/09/2010</t>
        </is>
      </c>
      <c r="B1807" s="8" t="n">
        <v>135.2476896982</v>
      </c>
      <c r="C1807" s="15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9" t="inlineStr">
        <is>
          <t>02/09/2010</t>
        </is>
      </c>
      <c r="B1808" s="8" t="n">
        <v>135.9812549095</v>
      </c>
      <c r="C1808" s="15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9" t="inlineStr">
        <is>
          <t>03/09/2010</t>
        </is>
      </c>
      <c r="B1809" s="8" t="n">
        <v>137.3125399226</v>
      </c>
      <c r="C1809" s="15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9" t="inlineStr">
        <is>
          <t>06/09/2010</t>
        </is>
      </c>
      <c r="B1810" s="8" t="n">
        <v>137.9374288063</v>
      </c>
      <c r="C1810" s="15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9" t="inlineStr">
        <is>
          <t>08/09/2010</t>
        </is>
      </c>
      <c r="B1811" s="8" t="n">
        <v>138.834008509</v>
      </c>
      <c r="C1811" s="15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9" t="inlineStr">
        <is>
          <t>09/09/2010</t>
        </is>
      </c>
      <c r="B1812" s="8" t="n">
        <v>139.8120954574</v>
      </c>
      <c r="C1812" s="15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9" t="inlineStr">
        <is>
          <t>10/09/2010</t>
        </is>
      </c>
      <c r="B1813" s="8" t="n">
        <v>141.0618732248</v>
      </c>
      <c r="C1813" s="15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9" t="inlineStr">
        <is>
          <t>13/09/2010</t>
        </is>
      </c>
      <c r="B1814" s="8" t="n">
        <v>143.5614287596</v>
      </c>
      <c r="C1814" s="15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9" t="inlineStr">
        <is>
          <t>14/09/2010</t>
        </is>
      </c>
      <c r="B1815" s="8" t="n">
        <v>149.3484432043</v>
      </c>
      <c r="C1815" s="15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9" t="inlineStr">
        <is>
          <t>15/09/2010</t>
        </is>
      </c>
      <c r="B1816" s="8" t="n">
        <v>151.3589552649</v>
      </c>
      <c r="C1816" s="15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9" t="inlineStr">
        <is>
          <t>16/09/2010</t>
        </is>
      </c>
      <c r="B1817" s="8" t="n">
        <v>153.9671871273</v>
      </c>
      <c r="C1817" s="15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9" t="inlineStr">
        <is>
          <t>17/09/2010</t>
        </is>
      </c>
      <c r="B1818" s="8" t="n">
        <v>156.6840953173</v>
      </c>
      <c r="C1818" s="15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9" t="inlineStr">
        <is>
          <t>20/09/2010</t>
        </is>
      </c>
      <c r="B1819" s="8" t="n">
        <v>159.2379890159</v>
      </c>
      <c r="C1819" s="15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9" t="inlineStr">
        <is>
          <t>21/09/2010</t>
        </is>
      </c>
      <c r="B1820" s="8" t="n">
        <v>160.8681339299</v>
      </c>
      <c r="C1820" s="15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9" t="inlineStr">
        <is>
          <t>22/09/2010</t>
        </is>
      </c>
      <c r="B1821" s="8" t="n">
        <v>164.2371000855</v>
      </c>
      <c r="C1821" s="15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9" t="inlineStr">
        <is>
          <t>23/09/2010</t>
        </is>
      </c>
      <c r="B1822" s="8" t="n">
        <v>166.9268391936</v>
      </c>
      <c r="C1822" s="15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9" t="inlineStr">
        <is>
          <t>24/09/2010</t>
        </is>
      </c>
      <c r="B1823" s="8" t="n">
        <v>168.9645203361</v>
      </c>
      <c r="C1823" s="15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9" t="inlineStr">
        <is>
          <t>27/09/2010</t>
        </is>
      </c>
      <c r="B1824" s="8" t="n">
        <v>171.7629357718</v>
      </c>
      <c r="C1824" s="15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9" t="inlineStr">
        <is>
          <t>28/09/2010</t>
        </is>
      </c>
      <c r="B1825" s="8" t="n">
        <v>175.1047328455</v>
      </c>
      <c r="C1825" s="15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9" t="inlineStr">
        <is>
          <t>29/09/2010</t>
        </is>
      </c>
      <c r="B1826" s="8" t="n">
        <v>178.500868083</v>
      </c>
      <c r="C1826" s="15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9" t="inlineStr">
        <is>
          <t>30/09/2010</t>
        </is>
      </c>
      <c r="B1827" s="8" t="n">
        <v>180.1581820789</v>
      </c>
      <c r="C1827" s="15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9" t="inlineStr">
        <is>
          <t>01/10/2010</t>
        </is>
      </c>
      <c r="B1828" s="8" t="n">
        <v>180.992725722</v>
      </c>
      <c r="C1828" s="15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9" t="inlineStr">
        <is>
          <t>04/10/2010</t>
        </is>
      </c>
      <c r="B1829" s="8" t="n">
        <v>182.149314696</v>
      </c>
      <c r="C1829" s="15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9" t="inlineStr">
        <is>
          <t>05/10/2010</t>
        </is>
      </c>
      <c r="B1830" s="8" t="n">
        <v>184.059031374</v>
      </c>
      <c r="C1830" s="15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9" t="inlineStr">
        <is>
          <t>06/10/2010</t>
        </is>
      </c>
      <c r="B1831" s="8" t="n">
        <v>186.39910674</v>
      </c>
      <c r="C1831" s="15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9" t="inlineStr">
        <is>
          <t>07/10/2010</t>
        </is>
      </c>
      <c r="B1832" s="8" t="n">
        <v>188.873669196</v>
      </c>
      <c r="C1832" s="15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9" t="inlineStr">
        <is>
          <t>08/10/2010</t>
        </is>
      </c>
      <c r="B1833" s="8" t="n">
        <v>192.101359356</v>
      </c>
      <c r="C1833" s="15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9" t="inlineStr">
        <is>
          <t>11/10/2010</t>
        </is>
      </c>
      <c r="B1834" s="8" t="n">
        <v>191.993769684</v>
      </c>
      <c r="C1834" s="15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9" t="inlineStr">
        <is>
          <t>13/10/2010</t>
        </is>
      </c>
      <c r="B1835" s="8" t="n">
        <v>192.3165387</v>
      </c>
      <c r="C1835" s="15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9" t="inlineStr">
        <is>
          <t>14/10/2010</t>
        </is>
      </c>
      <c r="B1836" s="8" t="n">
        <v>192.58551288</v>
      </c>
      <c r="C1836" s="15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9" t="inlineStr">
        <is>
          <t>15/10/2010</t>
        </is>
      </c>
      <c r="B1837" s="8" t="n">
        <v>193.500025092</v>
      </c>
      <c r="C1837" s="15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9" t="inlineStr">
        <is>
          <t>18/10/2010</t>
        </is>
      </c>
      <c r="B1838" s="8" t="n">
        <v>194.522126976</v>
      </c>
      <c r="C1838" s="15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9" t="inlineStr">
        <is>
          <t>19/10/2010</t>
        </is>
      </c>
      <c r="B1839" s="8" t="n">
        <v>194.60281923</v>
      </c>
      <c r="C1839" s="15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9" t="inlineStr">
        <is>
          <t>20/10/2010</t>
        </is>
      </c>
      <c r="B1840" s="8" t="n">
        <v>194.952485664</v>
      </c>
      <c r="C1840" s="15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9" t="inlineStr">
        <is>
          <t>21/10/2010</t>
        </is>
      </c>
      <c r="B1841" s="8" t="n">
        <v>195.40974177</v>
      </c>
      <c r="C1841" s="15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9" t="inlineStr">
        <is>
          <t>22/10/2010</t>
        </is>
      </c>
      <c r="B1842" s="8" t="n">
        <v>196.996689432</v>
      </c>
      <c r="C1842" s="15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9" t="inlineStr">
        <is>
          <t>25/10/2010</t>
        </is>
      </c>
      <c r="B1843" s="8" t="n">
        <v>197.991893898</v>
      </c>
      <c r="C1843" s="15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9" t="inlineStr">
        <is>
          <t>26/10/2010</t>
        </is>
      </c>
      <c r="B1844" s="8" t="n">
        <v>197.884304226</v>
      </c>
      <c r="C1844" s="15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9" t="inlineStr">
        <is>
          <t>27/10/2010</t>
        </is>
      </c>
      <c r="B1845" s="8" t="n">
        <v>198.287765496</v>
      </c>
      <c r="C1845" s="15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9" t="inlineStr">
        <is>
          <t>28/10/2010</t>
        </is>
      </c>
      <c r="B1846" s="8" t="n">
        <v>200.143687338</v>
      </c>
      <c r="C1846" s="15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9" t="inlineStr">
        <is>
          <t>29/10/2010</t>
        </is>
      </c>
      <c r="B1847" s="8" t="n">
        <v>200.331969264</v>
      </c>
      <c r="C1847" s="15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9" t="inlineStr">
        <is>
          <t>01/11/2010</t>
        </is>
      </c>
      <c r="B1848" s="8" t="n">
        <v>197.6807766432</v>
      </c>
      <c r="C1848" s="15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9" t="inlineStr">
        <is>
          <t>03/11/2010</t>
        </is>
      </c>
      <c r="B1849" s="8" t="n">
        <v>197.786828562</v>
      </c>
      <c r="C1849" s="15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9" t="inlineStr">
        <is>
          <t>04/11/2010</t>
        </is>
      </c>
      <c r="B1850" s="8" t="n">
        <v>196.7528223537</v>
      </c>
      <c r="C1850" s="15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9" t="inlineStr">
        <is>
          <t>05/11/2010</t>
        </is>
      </c>
      <c r="B1851" s="8" t="n">
        <v>198.2110362372</v>
      </c>
      <c r="C1851" s="15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9" t="inlineStr">
        <is>
          <t>08/11/2010</t>
        </is>
      </c>
      <c r="B1852" s="8" t="n">
        <v>201.2600289027</v>
      </c>
      <c r="C1852" s="15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9" t="inlineStr">
        <is>
          <t>09/11/2010</t>
        </is>
      </c>
      <c r="B1853" s="8" t="n">
        <v>198.9003737094</v>
      </c>
      <c r="C1853" s="15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9" t="inlineStr">
        <is>
          <t>10/11/2010</t>
        </is>
      </c>
      <c r="B1854" s="8" t="n">
        <v>200.968386126</v>
      </c>
      <c r="C1854" s="15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9" t="inlineStr">
        <is>
          <t>11/11/2010</t>
        </is>
      </c>
      <c r="B1855" s="8" t="n">
        <v>201.8698274358</v>
      </c>
      <c r="C1855" s="15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9" t="inlineStr">
        <is>
          <t>12/11/2010</t>
        </is>
      </c>
      <c r="B1856" s="8" t="n">
        <v>198.9533996688</v>
      </c>
      <c r="C1856" s="15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9" t="inlineStr">
        <is>
          <t>16/11/2010</t>
        </is>
      </c>
      <c r="B1857" s="8" t="n">
        <v>198.9268866891</v>
      </c>
      <c r="C1857" s="15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9" t="inlineStr">
        <is>
          <t>17/11/2010</t>
        </is>
      </c>
      <c r="B1858" s="8" t="n">
        <v>199.1655035064</v>
      </c>
      <c r="C1858" s="15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9" t="inlineStr">
        <is>
          <t>18/11/2010</t>
        </is>
      </c>
      <c r="B1859" s="8" t="n">
        <v>200.2790486538</v>
      </c>
      <c r="C1859" s="15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9" t="inlineStr">
        <is>
          <t>19/11/2010</t>
        </is>
      </c>
      <c r="B1860" s="8" t="n">
        <v>198.317088156</v>
      </c>
      <c r="C1860" s="15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9" t="inlineStr">
        <is>
          <t>22/11/2010</t>
        </is>
      </c>
      <c r="B1861" s="8" t="n">
        <v>197.8398545214</v>
      </c>
      <c r="C1861" s="15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9" t="inlineStr">
        <is>
          <t>23/11/2010</t>
        </is>
      </c>
      <c r="B1862" s="8" t="n">
        <v>198.5557049733</v>
      </c>
      <c r="C1862" s="15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9" t="inlineStr">
        <is>
          <t>24/11/2010</t>
        </is>
      </c>
      <c r="B1863" s="8" t="n">
        <v>200.0404318365</v>
      </c>
      <c r="C1863" s="15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9" t="inlineStr">
        <is>
          <t>25/11/2010</t>
        </is>
      </c>
      <c r="B1864" s="8" t="n">
        <v>201.6046976388</v>
      </c>
      <c r="C1864" s="15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9" t="inlineStr">
        <is>
          <t>26/11/2010</t>
        </is>
      </c>
      <c r="B1865" s="8" t="n">
        <v>201.7902884967</v>
      </c>
      <c r="C1865" s="15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9" t="inlineStr">
        <is>
          <t>29/11/2010</t>
        </is>
      </c>
      <c r="B1866" s="8" t="n">
        <v>200.2260226944</v>
      </c>
      <c r="C1866" s="15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9" t="inlineStr">
        <is>
          <t>30/11/2010</t>
        </is>
      </c>
      <c r="B1867" s="8" t="n">
        <v>200.3320746132</v>
      </c>
      <c r="C1867" s="15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9" t="inlineStr">
        <is>
          <t>01/12/2010</t>
        </is>
      </c>
      <c r="B1868" s="8" t="n">
        <v>199.0909124218</v>
      </c>
      <c r="C1868" s="15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9" t="inlineStr">
        <is>
          <t>02/12/2010</t>
        </is>
      </c>
      <c r="B1869" s="8" t="n">
        <v>196.9844089178</v>
      </c>
      <c r="C1869" s="15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9" t="inlineStr">
        <is>
          <t>03/12/2010</t>
        </is>
      </c>
      <c r="B1870" s="8" t="n">
        <v>198.7749368962</v>
      </c>
      <c r="C1870" s="15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9" t="inlineStr">
        <is>
          <t>06/12/2010</t>
        </is>
      </c>
      <c r="B1871" s="8" t="n">
        <v>199.6965321792</v>
      </c>
      <c r="C1871" s="15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9" t="inlineStr">
        <is>
          <t>07/12/2010</t>
        </is>
      </c>
      <c r="B1872" s="8" t="n">
        <v>200.4338084056</v>
      </c>
      <c r="C1872" s="15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9" t="inlineStr">
        <is>
          <t>08/12/2010</t>
        </is>
      </c>
      <c r="B1873" s="8" t="n">
        <v>197.8270103194</v>
      </c>
      <c r="C1873" s="15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9" t="inlineStr">
        <is>
          <t>10/12/2010</t>
        </is>
      </c>
      <c r="B1874" s="8" t="n">
        <v>197.1687279744</v>
      </c>
      <c r="C1874" s="15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9" t="inlineStr">
        <is>
          <t>13/12/2010</t>
        </is>
      </c>
      <c r="B1875" s="8" t="n">
        <v>196.5104456294</v>
      </c>
      <c r="C1875" s="15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9" t="inlineStr">
        <is>
          <t>14/12/2010</t>
        </is>
      </c>
      <c r="B1876" s="8" t="n">
        <v>197.2477218558</v>
      </c>
      <c r="C1876" s="15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9" t="inlineStr">
        <is>
          <t>15/12/2010</t>
        </is>
      </c>
      <c r="B1877" s="8" t="n">
        <v>197.6426912628</v>
      </c>
      <c r="C1877" s="15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9" t="inlineStr">
        <is>
          <t>16/12/2010</t>
        </is>
      </c>
      <c r="B1878" s="8" t="n">
        <v>196.694764686</v>
      </c>
      <c r="C1878" s="15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9" t="inlineStr">
        <is>
          <t>17/12/2010</t>
        </is>
      </c>
      <c r="B1879" s="8" t="n">
        <v>198.142985845</v>
      </c>
      <c r="C1879" s="15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9" t="inlineStr">
        <is>
          <t>20/12/2010</t>
        </is>
      </c>
      <c r="B1880" s="8" t="n">
        <v>199.064581128</v>
      </c>
      <c r="C1880" s="15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9" t="inlineStr">
        <is>
          <t>21/12/2010</t>
        </is>
      </c>
      <c r="B1881" s="8" t="n">
        <v>199.0382498342</v>
      </c>
      <c r="C1881" s="15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9" t="inlineStr">
        <is>
          <t>22/12/2010</t>
        </is>
      </c>
      <c r="B1882" s="8" t="n">
        <v>200.644458756</v>
      </c>
      <c r="C1882" s="15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9" t="inlineStr">
        <is>
          <t>23/12/2010</t>
        </is>
      </c>
      <c r="B1883" s="8" t="n">
        <v>199.6965321792</v>
      </c>
      <c r="C1883" s="15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9" t="inlineStr">
        <is>
          <t>27/12/2010</t>
        </is>
      </c>
      <c r="B1884" s="8" t="n">
        <v>200.0125077048</v>
      </c>
      <c r="C1884" s="15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9" t="inlineStr">
        <is>
          <t>28/12/2010</t>
        </is>
      </c>
      <c r="B1885" s="8" t="n">
        <v>200.6971213436</v>
      </c>
      <c r="C1885" s="15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9" t="inlineStr">
        <is>
          <t>29/12/2010</t>
        </is>
      </c>
      <c r="B1886" s="8" t="n">
        <v>201.171084632</v>
      </c>
      <c r="C1886" s="15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9" t="inlineStr">
        <is>
          <t>30/12/2010</t>
        </is>
      </c>
      <c r="B1887" s="8" t="n">
        <v>200.9604342816</v>
      </c>
      <c r="C1887" s="15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9" t="inlineStr">
        <is>
          <t>03/01/2011</t>
        </is>
      </c>
      <c r="B1888" s="8" t="n">
        <v>199.6465400582</v>
      </c>
      <c r="C1888" s="15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9" t="inlineStr">
        <is>
          <t>04/01/2011</t>
        </is>
      </c>
      <c r="B1889" s="8" t="n">
        <v>199.0456671949</v>
      </c>
      <c r="C1889" s="15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9" t="inlineStr">
        <is>
          <t>05/01/2011</t>
        </is>
      </c>
      <c r="B1890" s="8" t="n">
        <v>199.333041173</v>
      </c>
      <c r="C1890" s="15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9" t="inlineStr">
        <is>
          <t>06/01/2011</t>
        </is>
      </c>
      <c r="B1891" s="8" t="n">
        <v>198.0006709109</v>
      </c>
      <c r="C1891" s="15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9" t="inlineStr">
        <is>
          <t>10/01/2011</t>
        </is>
      </c>
      <c r="B1892" s="8" t="n">
        <v>199.1501668233</v>
      </c>
      <c r="C1892" s="15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9" t="inlineStr">
        <is>
          <t>11/01/2011</t>
        </is>
      </c>
      <c r="B1893" s="8" t="n">
        <v>198.5754188671</v>
      </c>
      <c r="C1893" s="15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9" t="inlineStr">
        <is>
          <t>12/01/2011</t>
        </is>
      </c>
      <c r="B1894" s="8" t="n">
        <v>199.7249147795</v>
      </c>
      <c r="C1894" s="15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9" t="inlineStr">
        <is>
          <t>13/01/2011</t>
        </is>
      </c>
      <c r="B1895" s="8" t="n">
        <v>199.8294144079</v>
      </c>
      <c r="C1895" s="15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9" t="inlineStr">
        <is>
          <t>17/01/2011</t>
        </is>
      </c>
      <c r="B1896" s="8" t="n">
        <v>198.8366679381</v>
      </c>
      <c r="C1896" s="15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9" t="inlineStr">
        <is>
          <t>18/01/2011</t>
        </is>
      </c>
      <c r="B1897" s="8" t="n">
        <v>199.4375408014</v>
      </c>
      <c r="C1897" s="15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9" t="inlineStr">
        <is>
          <t>19/01/2011</t>
        </is>
      </c>
      <c r="B1898" s="8" t="n">
        <v>199.9600389434</v>
      </c>
      <c r="C1898" s="15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9" t="inlineStr">
        <is>
          <t>20/01/2011</t>
        </is>
      </c>
      <c r="B1899" s="8" t="n">
        <v>201.1095348558</v>
      </c>
      <c r="C1899" s="15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9" t="inlineStr">
        <is>
          <t>24/01/2011</t>
        </is>
      </c>
      <c r="B1900" s="8" t="n">
        <v>199.855539315</v>
      </c>
      <c r="C1900" s="15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9" t="inlineStr">
        <is>
          <t>25/01/2011</t>
        </is>
      </c>
      <c r="B1901" s="8" t="n">
        <v>198.6799184955</v>
      </c>
      <c r="C1901" s="15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9" t="inlineStr">
        <is>
          <t>26/01/2011</t>
        </is>
      </c>
      <c r="B1902" s="8" t="n">
        <v>200.1429132931</v>
      </c>
      <c r="C1902" s="15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9" t="inlineStr">
        <is>
          <t>27/01/2011</t>
        </is>
      </c>
      <c r="B1903" s="8" t="n">
        <v>198.7321683097</v>
      </c>
      <c r="C1903" s="15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9" t="inlineStr">
        <is>
          <t>28/01/2011</t>
        </is>
      </c>
      <c r="B1904" s="8" t="n">
        <v>199.1501668233</v>
      </c>
      <c r="C1904" s="15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9" t="inlineStr">
        <is>
          <t>31/01/2011</t>
        </is>
      </c>
      <c r="B1905" s="8" t="n">
        <v>198.3141697961</v>
      </c>
      <c r="C1905" s="15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9" t="inlineStr">
        <is>
          <t>01/02/2011</t>
        </is>
      </c>
      <c r="B1906" s="8" t="n">
        <v>197.9026374346</v>
      </c>
      <c r="C1906" s="15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9" t="inlineStr">
        <is>
          <t>02/02/2011</t>
        </is>
      </c>
      <c r="B1907" s="8" t="n">
        <v>198.8079559956</v>
      </c>
      <c r="C1907" s="15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9" t="inlineStr">
        <is>
          <t>03/02/2011</t>
        </is>
      </c>
      <c r="B1908" s="8" t="n">
        <v>199.0666184416</v>
      </c>
      <c r="C1908" s="15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9" t="inlineStr">
        <is>
          <t>04/02/2011</t>
        </is>
      </c>
      <c r="B1909" s="8" t="n">
        <v>199.0924846862</v>
      </c>
      <c r="C1909" s="15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9" t="inlineStr">
        <is>
          <t>07/02/2011</t>
        </is>
      </c>
      <c r="B1910" s="8" t="n">
        <v>196.454127737</v>
      </c>
      <c r="C1910" s="15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9" t="inlineStr">
        <is>
          <t>08/02/2011</t>
        </is>
      </c>
      <c r="B1911" s="8" t="n">
        <v>198.0578349022</v>
      </c>
      <c r="C1911" s="15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9" t="inlineStr">
        <is>
          <t>09/02/2011</t>
        </is>
      </c>
      <c r="B1912" s="8" t="n">
        <v>195.9626690896</v>
      </c>
      <c r="C1912" s="15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9" t="inlineStr">
        <is>
          <t>10/02/2011</t>
        </is>
      </c>
      <c r="B1913" s="8" t="n">
        <v>194.2037644568</v>
      </c>
      <c r="C1913" s="15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9" t="inlineStr">
        <is>
          <t>11/02/2011</t>
        </is>
      </c>
      <c r="B1914" s="8" t="n">
        <v>196.2471977802</v>
      </c>
      <c r="C1914" s="15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9" t="inlineStr">
        <is>
          <t>14/02/2011</t>
        </is>
      </c>
      <c r="B1915" s="8" t="n">
        <v>195.5229429314</v>
      </c>
      <c r="C1915" s="15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9" t="inlineStr">
        <is>
          <t>15/02/2011</t>
        </is>
      </c>
      <c r="B1916" s="8" t="n">
        <v>194.8245543272</v>
      </c>
      <c r="C1916" s="15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9" t="inlineStr">
        <is>
          <t>16/02/2011</t>
        </is>
      </c>
      <c r="B1917" s="8" t="n">
        <v>193.5312420972</v>
      </c>
      <c r="C1917" s="15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9" t="inlineStr">
        <is>
          <t>17/02/2011</t>
        </is>
      </c>
      <c r="B1918" s="8" t="n">
        <v>193.6605733202</v>
      </c>
      <c r="C1918" s="15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9" t="inlineStr">
        <is>
          <t>18/02/2011</t>
        </is>
      </c>
      <c r="B1919" s="8" t="n">
        <v>192.8587197376</v>
      </c>
      <c r="C1919" s="15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9" t="inlineStr">
        <is>
          <t>21/02/2011</t>
        </is>
      </c>
      <c r="B1920" s="8" t="n">
        <v>192.3413948456</v>
      </c>
      <c r="C1920" s="15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9" t="inlineStr">
        <is>
          <t>22/02/2011</t>
        </is>
      </c>
      <c r="B1921" s="8" t="n">
        <v>192.2896623564</v>
      </c>
      <c r="C1921" s="15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9" t="inlineStr">
        <is>
          <t>23/02/2011</t>
        </is>
      </c>
      <c r="B1922" s="8" t="n">
        <v>190.9446176372</v>
      </c>
      <c r="C1922" s="15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9" t="inlineStr">
        <is>
          <t>24/02/2011</t>
        </is>
      </c>
      <c r="B1923" s="8" t="n">
        <v>187.9699995082</v>
      </c>
      <c r="C1923" s="15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9" t="inlineStr">
        <is>
          <t>28/02/2011</t>
        </is>
      </c>
      <c r="B1924" s="8" t="n">
        <v>188.5907893786</v>
      </c>
      <c r="C1924" s="15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9" t="inlineStr">
        <is>
          <t>01/03/2011</t>
        </is>
      </c>
      <c r="B1925" s="8" t="n">
        <v>187.4544384332</v>
      </c>
      <c r="C1925" s="15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9" t="inlineStr">
        <is>
          <t>02/03/2011</t>
        </is>
      </c>
      <c r="B1926" s="8" t="n">
        <v>189.2282119181</v>
      </c>
      <c r="C1926" s="15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9" t="inlineStr">
        <is>
          <t>03/03/2011</t>
        </is>
      </c>
      <c r="B1927" s="8" t="n">
        <v>187.4801452953</v>
      </c>
      <c r="C1927" s="15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9" t="inlineStr">
        <is>
          <t>04/03/2011</t>
        </is>
      </c>
      <c r="B1928" s="8" t="n">
        <v>186.9660080533</v>
      </c>
      <c r="C1928" s="15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9" t="inlineStr">
        <is>
          <t>09/03/2011</t>
        </is>
      </c>
      <c r="B1929" s="8" t="n">
        <v>185.860612983</v>
      </c>
      <c r="C1929" s="15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9" t="inlineStr">
        <is>
          <t>10/03/2011</t>
        </is>
      </c>
      <c r="B1930" s="8" t="n">
        <v>185.5264237757</v>
      </c>
      <c r="C1930" s="15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9" t="inlineStr">
        <is>
          <t>11/03/2011</t>
        </is>
      </c>
      <c r="B1931" s="8" t="n">
        <v>184.3696149812</v>
      </c>
      <c r="C1931" s="15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9" t="inlineStr">
        <is>
          <t>14/03/2011</t>
        </is>
      </c>
      <c r="B1932" s="8" t="n">
        <v>183.0585650141</v>
      </c>
      <c r="C1932" s="15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9" t="inlineStr">
        <is>
          <t>15/03/2011</t>
        </is>
      </c>
      <c r="B1933" s="8" t="n">
        <v>181.9531699438</v>
      </c>
      <c r="C1933" s="15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9" t="inlineStr">
        <is>
          <t>16/03/2011</t>
        </is>
      </c>
      <c r="B1934" s="8" t="n">
        <v>181.5675670123</v>
      </c>
      <c r="C1934" s="15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9" t="inlineStr">
        <is>
          <t>17/03/2011</t>
        </is>
      </c>
      <c r="B1935" s="8" t="n">
        <v>180.4878788041</v>
      </c>
      <c r="C1935" s="15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9" t="inlineStr">
        <is>
          <t>18/03/2011</t>
        </is>
      </c>
      <c r="B1936" s="8" t="n">
        <v>180.719240563</v>
      </c>
      <c r="C1936" s="15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9" t="inlineStr">
        <is>
          <t>21/03/2011</t>
        </is>
      </c>
      <c r="B1937" s="8" t="n">
        <v>179.433897458</v>
      </c>
      <c r="C1937" s="15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9" t="inlineStr">
        <is>
          <t>22/03/2011</t>
        </is>
      </c>
      <c r="B1938" s="8" t="n">
        <v>178.8169327676</v>
      </c>
      <c r="C1938" s="15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9" t="inlineStr">
        <is>
          <t>23/03/2011</t>
        </is>
      </c>
      <c r="B1939" s="8" t="n">
        <v>179.7166729411</v>
      </c>
      <c r="C1939" s="15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9" t="inlineStr">
        <is>
          <t>24/03/2011</t>
        </is>
      </c>
      <c r="B1940" s="8" t="n">
        <v>179.5110180443</v>
      </c>
      <c r="C1940" s="15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9" t="inlineStr">
        <is>
          <t>25/03/2011</t>
        </is>
      </c>
      <c r="B1941" s="8" t="n">
        <v>178.5341572845</v>
      </c>
      <c r="C1941" s="15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9" t="inlineStr">
        <is>
          <t>28/03/2011</t>
        </is>
      </c>
      <c r="B1942" s="8" t="n">
        <v>176.0148847987</v>
      </c>
      <c r="C1942" s="15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9" t="inlineStr">
        <is>
          <t>29/03/2011</t>
        </is>
      </c>
      <c r="B1943" s="8" t="n">
        <v>175.2436789357</v>
      </c>
      <c r="C1943" s="15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9" t="inlineStr">
        <is>
          <t>30/03/2011</t>
        </is>
      </c>
      <c r="B1944" s="8" t="n">
        <v>172.9814750709</v>
      </c>
      <c r="C1944" s="15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9" t="inlineStr">
        <is>
          <t>31/03/2011</t>
        </is>
      </c>
      <c r="B1945" s="8" t="n">
        <v>173.9840426928</v>
      </c>
      <c r="C1945" s="15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9" t="inlineStr">
        <is>
          <t>01/04/2011</t>
        </is>
      </c>
      <c r="B1946" s="8" t="n">
        <v>173.4349468338</v>
      </c>
      <c r="C1946" s="15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9" t="inlineStr">
        <is>
          <t>04/04/2011</t>
        </is>
      </c>
      <c r="B1947" s="8" t="n">
        <v>171.7714863728</v>
      </c>
      <c r="C1947" s="15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9" t="inlineStr">
        <is>
          <t>05/04/2011</t>
        </is>
      </c>
      <c r="B1948" s="8" t="n">
        <v>173.767638926</v>
      </c>
      <c r="C1948" s="15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9" t="inlineStr">
        <is>
          <t>06/04/2011</t>
        </is>
      </c>
      <c r="B1949" s="8" t="n">
        <v>173.3069883368</v>
      </c>
      <c r="C1949" s="15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9" t="inlineStr">
        <is>
          <t>07/04/2011</t>
        </is>
      </c>
      <c r="B1950" s="8" t="n">
        <v>172.0529950662</v>
      </c>
      <c r="C1950" s="15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9" t="inlineStr">
        <is>
          <t>08/04/2011</t>
        </is>
      </c>
      <c r="B1951" s="8" t="n">
        <v>171.8994448698</v>
      </c>
      <c r="C1951" s="15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9" t="inlineStr">
        <is>
          <t>11/04/2011</t>
        </is>
      </c>
      <c r="B1952" s="8" t="n">
        <v>171.3876108818</v>
      </c>
      <c r="C1952" s="15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9" t="inlineStr">
        <is>
          <t>12/04/2011</t>
        </is>
      </c>
      <c r="B1953" s="8" t="n">
        <v>170.6454515992</v>
      </c>
      <c r="C1953" s="15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9" t="inlineStr">
        <is>
          <t>13/04/2011</t>
        </is>
      </c>
      <c r="B1954" s="8" t="n">
        <v>171.336427483</v>
      </c>
      <c r="C1954" s="15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9" t="inlineStr">
        <is>
          <t>14/04/2011</t>
        </is>
      </c>
      <c r="B1955" s="8" t="n">
        <v>169.9544757154</v>
      </c>
      <c r="C1955" s="15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9" t="inlineStr">
        <is>
          <t>15/04/2011</t>
        </is>
      </c>
      <c r="B1956" s="8" t="n">
        <v>170.0056591142</v>
      </c>
      <c r="C1956" s="15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9" t="inlineStr">
        <is>
          <t>18/04/2011</t>
        </is>
      </c>
      <c r="B1957" s="8" t="n">
        <v>168.90521604</v>
      </c>
      <c r="C1957" s="15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9" t="inlineStr">
        <is>
          <t>19/04/2011</t>
        </is>
      </c>
      <c r="B1958" s="8" t="n">
        <v>167.9327314628</v>
      </c>
      <c r="C1958" s="15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9" t="inlineStr">
        <is>
          <t>20/04/2011</t>
        </is>
      </c>
      <c r="B1959" s="8" t="n">
        <v>168.3421986532</v>
      </c>
      <c r="C1959" s="15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9" t="inlineStr">
        <is>
          <t>25/04/2011</t>
        </is>
      </c>
      <c r="B1960" s="8" t="n">
        <v>166.985838585</v>
      </c>
      <c r="C1960" s="15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9" t="inlineStr">
        <is>
          <t>26/04/2011</t>
        </is>
      </c>
      <c r="B1961" s="8" t="n">
        <v>166.5507796952</v>
      </c>
      <c r="C1961" s="15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9" t="inlineStr">
        <is>
          <t>27/04/2011</t>
        </is>
      </c>
      <c r="B1962" s="8" t="n">
        <v>165.322378124</v>
      </c>
      <c r="C1962" s="15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9" t="inlineStr">
        <is>
          <t>28/04/2011</t>
        </is>
      </c>
      <c r="B1963" s="8" t="n">
        <v>164.0172014546</v>
      </c>
      <c r="C1963" s="15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9" t="inlineStr">
        <is>
          <t>29/04/2011</t>
        </is>
      </c>
      <c r="B1964" s="8" t="n">
        <v>163.2494504726</v>
      </c>
      <c r="C1964" s="15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9" t="inlineStr">
        <is>
          <t>02/05/2011</t>
        </is>
      </c>
      <c r="B1965" s="8" t="n">
        <v>162.1172875206</v>
      </c>
      <c r="C1965" s="15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9" t="inlineStr">
        <is>
          <t>03/05/2011</t>
        </is>
      </c>
      <c r="B1966" s="8" t="n">
        <v>162.2701802784</v>
      </c>
      <c r="C1966" s="15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9" t="inlineStr">
        <is>
          <t>04/05/2011</t>
        </is>
      </c>
      <c r="B1967" s="8" t="n">
        <v>162.321144531</v>
      </c>
      <c r="C1967" s="15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9" t="inlineStr">
        <is>
          <t>05/05/2011</t>
        </is>
      </c>
      <c r="B1968" s="8" t="n">
        <v>161.2763773527</v>
      </c>
      <c r="C1968" s="15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9" t="inlineStr">
        <is>
          <t>06/05/2011</t>
        </is>
      </c>
      <c r="B1969" s="8" t="n">
        <v>160.2316101744</v>
      </c>
      <c r="C1969" s="15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9" t="inlineStr">
        <is>
          <t>09/05/2011</t>
        </is>
      </c>
      <c r="B1970" s="8" t="n">
        <v>157.0463443869</v>
      </c>
      <c r="C1970" s="15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9" t="inlineStr">
        <is>
          <t>10/05/2011</t>
        </is>
      </c>
      <c r="B1971" s="8" t="n">
        <v>156.3328448505</v>
      </c>
      <c r="C1971" s="15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9" t="inlineStr">
        <is>
          <t>11/05/2011</t>
        </is>
      </c>
      <c r="B1972" s="8" t="n">
        <v>157.5559869129</v>
      </c>
      <c r="C1972" s="15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9" t="inlineStr">
        <is>
          <t>12/05/2011</t>
        </is>
      </c>
      <c r="B1973" s="8" t="n">
        <v>157.0973086395</v>
      </c>
      <c r="C1973" s="15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9" t="inlineStr">
        <is>
          <t>13/05/2011</t>
        </is>
      </c>
      <c r="B1974" s="8" t="n">
        <v>155.44097043</v>
      </c>
      <c r="C1974" s="15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9" t="inlineStr">
        <is>
          <t>16/05/2011</t>
        </is>
      </c>
      <c r="B1975" s="8" t="n">
        <v>154.5236138832</v>
      </c>
      <c r="C1975" s="15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9" t="inlineStr">
        <is>
          <t>17/05/2011</t>
        </is>
      </c>
      <c r="B1976" s="8" t="n">
        <v>152.4085974003</v>
      </c>
      <c r="C1976" s="15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9" t="inlineStr">
        <is>
          <t>18/05/2011</t>
        </is>
      </c>
      <c r="B1977" s="8" t="n">
        <v>152.2047403899</v>
      </c>
      <c r="C1977" s="15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9" t="inlineStr">
        <is>
          <t>19/05/2011</t>
        </is>
      </c>
      <c r="B1978" s="8" t="n">
        <v>152.383115274</v>
      </c>
      <c r="C1978" s="15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9" t="inlineStr">
        <is>
          <t>20/05/2011</t>
        </is>
      </c>
      <c r="B1979" s="8" t="n">
        <v>148.3314571923</v>
      </c>
      <c r="C1979" s="15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9" t="inlineStr">
        <is>
          <t>23/05/2011</t>
        </is>
      </c>
      <c r="B1980" s="8" t="n">
        <v>146.012583699</v>
      </c>
      <c r="C1980" s="15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9" t="inlineStr">
        <is>
          <t>24/05/2011</t>
        </is>
      </c>
      <c r="B1981" s="8" t="n">
        <v>144.0249778476</v>
      </c>
      <c r="C1981" s="15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9" t="inlineStr">
        <is>
          <t>25/05/2011</t>
        </is>
      </c>
      <c r="B1982" s="8" t="n">
        <v>143.1840676797</v>
      </c>
      <c r="C1982" s="15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9" t="inlineStr">
        <is>
          <t>26/05/2011</t>
        </is>
      </c>
      <c r="B1983" s="8" t="n">
        <v>143.2350319323</v>
      </c>
      <c r="C1983" s="15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9" t="inlineStr">
        <is>
          <t>27/05/2011</t>
        </is>
      </c>
      <c r="B1984" s="8" t="n">
        <v>140.8906763127</v>
      </c>
      <c r="C1984" s="15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9" t="inlineStr">
        <is>
          <t>30/05/2011</t>
        </is>
      </c>
      <c r="B1985" s="8" t="n">
        <v>139.7949448818</v>
      </c>
      <c r="C1985" s="15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9" t="inlineStr">
        <is>
          <t>31/05/2011</t>
        </is>
      </c>
      <c r="B1986" s="8" t="n">
        <v>139.6165699977</v>
      </c>
      <c r="C1986" s="15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9" t="inlineStr">
        <is>
          <t>01/06/2011</t>
        </is>
      </c>
      <c r="B1987" s="8" t="n">
        <v>139.510939712</v>
      </c>
      <c r="C1987" s="15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9" t="inlineStr">
        <is>
          <t>02/06/2011</t>
        </is>
      </c>
      <c r="B1988" s="8" t="n">
        <v>139.510939712</v>
      </c>
      <c r="C1988" s="15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9" t="inlineStr">
        <is>
          <t>03/06/2011</t>
        </is>
      </c>
      <c r="B1989" s="8" t="n">
        <v>137.4176374144</v>
      </c>
      <c r="C1989" s="15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9" t="inlineStr">
        <is>
          <t>06/06/2011</t>
        </is>
      </c>
      <c r="B1990" s="8" t="n">
        <v>137.1878847232</v>
      </c>
      <c r="C1990" s="15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9" t="inlineStr">
        <is>
          <t>07/06/2011</t>
        </is>
      </c>
      <c r="B1991" s="8" t="n">
        <v>137.1113004928</v>
      </c>
      <c r="C1991" s="15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9" t="inlineStr">
        <is>
          <t>08/06/2011</t>
        </is>
      </c>
      <c r="B1992" s="8" t="n">
        <v>137.596333952</v>
      </c>
      <c r="C1992" s="15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9" t="inlineStr">
        <is>
          <t>09/06/2011</t>
        </is>
      </c>
      <c r="B1993" s="8" t="n">
        <v>137.85161472</v>
      </c>
      <c r="C1993" s="15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9" t="inlineStr">
        <is>
          <t>10/06/2011</t>
        </is>
      </c>
      <c r="B1994" s="8" t="n">
        <v>138.4642885632</v>
      </c>
      <c r="C1994" s="15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9" t="inlineStr">
        <is>
          <t>13/06/2011</t>
        </is>
      </c>
      <c r="B1995" s="8" t="n">
        <v>138.3111201024</v>
      </c>
      <c r="C1995" s="15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9" t="inlineStr">
        <is>
          <t>14/06/2011</t>
        </is>
      </c>
      <c r="B1996" s="8" t="n">
        <v>138.872737792</v>
      </c>
      <c r="C1996" s="15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9" t="inlineStr">
        <is>
          <t>15/06/2011</t>
        </is>
      </c>
      <c r="B1997" s="8" t="n">
        <v>139.5619958656</v>
      </c>
      <c r="C1997" s="15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9" t="inlineStr">
        <is>
          <t>16/06/2011</t>
        </is>
      </c>
      <c r="B1998" s="8" t="n">
        <v>139.9959731712</v>
      </c>
      <c r="C1998" s="15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9" t="inlineStr">
        <is>
          <t>17/06/2011</t>
        </is>
      </c>
      <c r="B1999" s="8" t="n">
        <v>140.2001977856</v>
      </c>
      <c r="C1999" s="15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9" t="inlineStr">
        <is>
          <t>20/06/2011</t>
        </is>
      </c>
      <c r="B2000" s="8" t="n">
        <v>140.4810066304</v>
      </c>
      <c r="C2000" s="15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9" t="inlineStr">
        <is>
          <t>21/06/2011</t>
        </is>
      </c>
      <c r="B2001" s="8" t="n">
        <v>141.4000173952</v>
      </c>
      <c r="C2001" s="15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9" t="inlineStr">
        <is>
          <t>22/06/2011</t>
        </is>
      </c>
      <c r="B2002" s="8" t="n">
        <v>142.1403316224</v>
      </c>
      <c r="C2002" s="15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9" t="inlineStr">
        <is>
          <t>24/06/2011</t>
        </is>
      </c>
      <c r="B2003" s="8" t="n">
        <v>142.574308928</v>
      </c>
      <c r="C2003" s="15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9" t="inlineStr">
        <is>
          <t>27/06/2011</t>
        </is>
      </c>
      <c r="B2004" s="8" t="n">
        <v>142.6764212352</v>
      </c>
      <c r="C2004" s="15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9" t="inlineStr">
        <is>
          <t>28/06/2011</t>
        </is>
      </c>
      <c r="B2005" s="8" t="n">
        <v>143.850712768</v>
      </c>
      <c r="C2005" s="15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9" t="inlineStr">
        <is>
          <t>29/06/2011</t>
        </is>
      </c>
      <c r="B2006" s="8" t="n">
        <v>144.2081058432</v>
      </c>
      <c r="C2006" s="15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9" t="inlineStr">
        <is>
          <t>30/06/2011</t>
        </is>
      </c>
      <c r="B2007" s="8" t="n">
        <v>144.9484200704</v>
      </c>
      <c r="C2007" s="15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9" t="inlineStr">
        <is>
          <t>01/07/2011</t>
        </is>
      </c>
      <c r="B2008" s="8" t="n">
        <v>145.68485961</v>
      </c>
      <c r="C2008" s="15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9" t="inlineStr">
        <is>
          <t>04/07/2011</t>
        </is>
      </c>
      <c r="B2009" s="8" t="n">
        <v>147.8317943832</v>
      </c>
      <c r="C2009" s="15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9" t="inlineStr">
        <is>
          <t>05/07/2011</t>
        </is>
      </c>
      <c r="B2010" s="8" t="n">
        <v>149.0330555063</v>
      </c>
      <c r="C2010" s="15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9" t="inlineStr">
        <is>
          <t>06/07/2011</t>
        </is>
      </c>
      <c r="B2011" s="8" t="n">
        <v>150.1320816402</v>
      </c>
      <c r="C2011" s="15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9" t="inlineStr">
        <is>
          <t>07/07/2011</t>
        </is>
      </c>
      <c r="B2012" s="8" t="n">
        <v>153.5569537784</v>
      </c>
      <c r="C2012" s="15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9" t="inlineStr">
        <is>
          <t>08/07/2011</t>
        </is>
      </c>
      <c r="B2013" s="8" t="n">
        <v>155.652771057</v>
      </c>
      <c r="C2013" s="15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9" t="inlineStr">
        <is>
          <t>11/07/2011</t>
        </is>
      </c>
      <c r="B2014" s="8" t="n">
        <v>157.6207945991</v>
      </c>
      <c r="C2014" s="15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9" t="inlineStr">
        <is>
          <t>12/07/2011</t>
        </is>
      </c>
      <c r="B2015" s="8" t="n">
        <v>161.786870409</v>
      </c>
      <c r="C2015" s="15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9" t="inlineStr">
        <is>
          <t>13/07/2011</t>
        </is>
      </c>
      <c r="B2016" s="8" t="n">
        <v>162.4513978388</v>
      </c>
      <c r="C2016" s="15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9" t="inlineStr">
        <is>
          <t>14/07/2011</t>
        </is>
      </c>
      <c r="B2017" s="8" t="n">
        <v>165.620682504</v>
      </c>
      <c r="C2017" s="15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9" t="inlineStr">
        <is>
          <t>15/07/2011</t>
        </is>
      </c>
      <c r="B2018" s="8" t="n">
        <v>166.3363274284</v>
      </c>
      <c r="C2018" s="15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9" t="inlineStr">
        <is>
          <t>18/07/2011</t>
        </is>
      </c>
      <c r="B2019" s="8" t="n">
        <v>167.3842360677</v>
      </c>
      <c r="C2019" s="15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9" t="inlineStr">
        <is>
          <t>19/07/2011</t>
        </is>
      </c>
      <c r="B2020" s="8" t="n">
        <v>169.198907126</v>
      </c>
      <c r="C2020" s="15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9" t="inlineStr">
        <is>
          <t>20/07/2011</t>
        </is>
      </c>
      <c r="B2021" s="8" t="n">
        <v>172.1126043182</v>
      </c>
      <c r="C2021" s="15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9" t="inlineStr">
        <is>
          <t>21/07/2011</t>
        </is>
      </c>
      <c r="B2022" s="8" t="n">
        <v>173.5950116616</v>
      </c>
      <c r="C2022" s="15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9" t="inlineStr">
        <is>
          <t>22/07/2011</t>
        </is>
      </c>
      <c r="B2023" s="8" t="n">
        <v>174.7707140374</v>
      </c>
      <c r="C2023" s="15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9" t="inlineStr">
        <is>
          <t>25/07/2011</t>
        </is>
      </c>
      <c r="B2024" s="8" t="n">
        <v>175.077419005</v>
      </c>
      <c r="C2024" s="15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9" t="inlineStr">
        <is>
          <t>26/07/2011</t>
        </is>
      </c>
      <c r="B2025" s="8" t="n">
        <v>175.1540952469</v>
      </c>
      <c r="C2025" s="15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9" t="inlineStr">
        <is>
          <t>27/07/2011</t>
        </is>
      </c>
      <c r="B2026" s="8" t="n">
        <v>175.6652701929</v>
      </c>
      <c r="C2026" s="15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9" t="inlineStr">
        <is>
          <t>28/07/2011</t>
        </is>
      </c>
      <c r="B2027" s="8" t="n">
        <v>176.4320326119</v>
      </c>
      <c r="C2027" s="15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9" t="inlineStr">
        <is>
          <t>29/07/2011</t>
        </is>
      </c>
      <c r="B2028" s="8" t="n">
        <v>177.9144399553</v>
      </c>
      <c r="C2028" s="15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9" t="inlineStr">
        <is>
          <t>01/08/2011</t>
        </is>
      </c>
      <c r="B2029" s="8" t="n">
        <v>177.4404073995</v>
      </c>
      <c r="C2029" s="15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9" t="inlineStr">
        <is>
          <t>02/08/2011</t>
        </is>
      </c>
      <c r="B2030" s="8" t="n">
        <v>178.1529172815</v>
      </c>
      <c r="C2030" s="15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9" t="inlineStr">
        <is>
          <t>03/08/2011</t>
        </is>
      </c>
      <c r="B2031" s="8" t="n">
        <v>175.8627069465</v>
      </c>
      <c r="C2031" s="15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9" t="inlineStr">
        <is>
          <t>04/08/2011</t>
        </is>
      </c>
      <c r="B2032" s="8" t="n">
        <v>176.142621543</v>
      </c>
      <c r="C2032" s="15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9" t="inlineStr">
        <is>
          <t>05/08/2011</t>
        </is>
      </c>
      <c r="B2033" s="8" t="n">
        <v>176.040834417</v>
      </c>
      <c r="C2033" s="15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9" t="inlineStr">
        <is>
          <t>08/08/2011</t>
        </is>
      </c>
      <c r="B2034" s="8" t="n">
        <v>175.328324535</v>
      </c>
      <c r="C2034" s="15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9" t="inlineStr">
        <is>
          <t>09/08/2011</t>
        </is>
      </c>
      <c r="B2035" s="8" t="n">
        <v>175.4555584425</v>
      </c>
      <c r="C2035" s="15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9" t="inlineStr">
        <is>
          <t>10/08/2011</t>
        </is>
      </c>
      <c r="B2036" s="8" t="n">
        <v>175.124750283</v>
      </c>
      <c r="C2036" s="15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9" t="inlineStr">
        <is>
          <t>11/08/2011</t>
        </is>
      </c>
      <c r="B2037" s="8" t="n">
        <v>174.9466228125</v>
      </c>
      <c r="C2037" s="15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9" t="inlineStr">
        <is>
          <t>12/08/2011</t>
        </is>
      </c>
      <c r="B2038" s="8" t="n">
        <v>175.022963157</v>
      </c>
      <c r="C2038" s="15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9" t="inlineStr">
        <is>
          <t>15/08/2011</t>
        </is>
      </c>
      <c r="B2039" s="8" t="n">
        <v>175.0484099385</v>
      </c>
      <c r="C2039" s="15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9" t="inlineStr">
        <is>
          <t>16/08/2011</t>
        </is>
      </c>
      <c r="B2040" s="8" t="n">
        <v>173.496156267</v>
      </c>
      <c r="C2040" s="15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9" t="inlineStr">
        <is>
          <t>17/08/2011</t>
        </is>
      </c>
      <c r="B2041" s="8" t="n">
        <v>172.1983704105</v>
      </c>
      <c r="C2041" s="15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9" t="inlineStr">
        <is>
          <t>18/08/2011</t>
        </is>
      </c>
      <c r="B2042" s="8" t="n">
        <v>172.9617738555</v>
      </c>
      <c r="C2042" s="15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9" t="inlineStr">
        <is>
          <t>19/08/2011</t>
        </is>
      </c>
      <c r="B2043" s="8" t="n">
        <v>173.241688452</v>
      </c>
      <c r="C2043" s="15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9" t="inlineStr">
        <is>
          <t>22/08/2011</t>
        </is>
      </c>
      <c r="B2044" s="8" t="n">
        <v>174.2341129305</v>
      </c>
      <c r="C2044" s="15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9" t="inlineStr">
        <is>
          <t>23/08/2011</t>
        </is>
      </c>
      <c r="B2045" s="8" t="n">
        <v>173.4707094855</v>
      </c>
      <c r="C2045" s="15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9" t="inlineStr">
        <is>
          <t>24/08/2011</t>
        </is>
      </c>
      <c r="B2046" s="8" t="n">
        <v>172.0456897215</v>
      </c>
      <c r="C2046" s="15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9" t="inlineStr">
        <is>
          <t>25/08/2011</t>
        </is>
      </c>
      <c r="B2047" s="8" t="n">
        <v>172.5037317885</v>
      </c>
      <c r="C2047" s="15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9" t="inlineStr">
        <is>
          <t>26/08/2011</t>
        </is>
      </c>
      <c r="B2048" s="8" t="n">
        <v>171.9947961585</v>
      </c>
      <c r="C2048" s="15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9" t="inlineStr">
        <is>
          <t>29/08/2011</t>
        </is>
      </c>
      <c r="B2049" s="8" t="n">
        <v>172.7581996035</v>
      </c>
      <c r="C2049" s="15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9" t="inlineStr">
        <is>
          <t>30/08/2011</t>
        </is>
      </c>
      <c r="B2050" s="8" t="n">
        <v>172.885433511</v>
      </c>
      <c r="C2050" s="15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9" t="inlineStr">
        <is>
          <t>31/08/2011</t>
        </is>
      </c>
      <c r="B2051" s="8" t="n">
        <v>172.1474768475</v>
      </c>
      <c r="C2051" s="15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9" t="inlineStr">
        <is>
          <t>01/09/2011</t>
        </is>
      </c>
      <c r="B2052" s="8" t="n">
        <v>170.5553780176</v>
      </c>
      <c r="C2052" s="15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9" t="inlineStr">
        <is>
          <t>02/09/2011</t>
        </is>
      </c>
      <c r="B2053" s="8" t="n">
        <v>170.5048131264</v>
      </c>
      <c r="C2053" s="15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9" t="inlineStr">
        <is>
          <t>05/09/2011</t>
        </is>
      </c>
      <c r="B2054" s="8" t="n">
        <v>169.4935153024</v>
      </c>
      <c r="C2054" s="15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9" t="inlineStr">
        <is>
          <t>06/09/2011</t>
        </is>
      </c>
      <c r="B2055" s="8" t="n">
        <v>169.4429504112</v>
      </c>
      <c r="C2055" s="15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9" t="inlineStr">
        <is>
          <t>08/09/2011</t>
        </is>
      </c>
      <c r="B2056" s="8" t="n">
        <v>169.3418206288</v>
      </c>
      <c r="C2056" s="15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9" t="inlineStr">
        <is>
          <t>09/09/2011</t>
        </is>
      </c>
      <c r="B2057" s="8" t="n">
        <v>167.749026556</v>
      </c>
      <c r="C2057" s="15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9" t="inlineStr">
        <is>
          <t>12/09/2011</t>
        </is>
      </c>
      <c r="B2058" s="8" t="n">
        <v>166.86414096</v>
      </c>
      <c r="C2058" s="15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9" t="inlineStr">
        <is>
          <t>13/09/2011</t>
        </is>
      </c>
      <c r="B2059" s="8" t="n">
        <v>166.990553188</v>
      </c>
      <c r="C2059" s="15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9" t="inlineStr">
        <is>
          <t>14/09/2011</t>
        </is>
      </c>
      <c r="B2060" s="8" t="n">
        <v>166.6365989496</v>
      </c>
      <c r="C2060" s="15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9" t="inlineStr">
        <is>
          <t>15/09/2011</t>
        </is>
      </c>
      <c r="B2061" s="8" t="n">
        <v>164.9426750944</v>
      </c>
      <c r="C2061" s="15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9" t="inlineStr">
        <is>
          <t>16/09/2011</t>
        </is>
      </c>
      <c r="B2062" s="8" t="n">
        <v>164.9173926488</v>
      </c>
      <c r="C2062" s="15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9" t="inlineStr">
        <is>
          <t>19/09/2011</t>
        </is>
      </c>
      <c r="B2063" s="8" t="n">
        <v>166.0803851464</v>
      </c>
      <c r="C2063" s="15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9" t="inlineStr">
        <is>
          <t>20/09/2011</t>
        </is>
      </c>
      <c r="B2064" s="8" t="n">
        <v>165.7517133536</v>
      </c>
      <c r="C2064" s="15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9" t="inlineStr">
        <is>
          <t>21/09/2011</t>
        </is>
      </c>
      <c r="B2065" s="8" t="n">
        <v>165.0185224312</v>
      </c>
      <c r="C2065" s="15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9" t="inlineStr">
        <is>
          <t>22/09/2011</t>
        </is>
      </c>
      <c r="B2066" s="8" t="n">
        <v>163.07177412</v>
      </c>
      <c r="C2066" s="15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9" t="inlineStr">
        <is>
          <t>23/09/2011</t>
        </is>
      </c>
      <c r="B2067" s="8" t="n">
        <v>159.6333615184</v>
      </c>
      <c r="C2067" s="15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9" t="inlineStr">
        <is>
          <t>26/09/2011</t>
        </is>
      </c>
      <c r="B2068" s="8" t="n">
        <v>161.049178472</v>
      </c>
      <c r="C2068" s="15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9" t="inlineStr">
        <is>
          <t>27/09/2011</t>
        </is>
      </c>
      <c r="B2069" s="8" t="n">
        <v>159.3046897256</v>
      </c>
      <c r="C2069" s="15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9" t="inlineStr">
        <is>
          <t>28/09/2011</t>
        </is>
      </c>
      <c r="B2070" s="8" t="n">
        <v>157.9900025544</v>
      </c>
      <c r="C2070" s="15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9" t="inlineStr">
        <is>
          <t>29/09/2011</t>
        </is>
      </c>
      <c r="B2071" s="8" t="n">
        <v>158.0658498912</v>
      </c>
      <c r="C2071" s="15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9" t="inlineStr">
        <is>
          <t>30/09/2011</t>
        </is>
      </c>
      <c r="B2072" s="8" t="n">
        <v>158.5714988032</v>
      </c>
      <c r="C2072" s="15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9" t="inlineStr">
        <is>
          <t>03/10/2011</t>
        </is>
      </c>
      <c r="B2073" s="8" t="n">
        <v>157.8360974076</v>
      </c>
      <c r="C2073" s="15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9" t="inlineStr">
        <is>
          <t>04/10/2011</t>
        </is>
      </c>
      <c r="B2074" s="8" t="n">
        <v>157.6600533219</v>
      </c>
      <c r="C2074" s="15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9" t="inlineStr">
        <is>
          <t>05/10/2011</t>
        </is>
      </c>
      <c r="B2075" s="8" t="n">
        <v>157.3582634607</v>
      </c>
      <c r="C2075" s="15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9" t="inlineStr">
        <is>
          <t>06/10/2011</t>
        </is>
      </c>
      <c r="B2076" s="8" t="n">
        <v>156.4528938771</v>
      </c>
      <c r="C2076" s="15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9" t="inlineStr">
        <is>
          <t>07/10/2011</t>
        </is>
      </c>
      <c r="B2077" s="8" t="n">
        <v>156.4528938771</v>
      </c>
      <c r="C2077" s="15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9" t="inlineStr">
        <is>
          <t>10/10/2011</t>
        </is>
      </c>
      <c r="B2078" s="8" t="n">
        <v>156.679236273</v>
      </c>
      <c r="C2078" s="15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9" t="inlineStr">
        <is>
          <t>11/10/2011</t>
        </is>
      </c>
      <c r="B2079" s="8" t="n">
        <v>156.0253582404</v>
      </c>
      <c r="C2079" s="15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9" t="inlineStr">
        <is>
          <t>13/10/2011</t>
        </is>
      </c>
      <c r="B2080" s="8" t="n">
        <v>155.1199886568</v>
      </c>
      <c r="C2080" s="15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9" t="inlineStr">
        <is>
          <t>14/10/2011</t>
        </is>
      </c>
      <c r="B2081" s="8" t="n">
        <v>156.7546837383</v>
      </c>
      <c r="C2081" s="15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9" t="inlineStr">
        <is>
          <t>17/10/2011</t>
        </is>
      </c>
      <c r="B2082" s="8" t="n">
        <v>156.8804295138</v>
      </c>
      <c r="C2082" s="15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9" t="inlineStr">
        <is>
          <t>18/10/2011</t>
        </is>
      </c>
      <c r="B2083" s="8" t="n">
        <v>157.5846058566</v>
      </c>
      <c r="C2083" s="15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9" t="inlineStr">
        <is>
          <t>19/10/2011</t>
        </is>
      </c>
      <c r="B2084" s="8" t="n">
        <v>158.2384838892</v>
      </c>
      <c r="C2084" s="15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9" t="inlineStr">
        <is>
          <t>20/10/2011</t>
        </is>
      </c>
      <c r="B2085" s="8" t="n">
        <v>157.685202477</v>
      </c>
      <c r="C2085" s="15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9" t="inlineStr">
        <is>
          <t>21/10/2011</t>
        </is>
      </c>
      <c r="B2086" s="8" t="n">
        <v>159.6216874197</v>
      </c>
      <c r="C2086" s="15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9" t="inlineStr">
        <is>
          <t>24/10/2011</t>
        </is>
      </c>
      <c r="B2087" s="8" t="n">
        <v>158.9175110769</v>
      </c>
      <c r="C2087" s="15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9" t="inlineStr">
        <is>
          <t>25/10/2011</t>
        </is>
      </c>
      <c r="B2088" s="8" t="n">
        <v>158.43967713</v>
      </c>
      <c r="C2088" s="15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9" t="inlineStr">
        <is>
          <t>26/10/2011</t>
        </is>
      </c>
      <c r="B2089" s="8" t="n">
        <v>159.1438534728</v>
      </c>
      <c r="C2089" s="15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9" t="inlineStr">
        <is>
          <t>27/10/2011</t>
        </is>
      </c>
      <c r="B2090" s="8" t="n">
        <v>159.7977315054</v>
      </c>
      <c r="C2090" s="15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9" t="inlineStr">
        <is>
          <t>28/10/2011</t>
        </is>
      </c>
      <c r="B2091" s="8" t="n">
        <v>158.8923619218</v>
      </c>
      <c r="C2091" s="15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9" t="inlineStr">
        <is>
          <t>31/10/2011</t>
        </is>
      </c>
      <c r="B2092" s="8" t="n">
        <v>159.445643334</v>
      </c>
      <c r="C2092" s="15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9" t="inlineStr">
        <is>
          <t>01/11/2011</t>
        </is>
      </c>
      <c r="B2093" s="8" t="n">
        <v>158.0267803935</v>
      </c>
      <c r="C2093" s="15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9" t="inlineStr">
        <is>
          <t>03/11/2011</t>
        </is>
      </c>
      <c r="B2094" s="8" t="n">
        <v>157.9517082888</v>
      </c>
      <c r="C2094" s="15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9" t="inlineStr">
        <is>
          <t>04/11/2011</t>
        </is>
      </c>
      <c r="B2095" s="8" t="n">
        <v>159.0027177546</v>
      </c>
      <c r="C2095" s="15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9" t="inlineStr">
        <is>
          <t>07/11/2011</t>
        </is>
      </c>
      <c r="B2096" s="8" t="n">
        <v>158.3020447774</v>
      </c>
      <c r="C2096" s="15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9" t="inlineStr">
        <is>
          <t>08/11/2011</t>
        </is>
      </c>
      <c r="B2097" s="8" t="n">
        <v>157.6764439049</v>
      </c>
      <c r="C2097" s="15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9" t="inlineStr">
        <is>
          <t>09/11/2011</t>
        </is>
      </c>
      <c r="B2098" s="8" t="n">
        <v>158.9526696848</v>
      </c>
      <c r="C2098" s="15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9" t="inlineStr">
        <is>
          <t>10/11/2011</t>
        </is>
      </c>
      <c r="B2099" s="8" t="n">
        <v>160.4541117788</v>
      </c>
      <c r="C2099" s="15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9" t="inlineStr">
        <is>
          <t>11/11/2011</t>
        </is>
      </c>
      <c r="B2100" s="8" t="n">
        <v>161.3049289654</v>
      </c>
      <c r="C2100" s="15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9" t="inlineStr">
        <is>
          <t>14/11/2011</t>
        </is>
      </c>
      <c r="B2101" s="8" t="n">
        <v>161.6052173842</v>
      </c>
      <c r="C2101" s="15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9" t="inlineStr">
        <is>
          <t>16/11/2011</t>
        </is>
      </c>
      <c r="B2102" s="8" t="n">
        <v>161.8054096634</v>
      </c>
      <c r="C2102" s="15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9" t="inlineStr">
        <is>
          <t>17/11/2011</t>
        </is>
      </c>
      <c r="B2103" s="8" t="n">
        <v>160.654304058</v>
      </c>
      <c r="C2103" s="15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9" t="inlineStr">
        <is>
          <t>18/11/2011</t>
        </is>
      </c>
      <c r="B2104" s="8" t="n">
        <v>159.7784628365</v>
      </c>
      <c r="C2104" s="15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9" t="inlineStr">
        <is>
          <t>21/11/2011</t>
        </is>
      </c>
      <c r="B2105" s="8" t="n">
        <v>160.2038714298</v>
      </c>
      <c r="C2105" s="15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9" t="inlineStr">
        <is>
          <t>22/11/2011</t>
        </is>
      </c>
      <c r="B2106" s="8" t="n">
        <v>160.0036791506</v>
      </c>
      <c r="C2106" s="15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9" t="inlineStr">
        <is>
          <t>23/11/2011</t>
        </is>
      </c>
      <c r="B2107" s="8" t="n">
        <v>160.1037752902</v>
      </c>
      <c r="C2107" s="15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9" t="inlineStr">
        <is>
          <t>24/11/2011</t>
        </is>
      </c>
      <c r="B2108" s="8" t="n">
        <v>160.5792319533</v>
      </c>
      <c r="C2108" s="15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9" t="inlineStr">
        <is>
          <t>25/11/2011</t>
        </is>
      </c>
      <c r="B2109" s="8" t="n">
        <v>160.1287993251</v>
      </c>
      <c r="C2109" s="15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9" t="inlineStr">
        <is>
          <t>28/11/2011</t>
        </is>
      </c>
      <c r="B2110" s="8" t="n">
        <v>160.4541117788</v>
      </c>
      <c r="C2110" s="15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9" t="inlineStr">
        <is>
          <t>29/11/2011</t>
        </is>
      </c>
      <c r="B2111" s="8" t="n">
        <v>160.7043521278</v>
      </c>
      <c r="C2111" s="15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9" t="inlineStr">
        <is>
          <t>30/11/2011</t>
        </is>
      </c>
      <c r="B2112" s="8" t="n">
        <v>161.0296645815</v>
      </c>
      <c r="C2112" s="15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9" t="inlineStr">
        <is>
          <t>01/12/2011</t>
        </is>
      </c>
      <c r="B2113" s="8" t="n">
        <v>160.8974289156</v>
      </c>
      <c r="C2113" s="15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9" t="inlineStr">
        <is>
          <t>02/12/2011</t>
        </is>
      </c>
      <c r="B2114" s="8" t="n">
        <v>160.1458059216</v>
      </c>
      <c r="C2114" s="15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9" t="inlineStr">
        <is>
          <t>05/12/2011</t>
        </is>
      </c>
      <c r="B2115" s="8" t="n">
        <v>160.7972125164</v>
      </c>
      <c r="C2115" s="15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9" t="inlineStr">
        <is>
          <t>06/12/2011</t>
        </is>
      </c>
      <c r="B2116" s="8" t="n">
        <v>160.1959141212</v>
      </c>
      <c r="C2116" s="15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9" t="inlineStr">
        <is>
          <t>07/12/2011</t>
        </is>
      </c>
      <c r="B2117" s="8" t="n">
        <v>159.4943993268</v>
      </c>
      <c r="C2117" s="15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9" t="inlineStr">
        <is>
          <t>08/12/2011</t>
        </is>
      </c>
      <c r="B2118" s="8" t="n">
        <v>160.6218338178</v>
      </c>
      <c r="C2118" s="15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9" t="inlineStr">
        <is>
          <t>09/12/2011</t>
        </is>
      </c>
      <c r="B2119" s="8" t="n">
        <v>159.7449403248</v>
      </c>
      <c r="C2119" s="15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9" t="inlineStr">
        <is>
          <t>12/12/2011</t>
        </is>
      </c>
      <c r="B2120" s="8" t="n">
        <v>159.6447239256</v>
      </c>
      <c r="C2120" s="15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9" t="inlineStr">
        <is>
          <t>13/12/2011</t>
        </is>
      </c>
      <c r="B2121" s="8" t="n">
        <v>160.1708600214</v>
      </c>
      <c r="C2121" s="15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9" t="inlineStr">
        <is>
          <t>14/12/2011</t>
        </is>
      </c>
      <c r="B2122" s="8" t="n">
        <v>159.1436419296</v>
      </c>
      <c r="C2122" s="15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9" t="inlineStr">
        <is>
          <t>15/12/2011</t>
        </is>
      </c>
      <c r="B2123" s="8" t="n">
        <v>159.9203190234</v>
      </c>
      <c r="C2123" s="15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9" t="inlineStr">
        <is>
          <t>16/12/2011</t>
        </is>
      </c>
      <c r="B2124" s="8" t="n">
        <v>159.0434255304</v>
      </c>
      <c r="C2124" s="15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9" t="inlineStr">
        <is>
          <t>19/12/2011</t>
        </is>
      </c>
      <c r="B2125" s="8" t="n">
        <v>159.3941829276</v>
      </c>
      <c r="C2125" s="15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9" t="inlineStr">
        <is>
          <t>20/12/2011</t>
        </is>
      </c>
      <c r="B2126" s="8" t="n">
        <v>159.344074728</v>
      </c>
      <c r="C2126" s="15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9" t="inlineStr">
        <is>
          <t>21/12/2011</t>
        </is>
      </c>
      <c r="B2127" s="8" t="n">
        <v>158.3168566362</v>
      </c>
      <c r="C2127" s="15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9" t="inlineStr">
        <is>
          <t>22/12/2011</t>
        </is>
      </c>
      <c r="B2128" s="8" t="n">
        <v>157.5151254426</v>
      </c>
      <c r="C2128" s="15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9" t="inlineStr">
        <is>
          <t>23/12/2011</t>
        </is>
      </c>
      <c r="B2129" s="8" t="n">
        <v>157.3146926442</v>
      </c>
      <c r="C2129" s="15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9" t="inlineStr">
        <is>
          <t>26/12/2011</t>
        </is>
      </c>
      <c r="B2130" s="8" t="n">
        <v>158.0663156382</v>
      </c>
      <c r="C2130" s="15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9" t="inlineStr">
        <is>
          <t>27/12/2011</t>
        </is>
      </c>
      <c r="B2131" s="8" t="n">
        <v>157.84082874</v>
      </c>
      <c r="C2131" s="15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9" t="inlineStr">
        <is>
          <t>28/12/2011</t>
        </is>
      </c>
      <c r="B2132" s="8" t="n">
        <v>158.4170730354</v>
      </c>
      <c r="C2132" s="15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9" t="inlineStr">
        <is>
          <t>29/12/2011</t>
        </is>
      </c>
      <c r="B2133" s="8" t="n">
        <v>158.8179386322</v>
      </c>
      <c r="C2133" s="15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9" t="inlineStr">
        <is>
          <t>02/01/2012</t>
        </is>
      </c>
      <c r="B2134" s="8" t="n">
        <v>157.8720679619</v>
      </c>
      <c r="C2134" s="15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9" t="inlineStr">
        <is>
          <t>03/01/2012</t>
        </is>
      </c>
      <c r="B2135" s="8" t="n">
        <v>157.9720344447</v>
      </c>
      <c r="C2135" s="15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9" t="inlineStr">
        <is>
          <t>04/01/2012</t>
        </is>
      </c>
      <c r="B2136" s="8" t="n">
        <v>158.3968919966</v>
      </c>
      <c r="C2136" s="15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9" t="inlineStr">
        <is>
          <t>05/01/2012</t>
        </is>
      </c>
      <c r="B2137" s="8" t="n">
        <v>157.3472439272</v>
      </c>
      <c r="C2137" s="15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9" t="inlineStr">
        <is>
          <t>06/01/2012</t>
        </is>
      </c>
      <c r="B2138" s="8" t="n">
        <v>157.197294203</v>
      </c>
      <c r="C2138" s="15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9" t="inlineStr">
        <is>
          <t>09/01/2012</t>
        </is>
      </c>
      <c r="B2139" s="8" t="n">
        <v>155.6478137196</v>
      </c>
      <c r="C2139" s="15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9" t="inlineStr">
        <is>
          <t>10/01/2012</t>
        </is>
      </c>
      <c r="B2140" s="8" t="n">
        <v>155.8227550645</v>
      </c>
      <c r="C2140" s="15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9" t="inlineStr">
        <is>
          <t>11/01/2012</t>
        </is>
      </c>
      <c r="B2141" s="8" t="n">
        <v>156.1476461336</v>
      </c>
      <c r="C2141" s="15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9" t="inlineStr">
        <is>
          <t>12/01/2012</t>
        </is>
      </c>
      <c r="B2142" s="8" t="n">
        <v>156.0476796508</v>
      </c>
      <c r="C2142" s="15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9" t="inlineStr">
        <is>
          <t>13/01/2012</t>
        </is>
      </c>
      <c r="B2143" s="8" t="n">
        <v>155.1229896849</v>
      </c>
      <c r="C2143" s="15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9" t="inlineStr">
        <is>
          <t>16/01/2012</t>
        </is>
      </c>
      <c r="B2144" s="8" t="n">
        <v>153.948383512</v>
      </c>
      <c r="C2144" s="15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9" t="inlineStr">
        <is>
          <t>17/01/2012</t>
        </is>
      </c>
      <c r="B2145" s="8" t="n">
        <v>153.0736767875</v>
      </c>
      <c r="C2145" s="15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9" t="inlineStr">
        <is>
          <t>18/01/2012</t>
        </is>
      </c>
      <c r="B2146" s="8" t="n">
        <v>152.9737103047</v>
      </c>
      <c r="C2146" s="15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9" t="inlineStr">
        <is>
          <t>19/01/2012</t>
        </is>
      </c>
      <c r="B2147" s="8" t="n">
        <v>153.2486181324</v>
      </c>
      <c r="C2147" s="15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9" t="inlineStr">
        <is>
          <t>20/01/2012</t>
        </is>
      </c>
      <c r="B2148" s="8" t="n">
        <v>153.4985343394</v>
      </c>
      <c r="C2148" s="15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9" t="inlineStr">
        <is>
          <t>23/01/2012</t>
        </is>
      </c>
      <c r="B2149" s="8" t="n">
        <v>153.5485175808</v>
      </c>
      <c r="C2149" s="15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9" t="inlineStr">
        <is>
          <t>24/01/2012</t>
        </is>
      </c>
      <c r="B2150" s="8" t="n">
        <v>152.9237270633</v>
      </c>
      <c r="C2150" s="15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9" t="inlineStr">
        <is>
          <t>25/01/2012</t>
        </is>
      </c>
      <c r="B2151" s="8" t="n">
        <v>153.698467305</v>
      </c>
      <c r="C2151" s="15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9" t="inlineStr">
        <is>
          <t>26/01/2012</t>
        </is>
      </c>
      <c r="B2152" s="8" t="n">
        <v>154.1483164776</v>
      </c>
      <c r="C2152" s="15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9" t="inlineStr">
        <is>
          <t>27/01/2012</t>
        </is>
      </c>
      <c r="B2153" s="8" t="n">
        <v>154.1733080983</v>
      </c>
      <c r="C2153" s="15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9" t="inlineStr">
        <is>
          <t>30/01/2012</t>
        </is>
      </c>
      <c r="B2154" s="8" t="n">
        <v>154.2482829604</v>
      </c>
      <c r="C2154" s="15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9" t="inlineStr">
        <is>
          <t>31/01/2012</t>
        </is>
      </c>
      <c r="B2155" s="8" t="n">
        <v>153.8484170292</v>
      </c>
      <c r="C2155" s="15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9" t="inlineStr">
        <is>
          <t>01/02/2012</t>
        </is>
      </c>
      <c r="B2156" s="8" t="n">
        <v>153.3156160357</v>
      </c>
      <c r="C2156" s="15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9" t="inlineStr">
        <is>
          <t>02/02/2012</t>
        </is>
      </c>
      <c r="B2157" s="8" t="n">
        <v>153.3656292851</v>
      </c>
      <c r="C2157" s="15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9" t="inlineStr">
        <is>
          <t>03/02/2012</t>
        </is>
      </c>
      <c r="B2158" s="8" t="n">
        <v>153.3906359098</v>
      </c>
      <c r="C2158" s="15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9" t="inlineStr">
        <is>
          <t>06/02/2012</t>
        </is>
      </c>
      <c r="B2159" s="8" t="n">
        <v>150.6649138175</v>
      </c>
      <c r="C2159" s="15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9" t="inlineStr">
        <is>
          <t>07/02/2012</t>
        </is>
      </c>
      <c r="B2160" s="8" t="n">
        <v>149.9147150765</v>
      </c>
      <c r="C2160" s="15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9" t="inlineStr">
        <is>
          <t>08/02/2012</t>
        </is>
      </c>
      <c r="B2161" s="8" t="n">
        <v>149.0144765873</v>
      </c>
      <c r="C2161" s="15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9" t="inlineStr">
        <is>
          <t>09/02/2012</t>
        </is>
      </c>
      <c r="B2162" s="8" t="n">
        <v>148.7394037156</v>
      </c>
      <c r="C2162" s="15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9" t="inlineStr">
        <is>
          <t>10/02/2012</t>
        </is>
      </c>
      <c r="B2163" s="8" t="n">
        <v>147.7141321029</v>
      </c>
      <c r="C2163" s="15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9" t="inlineStr">
        <is>
          <t>13/02/2012</t>
        </is>
      </c>
      <c r="B2164" s="8" t="n">
        <v>147.2139996089</v>
      </c>
      <c r="C2164" s="15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9" t="inlineStr">
        <is>
          <t>14/02/2012</t>
        </is>
      </c>
      <c r="B2165" s="8" t="n">
        <v>146.2137346209</v>
      </c>
      <c r="C2165" s="15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9" t="inlineStr">
        <is>
          <t>15/02/2012</t>
        </is>
      </c>
      <c r="B2166" s="8" t="n">
        <v>146.1887279962</v>
      </c>
      <c r="C2166" s="15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9" t="inlineStr">
        <is>
          <t>16/02/2012</t>
        </is>
      </c>
      <c r="B2167" s="8" t="n">
        <v>146.1637213715</v>
      </c>
      <c r="C2167" s="15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9" t="inlineStr">
        <is>
          <t>17/02/2012</t>
        </is>
      </c>
      <c r="B2168" s="8" t="n">
        <v>146.0636948727</v>
      </c>
      <c r="C2168" s="15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9" t="inlineStr">
        <is>
          <t>22/02/2012</t>
        </is>
      </c>
      <c r="B2169" s="8" t="n">
        <v>146.038688248</v>
      </c>
      <c r="C2169" s="15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9" t="inlineStr">
        <is>
          <t>23/02/2012</t>
        </is>
      </c>
      <c r="B2170" s="8" t="n">
        <v>145.6135756281</v>
      </c>
      <c r="C2170" s="15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9" t="inlineStr">
        <is>
          <t>24/02/2012</t>
        </is>
      </c>
      <c r="B2171" s="8" t="n">
        <v>145.4135226305</v>
      </c>
      <c r="C2171" s="15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9" t="inlineStr">
        <is>
          <t>27/02/2012</t>
        </is>
      </c>
      <c r="B2172" s="8" t="n">
        <v>144.788357013</v>
      </c>
      <c r="C2172" s="15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9" t="inlineStr">
        <is>
          <t>28/02/2012</t>
        </is>
      </c>
      <c r="B2173" s="8" t="n">
        <v>144.2632178943</v>
      </c>
      <c r="C2173" s="15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9" t="inlineStr">
        <is>
          <t>29/02/2012</t>
        </is>
      </c>
      <c r="B2174" s="8" t="n">
        <v>143.8381052744</v>
      </c>
      <c r="C2174" s="15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9" t="inlineStr">
        <is>
          <t>01/03/2012</t>
        </is>
      </c>
      <c r="B2175" s="8" t="n">
        <v>143.5957429122</v>
      </c>
      <c r="C2175" s="15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9" t="inlineStr">
        <is>
          <t>02/03/2012</t>
        </is>
      </c>
      <c r="B2176" s="8" t="n">
        <v>143.296948233</v>
      </c>
      <c r="C2176" s="15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9" t="inlineStr">
        <is>
          <t>05/03/2012</t>
        </is>
      </c>
      <c r="B2177" s="8" t="n">
        <v>143.047952667</v>
      </c>
      <c r="C2177" s="15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9" t="inlineStr">
        <is>
          <t>06/03/2012</t>
        </is>
      </c>
      <c r="B2178" s="8" t="n">
        <v>142.8736557708</v>
      </c>
      <c r="C2178" s="15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9" t="inlineStr">
        <is>
          <t>07/03/2012</t>
        </is>
      </c>
      <c r="B2179" s="8" t="n">
        <v>142.5250619784</v>
      </c>
      <c r="C2179" s="15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9" t="inlineStr">
        <is>
          <t>08/03/2012</t>
        </is>
      </c>
      <c r="B2180" s="8" t="n">
        <v>143.1475508934</v>
      </c>
      <c r="C2180" s="15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9" t="inlineStr">
        <is>
          <t>09/03/2012</t>
        </is>
      </c>
      <c r="B2181" s="8" t="n">
        <v>143.2471491198</v>
      </c>
      <c r="C2181" s="15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9" t="inlineStr">
        <is>
          <t>12/03/2012</t>
        </is>
      </c>
      <c r="B2182" s="8" t="n">
        <v>142.798957101</v>
      </c>
      <c r="C2182" s="15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9" t="inlineStr">
        <is>
          <t>13/03/2012</t>
        </is>
      </c>
      <c r="B2183" s="8" t="n">
        <v>141.9523721766</v>
      </c>
      <c r="C2183" s="15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9" t="inlineStr">
        <is>
          <t>14/03/2012</t>
        </is>
      </c>
      <c r="B2184" s="8" t="n">
        <v>141.3298832616</v>
      </c>
      <c r="C2184" s="15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9" t="inlineStr">
        <is>
          <t>15/03/2012</t>
        </is>
      </c>
      <c r="B2185" s="8" t="n">
        <v>141.429481488</v>
      </c>
      <c r="C2185" s="15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9" t="inlineStr">
        <is>
          <t>16/03/2012</t>
        </is>
      </c>
      <c r="B2186" s="8" t="n">
        <v>141.3796823748</v>
      </c>
      <c r="C2186" s="15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9" t="inlineStr">
        <is>
          <t>19/03/2012</t>
        </is>
      </c>
      <c r="B2187" s="8" t="n">
        <v>141.429481488</v>
      </c>
      <c r="C2187" s="15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9" t="inlineStr">
        <is>
          <t>20/03/2012</t>
        </is>
      </c>
      <c r="B2188" s="8" t="n">
        <v>141.6037783842</v>
      </c>
      <c r="C2188" s="15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9" t="inlineStr">
        <is>
          <t>21/03/2012</t>
        </is>
      </c>
      <c r="B2189" s="8" t="n">
        <v>141.9523721766</v>
      </c>
      <c r="C2189" s="15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9" t="inlineStr">
        <is>
          <t>22/03/2012</t>
        </is>
      </c>
      <c r="B2190" s="8" t="n">
        <v>142.4503633086</v>
      </c>
      <c r="C2190" s="15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9" t="inlineStr">
        <is>
          <t>23/03/2012</t>
        </is>
      </c>
      <c r="B2191" s="8" t="n">
        <v>143.0977517802</v>
      </c>
      <c r="C2191" s="15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9" t="inlineStr">
        <is>
          <t>26/03/2012</t>
        </is>
      </c>
      <c r="B2192" s="8" t="n">
        <v>143.3218477896</v>
      </c>
      <c r="C2192" s="15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9" t="inlineStr">
        <is>
          <t>27/03/2012</t>
        </is>
      </c>
      <c r="B2193" s="8" t="n">
        <v>143.3467473462</v>
      </c>
      <c r="C2193" s="15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9" t="inlineStr">
        <is>
          <t>28/03/2012</t>
        </is>
      </c>
      <c r="B2194" s="8" t="n">
        <v>143.919437148</v>
      </c>
      <c r="C2194" s="15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9" t="inlineStr">
        <is>
          <t>29/03/2012</t>
        </is>
      </c>
      <c r="B2195" s="8" t="n">
        <v>144.6166247328</v>
      </c>
      <c r="C2195" s="15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9" t="inlineStr">
        <is>
          <t>30/03/2012</t>
        </is>
      </c>
      <c r="B2196" s="8" t="n">
        <v>144.6913234026</v>
      </c>
      <c r="C2196" s="15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9" t="inlineStr">
        <is>
          <t>02/04/2012</t>
        </is>
      </c>
      <c r="B2197" s="8" t="n">
        <v>143.9162274918</v>
      </c>
      <c r="C2197" s="15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9" t="inlineStr">
        <is>
          <t>03/04/2012</t>
        </is>
      </c>
      <c r="B2198" s="8" t="n">
        <v>143.7680893266</v>
      </c>
      <c r="C2198" s="15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9" t="inlineStr">
        <is>
          <t>04/04/2012</t>
        </is>
      </c>
      <c r="B2199" s="8" t="n">
        <v>143.7927790208</v>
      </c>
      <c r="C2199" s="15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9" t="inlineStr">
        <is>
          <t>05/04/2012</t>
        </is>
      </c>
      <c r="B2200" s="8" t="n">
        <v>144.1137450454</v>
      </c>
      <c r="C2200" s="15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9" t="inlineStr">
        <is>
          <t>09/04/2012</t>
        </is>
      </c>
      <c r="B2201" s="8" t="n">
        <v>144.5087801526</v>
      </c>
      <c r="C2201" s="15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9" t="inlineStr">
        <is>
          <t>10/04/2012</t>
        </is>
      </c>
      <c r="B2202" s="8" t="n">
        <v>144.8544358714</v>
      </c>
      <c r="C2202" s="15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9" t="inlineStr">
        <is>
          <t>11/04/2012</t>
        </is>
      </c>
      <c r="B2203" s="8" t="n">
        <v>144.6569183178</v>
      </c>
      <c r="C2203" s="15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9" t="inlineStr">
        <is>
          <t>12/04/2012</t>
        </is>
      </c>
      <c r="B2204" s="8" t="n">
        <v>143.8421584092</v>
      </c>
      <c r="C2204" s="15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9" t="inlineStr">
        <is>
          <t>13/04/2012</t>
        </is>
      </c>
      <c r="B2205" s="8" t="n">
        <v>141.3731889892</v>
      </c>
      <c r="C2205" s="15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9" t="inlineStr">
        <is>
          <t>16/04/2012</t>
        </is>
      </c>
      <c r="B2206" s="8" t="n">
        <v>140.0646351966</v>
      </c>
      <c r="C2206" s="15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9" t="inlineStr">
        <is>
          <t>17/04/2012</t>
        </is>
      </c>
      <c r="B2207" s="8" t="n">
        <v>139.49677223</v>
      </c>
      <c r="C2207" s="15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9" t="inlineStr">
        <is>
          <t>18/04/2012</t>
        </is>
      </c>
      <c r="B2208" s="8" t="n">
        <v>138.8301504866</v>
      </c>
      <c r="C2208" s="15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9" t="inlineStr">
        <is>
          <t>19/04/2012</t>
        </is>
      </c>
      <c r="B2209" s="8" t="n">
        <v>137.2006306694</v>
      </c>
      <c r="C2209" s="15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9" t="inlineStr">
        <is>
          <t>20/04/2012</t>
        </is>
      </c>
      <c r="B2210" s="8" t="n">
        <v>135.9414562652</v>
      </c>
      <c r="C2210" s="15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9" t="inlineStr">
        <is>
          <t>23/04/2012</t>
        </is>
      </c>
      <c r="B2211" s="8" t="n">
        <v>135.0032478856</v>
      </c>
      <c r="C2211" s="15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9" t="inlineStr">
        <is>
          <t>24/04/2012</t>
        </is>
      </c>
      <c r="B2212" s="8" t="n">
        <v>134.2872467538</v>
      </c>
      <c r="C2212" s="15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9" t="inlineStr">
        <is>
          <t>25/04/2012</t>
        </is>
      </c>
      <c r="B2213" s="8" t="n">
        <v>134.0897292002</v>
      </c>
      <c r="C2213" s="15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9" t="inlineStr">
        <is>
          <t>26/04/2012</t>
        </is>
      </c>
      <c r="B2214" s="8" t="n">
        <v>133.1762105148</v>
      </c>
      <c r="C2214" s="15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9" t="inlineStr">
        <is>
          <t>27/04/2012</t>
        </is>
      </c>
      <c r="B2215" s="8" t="n">
        <v>132.0157948874</v>
      </c>
      <c r="C2215" s="15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9" t="inlineStr">
        <is>
          <t>30/04/2012</t>
        </is>
      </c>
      <c r="B2216" s="8" t="n">
        <v>131.9417258048</v>
      </c>
      <c r="C2216" s="15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9" t="inlineStr">
        <is>
          <t>02/05/2012</t>
        </is>
      </c>
      <c r="B2217" s="8" t="n">
        <v>129.9007371615</v>
      </c>
      <c r="C2217" s="15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9" t="inlineStr">
        <is>
          <t>03/05/2012</t>
        </is>
      </c>
      <c r="B2218" s="8" t="n">
        <v>130.3895452035</v>
      </c>
      <c r="C2218" s="15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9" t="inlineStr">
        <is>
          <t>04/05/2012</t>
        </is>
      </c>
      <c r="B2219" s="8" t="n">
        <v>130.8539128434</v>
      </c>
      <c r="C2219" s="15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9" t="inlineStr">
        <is>
          <t>07/05/2012</t>
        </is>
      </c>
      <c r="B2220" s="8" t="n">
        <v>131.6115653085</v>
      </c>
      <c r="C2220" s="15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9" t="inlineStr">
        <is>
          <t>08/05/2012</t>
        </is>
      </c>
      <c r="B2221" s="8" t="n">
        <v>132.0759329484</v>
      </c>
      <c r="C2221" s="15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9" t="inlineStr">
        <is>
          <t>09/05/2012</t>
        </is>
      </c>
      <c r="B2222" s="8" t="n">
        <v>132.711383403</v>
      </c>
      <c r="C2222" s="15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9" t="inlineStr">
        <is>
          <t>10/05/2012</t>
        </is>
      </c>
      <c r="B2223" s="8" t="n">
        <v>132.5891813925</v>
      </c>
      <c r="C2223" s="15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9" t="inlineStr">
        <is>
          <t>11/05/2012</t>
        </is>
      </c>
      <c r="B2224" s="8" t="n">
        <v>132.8335854135</v>
      </c>
      <c r="C2224" s="15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9" t="inlineStr">
        <is>
          <t>14/05/2012</t>
        </is>
      </c>
      <c r="B2225" s="8" t="n">
        <v>133.3712742597</v>
      </c>
      <c r="C2225" s="15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9" t="inlineStr">
        <is>
          <t>15/05/2012</t>
        </is>
      </c>
      <c r="B2226" s="8" t="n">
        <v>133.7623206933</v>
      </c>
      <c r="C2226" s="15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9" t="inlineStr">
        <is>
          <t>16/05/2012</t>
        </is>
      </c>
      <c r="B2227" s="8" t="n">
        <v>134.3488903437</v>
      </c>
      <c r="C2227" s="15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9" t="inlineStr">
        <is>
          <t>17/05/2012</t>
        </is>
      </c>
      <c r="B2228" s="8" t="n">
        <v>134.42221155</v>
      </c>
      <c r="C2228" s="15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9" t="inlineStr">
        <is>
          <t>18/05/2012</t>
        </is>
      </c>
      <c r="B2229" s="8" t="n">
        <v>134.4710923542</v>
      </c>
      <c r="C2229" s="15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9" t="inlineStr">
        <is>
          <t>21/05/2012</t>
        </is>
      </c>
      <c r="B2230" s="8" t="n">
        <v>134.6910559731</v>
      </c>
      <c r="C2230" s="15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9" t="inlineStr">
        <is>
          <t>22/05/2012</t>
        </is>
      </c>
      <c r="B2231" s="8" t="n">
        <v>134.8865791899</v>
      </c>
      <c r="C2231" s="15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9" t="inlineStr">
        <is>
          <t>23/05/2012</t>
        </is>
      </c>
      <c r="B2232" s="8" t="n">
        <v>134.3000095395</v>
      </c>
      <c r="C2232" s="15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9" t="inlineStr">
        <is>
          <t>24/05/2012</t>
        </is>
      </c>
      <c r="B2233" s="8" t="n">
        <v>134.3733307458</v>
      </c>
      <c r="C2233" s="15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9" t="inlineStr">
        <is>
          <t>25/05/2012</t>
        </is>
      </c>
      <c r="B2234" s="8" t="n">
        <v>134.5932943647</v>
      </c>
      <c r="C2234" s="15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9" t="inlineStr">
        <is>
          <t>28/05/2012</t>
        </is>
      </c>
      <c r="B2235" s="8" t="n">
        <v>134.3488903437</v>
      </c>
      <c r="C2235" s="15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9" t="inlineStr">
        <is>
          <t>29/05/2012</t>
        </is>
      </c>
      <c r="B2236" s="8" t="n">
        <v>134.5444135605</v>
      </c>
      <c r="C2236" s="15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9" t="inlineStr">
        <is>
          <t>30/05/2012</t>
        </is>
      </c>
      <c r="B2237" s="8" t="n">
        <v>134.5688539626</v>
      </c>
      <c r="C2237" s="15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9" t="inlineStr">
        <is>
          <t>31/05/2012</t>
        </is>
      </c>
      <c r="B2238" s="8" t="n">
        <v>135.1309832109</v>
      </c>
      <c r="C2238" s="15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9" t="inlineStr">
        <is>
          <t>01/06/2012</t>
        </is>
      </c>
      <c r="B2239" s="8" t="n">
        <v>134.5363283271</v>
      </c>
      <c r="C2239" s="15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9" t="inlineStr">
        <is>
          <t>04/06/2012</t>
        </is>
      </c>
      <c r="B2240" s="8" t="n">
        <v>133.5651222031</v>
      </c>
      <c r="C2240" s="15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9" t="inlineStr">
        <is>
          <t>05/06/2012</t>
        </is>
      </c>
      <c r="B2241" s="8" t="n">
        <v>133.8807641934</v>
      </c>
      <c r="C2241" s="15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9" t="inlineStr">
        <is>
          <t>06/06/2012</t>
        </is>
      </c>
      <c r="B2242" s="8" t="n">
        <v>132.8852779163</v>
      </c>
      <c r="C2242" s="15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9" t="inlineStr">
        <is>
          <t>08/06/2012</t>
        </is>
      </c>
      <c r="B2243" s="8" t="n">
        <v>132.9095580694</v>
      </c>
      <c r="C2243" s="15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9" t="inlineStr">
        <is>
          <t>11/06/2012</t>
        </is>
      </c>
      <c r="B2244" s="8" t="n">
        <v>133.7593634279</v>
      </c>
      <c r="C2244" s="15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9" t="inlineStr">
        <is>
          <t>12/06/2012</t>
        </is>
      </c>
      <c r="B2245" s="8" t="n">
        <v>134.8519703174</v>
      </c>
      <c r="C2245" s="15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9" t="inlineStr">
        <is>
          <t>13/06/2012</t>
        </is>
      </c>
      <c r="B2246" s="8" t="n">
        <v>134.6334489395</v>
      </c>
      <c r="C2246" s="15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9" t="inlineStr">
        <is>
          <t>14/06/2012</t>
        </is>
      </c>
      <c r="B2247" s="8" t="n">
        <v>134.1721260306</v>
      </c>
      <c r="C2247" s="15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9" t="inlineStr">
        <is>
          <t>15/06/2012</t>
        </is>
      </c>
      <c r="B2248" s="8" t="n">
        <v>133.7593634279</v>
      </c>
      <c r="C2248" s="15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9" t="inlineStr">
        <is>
          <t>18/06/2012</t>
        </is>
      </c>
      <c r="B2249" s="8" t="n">
        <v>133.6379626624</v>
      </c>
      <c r="C2249" s="15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9" t="inlineStr">
        <is>
          <t>19/06/2012</t>
        </is>
      </c>
      <c r="B2250" s="8" t="n">
        <v>133.5651222031</v>
      </c>
      <c r="C2250" s="15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9" t="inlineStr">
        <is>
          <t>20/06/2012</t>
        </is>
      </c>
      <c r="B2251" s="8" t="n">
        <v>133.2737603659</v>
      </c>
      <c r="C2251" s="15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9" t="inlineStr">
        <is>
          <t>21/06/2012</t>
        </is>
      </c>
      <c r="B2252" s="8" t="n">
        <v>133.6379626624</v>
      </c>
      <c r="C2252" s="15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9" t="inlineStr">
        <is>
          <t>22/06/2012</t>
        </is>
      </c>
      <c r="B2253" s="8" t="n">
        <v>134.1235657244</v>
      </c>
      <c r="C2253" s="15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9" t="inlineStr">
        <is>
          <t>25/06/2012</t>
        </is>
      </c>
      <c r="B2254" s="8" t="n">
        <v>134.3420871023</v>
      </c>
      <c r="C2254" s="15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9" t="inlineStr">
        <is>
          <t>26/06/2012</t>
        </is>
      </c>
      <c r="B2255" s="8" t="n">
        <v>133.4437214376</v>
      </c>
      <c r="C2255" s="15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9" t="inlineStr">
        <is>
          <t>27/06/2012</t>
        </is>
      </c>
      <c r="B2256" s="8" t="n">
        <v>133.6622428155</v>
      </c>
      <c r="C2256" s="15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9" t="inlineStr">
        <is>
          <t>28/06/2012</t>
        </is>
      </c>
      <c r="B2257" s="8" t="n">
        <v>134.0992855713</v>
      </c>
      <c r="C2257" s="15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9" t="inlineStr">
        <is>
          <t>29/06/2012</t>
        </is>
      </c>
      <c r="B2258" s="8" t="n">
        <v>133.9050443465</v>
      </c>
      <c r="C2258" s="15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9" t="inlineStr">
        <is>
          <t>02/07/2012</t>
        </is>
      </c>
      <c r="B2259" s="8" t="n">
        <v>132.9011343564</v>
      </c>
      <c r="C2259" s="15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9" t="inlineStr">
        <is>
          <t>03/07/2012</t>
        </is>
      </c>
      <c r="B2260" s="8" t="n">
        <v>132.0386067132</v>
      </c>
      <c r="C2260" s="15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9" t="inlineStr">
        <is>
          <t>04/07/2012</t>
        </is>
      </c>
      <c r="B2261" s="8" t="n">
        <v>131.4875473856</v>
      </c>
      <c r="C2261" s="15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9" t="inlineStr">
        <is>
          <t>05/07/2012</t>
        </is>
      </c>
      <c r="B2262" s="8" t="n">
        <v>130.5531424388</v>
      </c>
      <c r="C2262" s="15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9" t="inlineStr">
        <is>
          <t>06/07/2012</t>
        </is>
      </c>
      <c r="B2263" s="8" t="n">
        <v>130.217715022</v>
      </c>
      <c r="C2263" s="15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9" t="inlineStr">
        <is>
          <t>10/07/2012</t>
        </is>
      </c>
      <c r="B2264" s="8" t="n">
        <v>130.4333469328</v>
      </c>
      <c r="C2264" s="15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9" t="inlineStr">
        <is>
          <t>11/07/2012</t>
        </is>
      </c>
      <c r="B2265" s="8" t="n">
        <v>131.4635882844</v>
      </c>
      <c r="C2265" s="15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9" t="inlineStr">
        <is>
          <t>12/07/2012</t>
        </is>
      </c>
      <c r="B2266" s="8" t="n">
        <v>131.2719154748</v>
      </c>
      <c r="C2266" s="15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9" t="inlineStr">
        <is>
          <t>13/07/2012</t>
        </is>
      </c>
      <c r="B2267" s="8" t="n">
        <v>132.5417478384</v>
      </c>
      <c r="C2267" s="15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9" t="inlineStr">
        <is>
          <t>16/07/2012</t>
        </is>
      </c>
      <c r="B2268" s="8" t="n">
        <v>134.6980669464</v>
      </c>
      <c r="C2268" s="15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9" t="inlineStr">
        <is>
          <t>17/07/2012</t>
        </is>
      </c>
      <c r="B2269" s="8" t="n">
        <v>136.1835312208</v>
      </c>
      <c r="C2269" s="15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9" t="inlineStr">
        <is>
          <t>18/07/2012</t>
        </is>
      </c>
      <c r="B2270" s="8" t="n">
        <v>136.8304269532</v>
      </c>
      <c r="C2270" s="15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9" t="inlineStr">
        <is>
          <t>19/07/2012</t>
        </is>
      </c>
      <c r="B2271" s="8" t="n">
        <v>138.3877685312</v>
      </c>
      <c r="C2271" s="15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9" t="inlineStr">
        <is>
          <t>20/07/2012</t>
        </is>
      </c>
      <c r="B2272" s="8" t="n">
        <v>140.2086602224</v>
      </c>
      <c r="C2272" s="15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9" t="inlineStr">
        <is>
          <t>23/07/2012</t>
        </is>
      </c>
      <c r="B2273" s="8" t="n">
        <v>141.8857973064</v>
      </c>
      <c r="C2273" s="15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9" t="inlineStr">
        <is>
          <t>24/07/2012</t>
        </is>
      </c>
      <c r="B2274" s="8" t="n">
        <v>142.0055928124</v>
      </c>
      <c r="C2274" s="15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9" t="inlineStr">
        <is>
          <t>25/07/2012</t>
        </is>
      </c>
      <c r="B2275" s="8" t="n">
        <v>142.2691429256</v>
      </c>
      <c r="C2275" s="15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9" t="inlineStr">
        <is>
          <t>26/07/2012</t>
        </is>
      </c>
      <c r="B2276" s="8" t="n">
        <v>142.317061128</v>
      </c>
      <c r="C2276" s="15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9" t="inlineStr">
        <is>
          <t>27/07/2012</t>
        </is>
      </c>
      <c r="B2277" s="8" t="n">
        <v>142.436856634</v>
      </c>
      <c r="C2277" s="15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9" t="inlineStr">
        <is>
          <t>30/07/2012</t>
        </is>
      </c>
      <c r="B2278" s="8" t="n">
        <v>143.1316705688</v>
      </c>
      <c r="C2278" s="15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9" t="inlineStr">
        <is>
          <t>31/07/2012</t>
        </is>
      </c>
      <c r="B2279" s="8" t="n">
        <v>142.8202022532</v>
      </c>
      <c r="C2279" s="15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9" t="inlineStr">
        <is>
          <t>01/08/2012</t>
        </is>
      </c>
      <c r="B2280" s="8" t="n">
        <v>140.1925122405</v>
      </c>
      <c r="C2280" s="15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9" t="inlineStr">
        <is>
          <t>02/08/2012</t>
        </is>
      </c>
      <c r="B2281" s="8" t="n">
        <v>139.7200859145</v>
      </c>
      <c r="C2281" s="15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9" t="inlineStr">
        <is>
          <t>03/08/2012</t>
        </is>
      </c>
      <c r="B2282" s="8" t="n">
        <v>139.4130088026</v>
      </c>
      <c r="C2282" s="15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9" t="inlineStr">
        <is>
          <t>06/08/2012</t>
        </is>
      </c>
      <c r="B2283" s="8" t="n">
        <v>138.6098840484</v>
      </c>
      <c r="C2283" s="15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9" t="inlineStr">
        <is>
          <t>07/08/2012</t>
        </is>
      </c>
      <c r="B2284" s="8" t="n">
        <v>137.7358953453</v>
      </c>
      <c r="C2284" s="15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9" t="inlineStr">
        <is>
          <t>08/08/2012</t>
        </is>
      </c>
      <c r="B2285" s="8" t="n">
        <v>137.2870903356</v>
      </c>
      <c r="C2285" s="15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9" t="inlineStr">
        <is>
          <t>09/08/2012</t>
        </is>
      </c>
      <c r="B2286" s="8" t="n">
        <v>137.4288182334</v>
      </c>
      <c r="C2286" s="15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9" t="inlineStr">
        <is>
          <t>10/08/2012</t>
        </is>
      </c>
      <c r="B2287" s="8" t="n">
        <v>136.7910426933</v>
      </c>
      <c r="C2287" s="15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9" t="inlineStr">
        <is>
          <t>13/08/2012</t>
        </is>
      </c>
      <c r="B2288" s="8" t="n">
        <v>136.8146640096</v>
      </c>
      <c r="C2288" s="15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9" t="inlineStr">
        <is>
          <t>14/08/2012</t>
        </is>
      </c>
      <c r="B2289" s="8" t="n">
        <v>135.9170539902</v>
      </c>
      <c r="C2289" s="15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9" t="inlineStr">
        <is>
          <t>15/08/2012</t>
        </is>
      </c>
      <c r="B2290" s="8" t="n">
        <v>132.6573123408</v>
      </c>
      <c r="C2290" s="15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9" t="inlineStr">
        <is>
          <t>16/08/2012</t>
        </is>
      </c>
      <c r="B2291" s="8" t="n">
        <v>130.9093349346</v>
      </c>
      <c r="C2291" s="15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9" t="inlineStr">
        <is>
          <t>17/08/2012</t>
        </is>
      </c>
      <c r="B2292" s="8" t="n">
        <v>130.2243167619</v>
      </c>
      <c r="C2292" s="15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9" t="inlineStr">
        <is>
          <t>20/08/2012</t>
        </is>
      </c>
      <c r="B2293" s="8" t="n">
        <v>130.4841512412</v>
      </c>
      <c r="C2293" s="15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9" t="inlineStr">
        <is>
          <t>21/08/2012</t>
        </is>
      </c>
      <c r="B2294" s="8" t="n">
        <v>129.1141148958</v>
      </c>
      <c r="C2294" s="15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9" t="inlineStr">
        <is>
          <t>22/08/2012</t>
        </is>
      </c>
      <c r="B2295" s="8" t="n">
        <v>128.6416885698</v>
      </c>
      <c r="C2295" s="15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9" t="inlineStr">
        <is>
          <t>23/08/2012</t>
        </is>
      </c>
      <c r="B2296" s="8" t="n">
        <v>127.7440785504</v>
      </c>
      <c r="C2296" s="15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9" t="inlineStr">
        <is>
          <t>24/08/2012</t>
        </is>
      </c>
      <c r="B2297" s="8" t="n">
        <v>126.7519832658</v>
      </c>
      <c r="C2297" s="15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9" t="inlineStr">
        <is>
          <t>27/08/2012</t>
        </is>
      </c>
      <c r="B2298" s="8" t="n">
        <v>126.1850716746</v>
      </c>
      <c r="C2298" s="15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9" t="inlineStr">
        <is>
          <t>28/08/2012</t>
        </is>
      </c>
      <c r="B2299" s="8" t="n">
        <v>126.5630127354</v>
      </c>
      <c r="C2299" s="15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9" t="inlineStr">
        <is>
          <t>29/08/2012</t>
        </is>
      </c>
      <c r="B2300" s="8" t="n">
        <v>126.2559356235</v>
      </c>
      <c r="C2300" s="15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9" t="inlineStr">
        <is>
          <t>30/08/2012</t>
        </is>
      </c>
      <c r="B2301" s="8" t="n">
        <v>125.3110829715</v>
      </c>
      <c r="C2301" s="15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9" t="inlineStr">
        <is>
          <t>31/08/2012</t>
        </is>
      </c>
      <c r="B2302" s="8" t="n">
        <v>125.9961011442</v>
      </c>
      <c r="C2302" s="15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9" t="inlineStr">
        <is>
          <t>03/09/2012</t>
        </is>
      </c>
      <c r="B2303" s="8" t="n">
        <v>124.8558631659</v>
      </c>
      <c r="C2303" s="15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9" t="inlineStr">
        <is>
          <t>04/09/2012</t>
        </is>
      </c>
      <c r="B2304" s="8" t="n">
        <v>122.7737623936</v>
      </c>
      <c r="C2304" s="15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9" t="inlineStr">
        <is>
          <t>05/09/2012</t>
        </is>
      </c>
      <c r="B2305" s="8" t="n">
        <v>121.5338596865</v>
      </c>
      <c r="C2305" s="15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9" t="inlineStr">
        <is>
          <t>06/09/2012</t>
        </is>
      </c>
      <c r="B2306" s="8" t="n">
        <v>120.6682672306</v>
      </c>
      <c r="C2306" s="15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9" t="inlineStr">
        <is>
          <t>10/09/2012</t>
        </is>
      </c>
      <c r="B2307" s="8" t="n">
        <v>119.1242374444</v>
      </c>
      <c r="C2307" s="15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9" t="inlineStr">
        <is>
          <t>11/09/2012</t>
        </is>
      </c>
      <c r="B2308" s="8" t="n">
        <v>118.0714898629</v>
      </c>
      <c r="C2308" s="15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9" t="inlineStr">
        <is>
          <t>12/09/2012</t>
        </is>
      </c>
      <c r="B2309" s="8" t="n">
        <v>118.5393776769</v>
      </c>
      <c r="C2309" s="15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9" t="inlineStr">
        <is>
          <t>13/09/2012</t>
        </is>
      </c>
      <c r="B2310" s="8" t="n">
        <v>118.2820393792</v>
      </c>
      <c r="C2310" s="15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9" t="inlineStr">
        <is>
          <t>14/09/2012</t>
        </is>
      </c>
      <c r="B2311" s="8" t="n">
        <v>116.5274600767</v>
      </c>
      <c r="C2311" s="15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9" t="inlineStr">
        <is>
          <t>17/09/2012</t>
        </is>
      </c>
      <c r="B2312" s="8" t="n">
        <v>115.7320507929</v>
      </c>
      <c r="C2312" s="15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9" t="inlineStr">
        <is>
          <t>18/09/2012</t>
        </is>
      </c>
      <c r="B2313" s="8" t="n">
        <v>116.3169105604</v>
      </c>
      <c r="C2313" s="15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9" t="inlineStr">
        <is>
          <t>19/09/2012</t>
        </is>
      </c>
      <c r="B2314" s="8" t="n">
        <v>116.6444320302</v>
      </c>
      <c r="C2314" s="15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9" t="inlineStr">
        <is>
          <t>20/09/2012</t>
        </is>
      </c>
      <c r="B2315" s="8" t="n">
        <v>116.2467273883</v>
      </c>
      <c r="C2315" s="15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9" t="inlineStr">
        <is>
          <t>21/09/2012</t>
        </is>
      </c>
      <c r="B2316" s="8" t="n">
        <v>114.0944434439</v>
      </c>
      <c r="C2316" s="15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9" t="inlineStr">
        <is>
          <t>24/09/2012</t>
        </is>
      </c>
      <c r="B2317" s="8" t="n">
        <v>112.5036248763</v>
      </c>
      <c r="C2317" s="15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9" t="inlineStr">
        <is>
          <t>25/09/2012</t>
        </is>
      </c>
      <c r="B2318" s="8" t="n">
        <v>111.7783987646</v>
      </c>
      <c r="C2318" s="15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9" t="inlineStr">
        <is>
          <t>26/09/2012</t>
        </is>
      </c>
      <c r="B2319" s="8" t="n">
        <v>111.3806941227</v>
      </c>
      <c r="C2319" s="15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9" t="inlineStr">
        <is>
          <t>27/09/2012</t>
        </is>
      </c>
      <c r="B2320" s="8" t="n">
        <v>110.2343689784</v>
      </c>
      <c r="C2320" s="15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9" t="inlineStr">
        <is>
          <t>28/09/2012</t>
        </is>
      </c>
      <c r="B2321" s="8" t="n">
        <v>110.6086792296</v>
      </c>
      <c r="C2321" s="15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9" t="inlineStr">
        <is>
          <t>01/10/2012</t>
        </is>
      </c>
      <c r="B2322" s="8" t="n">
        <v>109.9082604472</v>
      </c>
      <c r="C2322" s="15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9" t="inlineStr">
        <is>
          <t>02/10/2012</t>
        </is>
      </c>
      <c r="B2323" s="8" t="n">
        <v>110.0252090112</v>
      </c>
      <c r="C2323" s="15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9" t="inlineStr">
        <is>
          <t>03/10/2012</t>
        </is>
      </c>
      <c r="B2324" s="8" t="n">
        <v>110.8906283848</v>
      </c>
      <c r="C2324" s="15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9" t="inlineStr">
        <is>
          <t>04/10/2012</t>
        </is>
      </c>
      <c r="B2325" s="8" t="n">
        <v>111.8963860352</v>
      </c>
      <c r="C2325" s="15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9" t="inlineStr">
        <is>
          <t>05/10/2012</t>
        </is>
      </c>
      <c r="B2326" s="8" t="n">
        <v>114.492644156</v>
      </c>
      <c r="C2326" s="15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9" t="inlineStr">
        <is>
          <t>08/10/2012</t>
        </is>
      </c>
      <c r="B2327" s="8" t="n">
        <v>116.3404314672</v>
      </c>
      <c r="C2327" s="15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9" t="inlineStr">
        <is>
          <t>09/10/2012</t>
        </is>
      </c>
      <c r="B2328" s="8" t="n">
        <v>116.4573800312</v>
      </c>
      <c r="C2328" s="15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9" t="inlineStr">
        <is>
          <t>10/10/2012</t>
        </is>
      </c>
      <c r="B2329" s="8" t="n">
        <v>117.1122919896</v>
      </c>
      <c r="C2329" s="15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9" t="inlineStr">
        <is>
          <t>11/10/2012</t>
        </is>
      </c>
      <c r="B2330" s="8" t="n">
        <v>119.0068587264</v>
      </c>
      <c r="C2330" s="15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9" t="inlineStr">
        <is>
          <t>15/10/2012</t>
        </is>
      </c>
      <c r="B2331" s="8" t="n">
        <v>120.5271900584</v>
      </c>
      <c r="C2331" s="15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9" t="inlineStr">
        <is>
          <t>16/10/2012</t>
        </is>
      </c>
      <c r="B2332" s="8" t="n">
        <v>121.392609432</v>
      </c>
      <c r="C2332" s="15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9" t="inlineStr">
        <is>
          <t>17/10/2012</t>
        </is>
      </c>
      <c r="B2333" s="8" t="n">
        <v>122.3749773696</v>
      </c>
      <c r="C2333" s="15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9" t="inlineStr">
        <is>
          <t>18/10/2012</t>
        </is>
      </c>
      <c r="B2334" s="8" t="n">
        <v>122.2346390928</v>
      </c>
      <c r="C2334" s="15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9" t="inlineStr">
        <is>
          <t>19/10/2012</t>
        </is>
      </c>
      <c r="B2335" s="8" t="n">
        <v>122.4685362208</v>
      </c>
      <c r="C2335" s="15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9" t="inlineStr">
        <is>
          <t>22/10/2012</t>
        </is>
      </c>
      <c r="B2336" s="8" t="n">
        <v>122.3983670824</v>
      </c>
      <c r="C2336" s="15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9" t="inlineStr">
        <is>
          <t>23/10/2012</t>
        </is>
      </c>
      <c r="B2337" s="8" t="n">
        <v>121.2522711552</v>
      </c>
      <c r="C2337" s="15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9" t="inlineStr">
        <is>
          <t>24/10/2012</t>
        </is>
      </c>
      <c r="B2338" s="8" t="n">
        <v>122.4685362208</v>
      </c>
      <c r="C2338" s="15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9" t="inlineStr">
        <is>
          <t>25/10/2012</t>
        </is>
      </c>
      <c r="B2339" s="8" t="n">
        <v>122.0475213904</v>
      </c>
      <c r="C2339" s="15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9" t="inlineStr">
        <is>
          <t>26/10/2012</t>
        </is>
      </c>
      <c r="B2340" s="8" t="n">
        <v>120.4804106328</v>
      </c>
      <c r="C2340" s="15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9" t="inlineStr">
        <is>
          <t>29/10/2012</t>
        </is>
      </c>
      <c r="B2341" s="8" t="n">
        <v>119.3577044184</v>
      </c>
      <c r="C2341" s="15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9" t="inlineStr">
        <is>
          <t>30/10/2012</t>
        </is>
      </c>
      <c r="B2342" s="8" t="n">
        <v>119.7085501104</v>
      </c>
      <c r="C2342" s="15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9" t="inlineStr">
        <is>
          <t>31/10/2012</t>
        </is>
      </c>
      <c r="B2343" s="8" t="n">
        <v>119.5682118336</v>
      </c>
      <c r="C2343" s="15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9" t="inlineStr">
        <is>
          <t>01/11/2012</t>
        </is>
      </c>
      <c r="B2344" s="8" t="n">
        <v>118.9021910076</v>
      </c>
      <c r="C2344" s="15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9" t="inlineStr">
        <is>
          <t>05/11/2012</t>
        </is>
      </c>
      <c r="B2345" s="8" t="n">
        <v>117.685560954</v>
      </c>
      <c r="C2345" s="15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9" t="inlineStr">
        <is>
          <t>06/11/2012</t>
        </is>
      </c>
      <c r="B2346" s="8" t="n">
        <v>117.9429250038</v>
      </c>
      <c r="C2346" s="15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9" t="inlineStr">
        <is>
          <t>07/11/2012</t>
        </is>
      </c>
      <c r="B2347" s="8" t="n">
        <v>117.8493380766</v>
      </c>
      <c r="C2347" s="15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9" t="inlineStr">
        <is>
          <t>08/11/2012</t>
        </is>
      </c>
      <c r="B2348" s="8" t="n">
        <v>116.3519472414</v>
      </c>
      <c r="C2348" s="15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9" t="inlineStr">
        <is>
          <t>09/11/2012</t>
        </is>
      </c>
      <c r="B2349" s="8" t="n">
        <v>116.1881701188</v>
      </c>
      <c r="C2349" s="15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9" t="inlineStr">
        <is>
          <t>12/11/2012</t>
        </is>
      </c>
      <c r="B2350" s="8" t="n">
        <v>116.3519472414</v>
      </c>
      <c r="C2350" s="15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9" t="inlineStr">
        <is>
          <t>13/11/2012</t>
        </is>
      </c>
      <c r="B2351" s="8" t="n">
        <v>116.749691682</v>
      </c>
      <c r="C2351" s="15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9" t="inlineStr">
        <is>
          <t>14/11/2012</t>
        </is>
      </c>
      <c r="B2352" s="8" t="n">
        <v>117.568577295</v>
      </c>
      <c r="C2352" s="15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9" t="inlineStr">
        <is>
          <t>16/11/2012</t>
        </is>
      </c>
      <c r="B2353" s="8" t="n">
        <v>118.387462908</v>
      </c>
      <c r="C2353" s="15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9" t="inlineStr">
        <is>
          <t>19/11/2012</t>
        </is>
      </c>
      <c r="B2354" s="8" t="n">
        <v>118.738413885</v>
      </c>
      <c r="C2354" s="15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9" t="inlineStr">
        <is>
          <t>20/11/2012</t>
        </is>
      </c>
      <c r="B2355" s="8" t="n">
        <v>118.9957779348</v>
      </c>
      <c r="C2355" s="15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9" t="inlineStr">
        <is>
          <t>21/11/2012</t>
        </is>
      </c>
      <c r="B2356" s="8" t="n">
        <v>118.504446567</v>
      </c>
      <c r="C2356" s="15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9" t="inlineStr">
        <is>
          <t>22/11/2012</t>
        </is>
      </c>
      <c r="B2357" s="8" t="n">
        <v>117.9897184674</v>
      </c>
      <c r="C2357" s="15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9" t="inlineStr">
        <is>
          <t>23/11/2012</t>
        </is>
      </c>
      <c r="B2358" s="8" t="n">
        <v>118.0599086628</v>
      </c>
      <c r="C2358" s="15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9" t="inlineStr">
        <is>
          <t>26/11/2012</t>
        </is>
      </c>
      <c r="B2359" s="8" t="n">
        <v>117.8259413448</v>
      </c>
      <c r="C2359" s="15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9" t="inlineStr">
        <is>
          <t>27/11/2012</t>
        </is>
      </c>
      <c r="B2360" s="8" t="n">
        <v>117.0304524636</v>
      </c>
      <c r="C2360" s="15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9" t="inlineStr">
        <is>
          <t>28/11/2012</t>
        </is>
      </c>
      <c r="B2361" s="8" t="n">
        <v>116.5859145594</v>
      </c>
      <c r="C2361" s="15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9" t="inlineStr">
        <is>
          <t>29/11/2012</t>
        </is>
      </c>
      <c r="B2362" s="8" t="n">
        <v>115.7202354828</v>
      </c>
      <c r="C2362" s="15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9" t="inlineStr">
        <is>
          <t>30/11/2012</t>
        </is>
      </c>
      <c r="B2363" s="8" t="n">
        <v>115.696838751</v>
      </c>
      <c r="C2363" s="15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9" t="inlineStr">
        <is>
          <t>03/12/2012</t>
        </is>
      </c>
      <c r="B2364" s="8" t="n">
        <v>115.0083688614</v>
      </c>
      <c r="C2364" s="15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9" t="inlineStr">
        <is>
          <t>04/12/2012</t>
        </is>
      </c>
      <c r="B2365" s="8" t="n">
        <v>114.9618914442</v>
      </c>
      <c r="C2365" s="15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9" t="inlineStr">
        <is>
          <t>05/12/2012</t>
        </is>
      </c>
      <c r="B2366" s="8" t="n">
        <v>114.7062656496</v>
      </c>
      <c r="C2366" s="15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9" t="inlineStr">
        <is>
          <t>06/12/2012</t>
        </is>
      </c>
      <c r="B2367" s="8" t="n">
        <v>114.102059226</v>
      </c>
      <c r="C2367" s="15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9" t="inlineStr">
        <is>
          <t>07/12/2012</t>
        </is>
      </c>
      <c r="B2368" s="8" t="n">
        <v>113.2654657164</v>
      </c>
      <c r="C2368" s="15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9" t="inlineStr">
        <is>
          <t>10/12/2012</t>
        </is>
      </c>
      <c r="B2369" s="8" t="n">
        <v>113.4746140938</v>
      </c>
      <c r="C2369" s="15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9" t="inlineStr">
        <is>
          <t>11/12/2012</t>
        </is>
      </c>
      <c r="B2370" s="8" t="n">
        <v>113.2189882992</v>
      </c>
      <c r="C2370" s="15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9" t="inlineStr">
        <is>
          <t>12/12/2012</t>
        </is>
      </c>
      <c r="B2371" s="8" t="n">
        <v>113.8231947228</v>
      </c>
      <c r="C2371" s="15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9" t="inlineStr">
        <is>
          <t>13/12/2012</t>
        </is>
      </c>
      <c r="B2372" s="8" t="n">
        <v>113.4513753852</v>
      </c>
      <c r="C2372" s="15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9" t="inlineStr">
        <is>
          <t>14/12/2012</t>
        </is>
      </c>
      <c r="B2373" s="8" t="n">
        <v>112.2662012466</v>
      </c>
      <c r="C2373" s="15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9" t="inlineStr">
        <is>
          <t>17/12/2012</t>
        </is>
      </c>
      <c r="B2374" s="8" t="n">
        <v>112.940123796</v>
      </c>
      <c r="C2374" s="15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9" t="inlineStr">
        <is>
          <t>18/12/2012</t>
        </is>
      </c>
      <c r="B2375" s="8" t="n">
        <v>113.637285054</v>
      </c>
      <c r="C2375" s="15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9" t="inlineStr">
        <is>
          <t>19/12/2012</t>
        </is>
      </c>
      <c r="B2376" s="8" t="n">
        <v>113.6837624712</v>
      </c>
      <c r="C2376" s="15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9" t="inlineStr">
        <is>
          <t>20/12/2012</t>
        </is>
      </c>
      <c r="B2377" s="8" t="n">
        <v>114.8689366098</v>
      </c>
      <c r="C2377" s="15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9" t="inlineStr">
        <is>
          <t>21/12/2012</t>
        </is>
      </c>
      <c r="B2378" s="8" t="n">
        <v>114.1950140604</v>
      </c>
      <c r="C2378" s="15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9" t="inlineStr">
        <is>
          <t>26/12/2012</t>
        </is>
      </c>
      <c r="B2379" s="8" t="n">
        <v>115.3104720732</v>
      </c>
      <c r="C2379" s="15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9" t="inlineStr">
        <is>
          <t>27/12/2012</t>
        </is>
      </c>
      <c r="B2380" s="8" t="n">
        <v>114.915414027</v>
      </c>
      <c r="C2380" s="15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9" t="inlineStr">
        <is>
          <t>28/12/2012</t>
        </is>
      </c>
      <c r="B2381" s="8" t="n">
        <v>116.8209881322</v>
      </c>
      <c r="C2381" s="15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9" t="inlineStr">
        <is>
          <t>02/01/2013</t>
        </is>
      </c>
      <c r="B2382" s="8" t="n">
        <v>114.410225618</v>
      </c>
      <c r="C2382" s="15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9" t="inlineStr">
        <is>
          <t>03/01/2013</t>
        </is>
      </c>
      <c r="B2383" s="8" t="n">
        <v>113.9701862887</v>
      </c>
      <c r="C2383" s="15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9" t="inlineStr">
        <is>
          <t>04/01/2013</t>
        </is>
      </c>
      <c r="B2384" s="8" t="n">
        <v>114.2017859357</v>
      </c>
      <c r="C2384" s="15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9" t="inlineStr">
        <is>
          <t>07/01/2013</t>
        </is>
      </c>
      <c r="B2385" s="8" t="n">
        <v>114.6649852297</v>
      </c>
      <c r="C2385" s="15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9" t="inlineStr">
        <is>
          <t>08/01/2013</t>
        </is>
      </c>
      <c r="B2386" s="8" t="n">
        <v>113.9701862887</v>
      </c>
      <c r="C2386" s="15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9" t="inlineStr">
        <is>
          <t>09/01/2013</t>
        </is>
      </c>
      <c r="B2387" s="8" t="n">
        <v>113.9007063946</v>
      </c>
      <c r="C2387" s="15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9" t="inlineStr">
        <is>
          <t>10/01/2013</t>
        </is>
      </c>
      <c r="B2388" s="8" t="n">
        <v>115.4292640648</v>
      </c>
      <c r="C2388" s="15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9" t="inlineStr">
        <is>
          <t>11/01/2013</t>
        </is>
      </c>
      <c r="B2389" s="8" t="n">
        <v>114.5955053356</v>
      </c>
      <c r="C2389" s="15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9" t="inlineStr">
        <is>
          <t>14/01/2013</t>
        </is>
      </c>
      <c r="B2390" s="8" t="n">
        <v>113.9238663593</v>
      </c>
      <c r="C2390" s="15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9" t="inlineStr">
        <is>
          <t>15/01/2013</t>
        </is>
      </c>
      <c r="B2391" s="8" t="n">
        <v>113.9238663593</v>
      </c>
      <c r="C2391" s="15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9" t="inlineStr">
        <is>
          <t>16/01/2013</t>
        </is>
      </c>
      <c r="B2392" s="8" t="n">
        <v>113.1364275595</v>
      </c>
      <c r="C2392" s="15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9" t="inlineStr">
        <is>
          <t>17/01/2013</t>
        </is>
      </c>
      <c r="B2393" s="8" t="n">
        <v>112.9511478419</v>
      </c>
      <c r="C2393" s="15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9" t="inlineStr">
        <is>
          <t>18/01/2013</t>
        </is>
      </c>
      <c r="B2394" s="8" t="n">
        <v>112.557428442</v>
      </c>
      <c r="C2394" s="15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9" t="inlineStr">
        <is>
          <t>21/01/2013</t>
        </is>
      </c>
      <c r="B2395" s="8" t="n">
        <v>112.5805884067</v>
      </c>
      <c r="C2395" s="15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9" t="inlineStr">
        <is>
          <t>22/01/2013</t>
        </is>
      </c>
      <c r="B2396" s="8" t="n">
        <v>111.9784293245</v>
      </c>
      <c r="C2396" s="15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9" t="inlineStr">
        <is>
          <t>23/01/2013</t>
        </is>
      </c>
      <c r="B2397" s="8" t="n">
        <v>112.0015892892</v>
      </c>
      <c r="C2397" s="15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9" t="inlineStr">
        <is>
          <t>24/01/2013</t>
        </is>
      </c>
      <c r="B2398" s="8" t="n">
        <v>111.9321093951</v>
      </c>
      <c r="C2398" s="15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9" t="inlineStr">
        <is>
          <t>25/01/2013</t>
        </is>
      </c>
      <c r="B2399" s="8" t="n">
        <v>111.6078698893</v>
      </c>
      <c r="C2399" s="15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9" t="inlineStr">
        <is>
          <t>28/01/2013</t>
        </is>
      </c>
      <c r="B2400" s="8" t="n">
        <v>111.2141504894</v>
      </c>
      <c r="C2400" s="15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9" t="inlineStr">
        <is>
          <t>29/01/2013</t>
        </is>
      </c>
      <c r="B2401" s="8" t="n">
        <v>110.8435910542</v>
      </c>
      <c r="C2401" s="15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9" t="inlineStr">
        <is>
          <t>30/01/2013</t>
        </is>
      </c>
      <c r="B2402" s="8" t="n">
        <v>111.1909905247</v>
      </c>
      <c r="C2402" s="15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9" t="inlineStr">
        <is>
          <t>31/01/2013</t>
        </is>
      </c>
      <c r="B2403" s="8" t="n">
        <v>111.5152300305</v>
      </c>
      <c r="C2403" s="15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9" t="inlineStr">
        <is>
          <t>01/02/2013</t>
        </is>
      </c>
      <c r="B2404" s="8" t="n">
        <v>111.793188795</v>
      </c>
      <c r="C2404" s="15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9" t="inlineStr">
        <is>
          <t>04/02/2013</t>
        </is>
      </c>
      <c r="B2405" s="8" t="n">
        <v>111.95483976</v>
      </c>
      <c r="C2405" s="15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9" t="inlineStr">
        <is>
          <t>05/02/2013</t>
        </is>
      </c>
      <c r="B2406" s="8" t="n">
        <v>110.684725035</v>
      </c>
      <c r="C2406" s="15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9" t="inlineStr">
        <is>
          <t>06/02/2013</t>
        </is>
      </c>
      <c r="B2407" s="8" t="n">
        <v>110.453795085</v>
      </c>
      <c r="C2407" s="15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9" t="inlineStr">
        <is>
          <t>07/02/2013</t>
        </is>
      </c>
      <c r="B2408" s="8" t="n">
        <v>110.56926006</v>
      </c>
      <c r="C2408" s="15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9" t="inlineStr">
        <is>
          <t>08/02/2013</t>
        </is>
      </c>
      <c r="B2409" s="8" t="n">
        <v>109.945749195</v>
      </c>
      <c r="C2409" s="15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9" t="inlineStr">
        <is>
          <t>13/02/2013</t>
        </is>
      </c>
      <c r="B2410" s="8" t="n">
        <v>110.56926006</v>
      </c>
      <c r="C2410" s="15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9" t="inlineStr">
        <is>
          <t>14/02/2013</t>
        </is>
      </c>
      <c r="B2411" s="8" t="n">
        <v>111.100398945</v>
      </c>
      <c r="C2411" s="15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9" t="inlineStr">
        <is>
          <t>15/02/2013</t>
        </is>
      </c>
      <c r="B2412" s="8" t="n">
        <v>110.56926006</v>
      </c>
      <c r="C2412" s="15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9" t="inlineStr">
        <is>
          <t>18/02/2013</t>
        </is>
      </c>
      <c r="B2413" s="8" t="n">
        <v>112.00102575</v>
      </c>
      <c r="C2413" s="15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9" t="inlineStr">
        <is>
          <t>19/02/2013</t>
        </is>
      </c>
      <c r="B2414" s="8" t="n">
        <v>110.89256199</v>
      </c>
      <c r="C2414" s="15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9" t="inlineStr">
        <is>
          <t>20/02/2013</t>
        </is>
      </c>
      <c r="B2415" s="8" t="n">
        <v>111.16967793</v>
      </c>
      <c r="C2415" s="15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9" t="inlineStr">
        <is>
          <t>21/02/2013</t>
        </is>
      </c>
      <c r="B2416" s="8" t="n">
        <v>110.730911025</v>
      </c>
      <c r="C2416" s="15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9" t="inlineStr">
        <is>
          <t>22/02/2013</t>
        </is>
      </c>
      <c r="B2417" s="8" t="n">
        <v>110.961840975</v>
      </c>
      <c r="C2417" s="15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9" t="inlineStr">
        <is>
          <t>25/02/2013</t>
        </is>
      </c>
      <c r="B2418" s="8" t="n">
        <v>110.315237115</v>
      </c>
      <c r="C2418" s="15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9" t="inlineStr">
        <is>
          <t>26/02/2013</t>
        </is>
      </c>
      <c r="B2419" s="8" t="n">
        <v>109.59935427</v>
      </c>
      <c r="C2419" s="15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9" t="inlineStr">
        <is>
          <t>27/02/2013</t>
        </is>
      </c>
      <c r="B2420" s="8" t="n">
        <v>110.176679145</v>
      </c>
      <c r="C2420" s="15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9" t="inlineStr">
        <is>
          <t>28/02/2013</t>
        </is>
      </c>
      <c r="B2421" s="8" t="n">
        <v>110.29214412</v>
      </c>
      <c r="C2421" s="15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9" t="inlineStr">
        <is>
          <t>01/03/2013</t>
        </is>
      </c>
      <c r="B2422" s="8" t="n">
        <v>110.0149270836</v>
      </c>
      <c r="C2422" s="15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9" t="inlineStr">
        <is>
          <t>04/03/2013</t>
        </is>
      </c>
      <c r="B2423" s="8" t="n">
        <v>110.5219083144</v>
      </c>
      <c r="C2423" s="15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9" t="inlineStr">
        <is>
          <t>05/03/2013</t>
        </is>
      </c>
      <c r="B2424" s="8" t="n">
        <v>110.4758191116</v>
      </c>
      <c r="C2424" s="15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9" t="inlineStr">
        <is>
          <t>06/03/2013</t>
        </is>
      </c>
      <c r="B2425" s="8" t="n">
        <v>109.9918824822</v>
      </c>
      <c r="C2425" s="15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9" t="inlineStr">
        <is>
          <t>07/03/2013</t>
        </is>
      </c>
      <c r="B2426" s="8" t="n">
        <v>109.2774998388</v>
      </c>
      <c r="C2426" s="15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9" t="inlineStr">
        <is>
          <t>08/03/2013</t>
        </is>
      </c>
      <c r="B2427" s="8" t="n">
        <v>109.0240092234</v>
      </c>
      <c r="C2427" s="15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9" t="inlineStr">
        <is>
          <t>11/03/2013</t>
        </is>
      </c>
      <c r="B2428" s="8" t="n">
        <v>109.8997040766</v>
      </c>
      <c r="C2428" s="15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9" t="inlineStr">
        <is>
          <t>12/03/2013</t>
        </is>
      </c>
      <c r="B2429" s="8" t="n">
        <v>109.2774998388</v>
      </c>
      <c r="C2429" s="15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9" t="inlineStr">
        <is>
          <t>13/03/2013</t>
        </is>
      </c>
      <c r="B2430" s="8" t="n">
        <v>104.7146687616</v>
      </c>
      <c r="C2430" s="15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9" t="inlineStr">
        <is>
          <t>14/03/2013</t>
        </is>
      </c>
      <c r="B2431" s="8" t="n">
        <v>102.318030216</v>
      </c>
      <c r="C2431" s="15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9" t="inlineStr">
        <is>
          <t>15/03/2013</t>
        </is>
      </c>
      <c r="B2432" s="8" t="n">
        <v>100.4053282998</v>
      </c>
      <c r="C2432" s="15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9" t="inlineStr">
        <is>
          <t>18/03/2013</t>
        </is>
      </c>
      <c r="B2433" s="8" t="n">
        <v>99.64485645360001</v>
      </c>
      <c r="C2433" s="15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9" t="inlineStr">
        <is>
          <t>19/03/2013</t>
        </is>
      </c>
      <c r="B2434" s="8" t="n">
        <v>98.99960761440001</v>
      </c>
      <c r="C2434" s="15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9" t="inlineStr">
        <is>
          <t>20/03/2013</t>
        </is>
      </c>
      <c r="B2435" s="8" t="n">
        <v>98.81525080320002</v>
      </c>
      <c r="C2435" s="15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9" t="inlineStr">
        <is>
          <t>21/03/2013</t>
        </is>
      </c>
      <c r="B2436" s="8" t="n">
        <v>98.3774033766</v>
      </c>
      <c r="C2436" s="15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9" t="inlineStr">
        <is>
          <t>22/03/2013</t>
        </is>
      </c>
      <c r="B2437" s="8" t="n">
        <v>98.2160911668</v>
      </c>
      <c r="C2437" s="15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9" t="inlineStr">
        <is>
          <t>25/03/2013</t>
        </is>
      </c>
      <c r="B2438" s="8" t="n">
        <v>98.56176018780002</v>
      </c>
      <c r="C2438" s="15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9" t="inlineStr">
        <is>
          <t>26/03/2013</t>
        </is>
      </c>
      <c r="B2439" s="8" t="n">
        <v>98.5387155864</v>
      </c>
      <c r="C2439" s="15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9" t="inlineStr">
        <is>
          <t>27/03/2013</t>
        </is>
      </c>
      <c r="B2440" s="8" t="n">
        <v>99.55267804800002</v>
      </c>
      <c r="C2440" s="15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9" t="inlineStr">
        <is>
          <t>28/03/2013</t>
        </is>
      </c>
      <c r="B2441" s="8" t="n">
        <v>99.39136583820002</v>
      </c>
      <c r="C2441" s="15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9" t="inlineStr">
        <is>
          <t>01/04/2013</t>
        </is>
      </c>
      <c r="B2442" s="8" t="n">
        <v>99.15046143580001</v>
      </c>
      <c r="C2442" s="15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9" t="inlineStr">
        <is>
          <t>02/04/2013</t>
        </is>
      </c>
      <c r="B2443" s="8" t="n">
        <v>98.78230005660001</v>
      </c>
      <c r="C2443" s="15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9" t="inlineStr">
        <is>
          <t>03/04/2013</t>
        </is>
      </c>
      <c r="B2444" s="8" t="n">
        <v>98.8053101428</v>
      </c>
      <c r="C2444" s="15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9" t="inlineStr">
        <is>
          <t>04/04/2013</t>
        </is>
      </c>
      <c r="B2445" s="8" t="n">
        <v>98.1610277292</v>
      </c>
      <c r="C2445" s="15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9" t="inlineStr">
        <is>
          <t>05/04/2013</t>
        </is>
      </c>
      <c r="B2446" s="8" t="n">
        <v>97.83888652240002</v>
      </c>
      <c r="C2446" s="15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9" t="inlineStr">
        <is>
          <t>08/04/2013</t>
        </is>
      </c>
      <c r="B2447" s="8" t="n">
        <v>98.34510841880001</v>
      </c>
      <c r="C2447" s="15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9" t="inlineStr">
        <is>
          <t>09/04/2013</t>
        </is>
      </c>
      <c r="B2448" s="8" t="n">
        <v>97.93092686720001</v>
      </c>
      <c r="C2448" s="15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9" t="inlineStr">
        <is>
          <t>10/04/2013</t>
        </is>
      </c>
      <c r="B2449" s="8" t="n">
        <v>98.8743404014</v>
      </c>
      <c r="C2449" s="15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9" t="inlineStr">
        <is>
          <t>11/04/2013</t>
        </is>
      </c>
      <c r="B2450" s="8" t="n">
        <v>99.10444126340001</v>
      </c>
      <c r="C2450" s="15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9" t="inlineStr">
        <is>
          <t>12/04/2013</t>
        </is>
      </c>
      <c r="B2451" s="8" t="n">
        <v>100.2319354872</v>
      </c>
      <c r="C2451" s="15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9" t="inlineStr">
        <is>
          <t>15/04/2013</t>
        </is>
      </c>
      <c r="B2452" s="8" t="n">
        <v>101.5665204868</v>
      </c>
      <c r="C2452" s="15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9" t="inlineStr">
        <is>
          <t>16/04/2013</t>
        </is>
      </c>
      <c r="B2453" s="8" t="n">
        <v>103.1312063484</v>
      </c>
      <c r="C2453" s="15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9" t="inlineStr">
        <is>
          <t>17/04/2013</t>
        </is>
      </c>
      <c r="B2454" s="8" t="n">
        <v>103.8675291068</v>
      </c>
      <c r="C2454" s="15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9" t="inlineStr">
        <is>
          <t>18/04/2013</t>
        </is>
      </c>
      <c r="B2455" s="8" t="n">
        <v>104.2126803998</v>
      </c>
      <c r="C2455" s="15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9" t="inlineStr">
        <is>
          <t>19/04/2013</t>
        </is>
      </c>
      <c r="B2456" s="8" t="n">
        <v>104.1436501412</v>
      </c>
      <c r="C2456" s="15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9" t="inlineStr">
        <is>
          <t>22/04/2013</t>
        </is>
      </c>
      <c r="B2457" s="8" t="n">
        <v>104.9720132444</v>
      </c>
      <c r="C2457" s="15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9" t="inlineStr">
        <is>
          <t>23/04/2013</t>
        </is>
      </c>
      <c r="B2458" s="8" t="n">
        <v>105.1791040202</v>
      </c>
      <c r="C2458" s="15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9" t="inlineStr">
        <is>
          <t>24/04/2013</t>
        </is>
      </c>
      <c r="B2459" s="8" t="n">
        <v>105.386194796</v>
      </c>
      <c r="C2459" s="15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9" t="inlineStr">
        <is>
          <t>25/04/2013</t>
        </is>
      </c>
      <c r="B2460" s="8" t="n">
        <v>104.810942641</v>
      </c>
      <c r="C2460" s="15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9" t="inlineStr">
        <is>
          <t>26/04/2013</t>
        </is>
      </c>
      <c r="B2461" s="8" t="n">
        <v>104.6728821238</v>
      </c>
      <c r="C2461" s="15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9" t="inlineStr">
        <is>
          <t>29/04/2013</t>
        </is>
      </c>
      <c r="B2462" s="8" t="n">
        <v>104.2126803998</v>
      </c>
      <c r="C2462" s="15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9" t="inlineStr">
        <is>
          <t>30/04/2013</t>
        </is>
      </c>
      <c r="B2463" s="8" t="n">
        <v>104.5118115204</v>
      </c>
      <c r="C2463" s="15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9" t="inlineStr">
        <is>
          <t>02/05/2013</t>
        </is>
      </c>
      <c r="B2464" s="8" t="n">
        <v>103.7064585034</v>
      </c>
      <c r="C2464" s="15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9" t="inlineStr">
        <is>
          <t>03/05/2013</t>
        </is>
      </c>
      <c r="B2465" s="8" t="n">
        <v>103.8445190206</v>
      </c>
      <c r="C2465" s="15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9" t="inlineStr">
        <is>
          <t>06/05/2013</t>
        </is>
      </c>
      <c r="B2466" s="8" t="n">
        <v>104.6728821238</v>
      </c>
      <c r="C2466" s="15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9" t="inlineStr">
        <is>
          <t>07/05/2013</t>
        </is>
      </c>
      <c r="B2467" s="8" t="n">
        <v>104.4888014342</v>
      </c>
      <c r="C2467" s="15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9" t="inlineStr">
        <is>
          <t>08/05/2013</t>
        </is>
      </c>
      <c r="B2468" s="8" t="n">
        <v>104.4888014342</v>
      </c>
      <c r="C2468" s="15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9" t="inlineStr">
        <is>
          <t>09/05/2013</t>
        </is>
      </c>
      <c r="B2469" s="8" t="n">
        <v>103.6144181586</v>
      </c>
      <c r="C2469" s="15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9" t="inlineStr">
        <is>
          <t>10/05/2013</t>
        </is>
      </c>
      <c r="B2470" s="8" t="n">
        <v>103.6144181586</v>
      </c>
      <c r="C2470" s="15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9" t="inlineStr">
        <is>
          <t>13/05/2013</t>
        </is>
      </c>
      <c r="B2471" s="8" t="n">
        <v>103.5914080724</v>
      </c>
      <c r="C2471" s="15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9" t="inlineStr">
        <is>
          <t>14/05/2013</t>
        </is>
      </c>
      <c r="B2472" s="8" t="n">
        <v>102.8320752278</v>
      </c>
      <c r="C2472" s="15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9" t="inlineStr">
        <is>
          <t>15/05/2013</t>
        </is>
      </c>
      <c r="B2473" s="8" t="n">
        <v>102.6940147106</v>
      </c>
      <c r="C2473" s="15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9" t="inlineStr">
        <is>
          <t>16/05/2013</t>
        </is>
      </c>
      <c r="B2474" s="8" t="n">
        <v>102.279833159</v>
      </c>
      <c r="C2474" s="15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9" t="inlineStr">
        <is>
          <t>17/05/2013</t>
        </is>
      </c>
      <c r="B2475" s="8" t="n">
        <v>101.5435104006</v>
      </c>
      <c r="C2475" s="15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9" t="inlineStr">
        <is>
          <t>20/05/2013</t>
        </is>
      </c>
      <c r="B2476" s="8" t="n">
        <v>101.1063187628</v>
      </c>
      <c r="C2476" s="15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9" t="inlineStr">
        <is>
          <t>21/05/2013</t>
        </is>
      </c>
      <c r="B2477" s="8" t="n">
        <v>100.6921372112</v>
      </c>
      <c r="C2477" s="15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9" t="inlineStr">
        <is>
          <t>22/05/2013</t>
        </is>
      </c>
      <c r="B2478" s="8" t="n">
        <v>100.6461170388</v>
      </c>
      <c r="C2478" s="15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9" t="inlineStr">
        <is>
          <t>23/05/2013</t>
        </is>
      </c>
      <c r="B2479" s="8" t="n">
        <v>100.5080565216</v>
      </c>
      <c r="C2479" s="15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9" t="inlineStr">
        <is>
          <t>24/05/2013</t>
        </is>
      </c>
      <c r="B2480" s="8" t="n">
        <v>100.8532078146</v>
      </c>
      <c r="C2480" s="15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9" t="inlineStr">
        <is>
          <t>27/05/2013</t>
        </is>
      </c>
      <c r="B2481" s="8" t="n">
        <v>101.3824397972</v>
      </c>
      <c r="C2481" s="15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9" t="inlineStr">
        <is>
          <t>28/05/2013</t>
        </is>
      </c>
      <c r="B2482" s="8" t="n">
        <v>101.6815709178</v>
      </c>
      <c r="C2482" s="15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9" t="inlineStr">
        <is>
          <t>29/05/2013</t>
        </is>
      </c>
      <c r="B2483" s="8" t="n">
        <v>101.9116717798</v>
      </c>
      <c r="C2483" s="15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9" t="inlineStr">
        <is>
          <t>31/05/2013</t>
        </is>
      </c>
      <c r="B2484" s="8" t="n">
        <v>102.4178936762</v>
      </c>
      <c r="C2484" s="15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9" t="inlineStr">
        <is>
          <t>03/06/2013</t>
        </is>
      </c>
      <c r="B2485" s="8" t="n">
        <v>102.4091581252</v>
      </c>
      <c r="C2485" s="15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9" t="inlineStr">
        <is>
          <t>04/06/2013</t>
        </is>
      </c>
      <c r="B2486" s="8" t="n">
        <v>101.4270899273</v>
      </c>
      <c r="C2486" s="15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9" t="inlineStr">
        <is>
          <t>05/06/2013</t>
        </is>
      </c>
      <c r="B2487" s="8" t="n">
        <v>100.719087273</v>
      </c>
      <c r="C2487" s="15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9" t="inlineStr">
        <is>
          <t>06/06/2013</t>
        </is>
      </c>
      <c r="B2488" s="8" t="n">
        <v>101.0159916119</v>
      </c>
      <c r="C2488" s="15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9" t="inlineStr">
        <is>
          <t>07/06/2013</t>
        </is>
      </c>
      <c r="B2489" s="8" t="n">
        <v>100.9931528166</v>
      </c>
      <c r="C2489" s="15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9" t="inlineStr">
        <is>
          <t>10/06/2013</t>
        </is>
      </c>
      <c r="B2490" s="8" t="n">
        <v>100.719087273</v>
      </c>
      <c r="C2490" s="15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9" t="inlineStr">
        <is>
          <t>11/06/2013</t>
        </is>
      </c>
      <c r="B2491" s="8" t="n">
        <v>100.1252785952</v>
      </c>
      <c r="C2491" s="15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9" t="inlineStr">
        <is>
          <t>12/06/2013</t>
        </is>
      </c>
      <c r="B2492" s="8" t="n">
        <v>100.1937949811</v>
      </c>
      <c r="C2492" s="15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9" t="inlineStr">
        <is>
          <t>13/06/2013</t>
        </is>
      </c>
      <c r="B2493" s="8" t="n">
        <v>99.73701907510001</v>
      </c>
      <c r="C2493" s="15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9" t="inlineStr">
        <is>
          <t>14/06/2013</t>
        </is>
      </c>
      <c r="B2494" s="8" t="n">
        <v>99.16604919260001</v>
      </c>
      <c r="C2494" s="15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9" t="inlineStr">
        <is>
          <t>17/06/2013</t>
        </is>
      </c>
      <c r="B2495" s="8" t="n">
        <v>99.48579232680001</v>
      </c>
      <c r="C2495" s="15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9" t="inlineStr">
        <is>
          <t>18/06/2013</t>
        </is>
      </c>
      <c r="B2496" s="8" t="n">
        <v>99.8740518469</v>
      </c>
      <c r="C2496" s="15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9" t="inlineStr">
        <is>
          <t>19/06/2013</t>
        </is>
      </c>
      <c r="B2497" s="8" t="n">
        <v>100.2851501623</v>
      </c>
      <c r="C2497" s="15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9" t="inlineStr">
        <is>
          <t>20/06/2013</t>
        </is>
      </c>
      <c r="B2498" s="8" t="n">
        <v>100.7647648636</v>
      </c>
      <c r="C2498" s="15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9" t="inlineStr">
        <is>
          <t>21/06/2013</t>
        </is>
      </c>
      <c r="B2499" s="8" t="n">
        <v>101.4270899273</v>
      </c>
      <c r="C2499" s="15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9" t="inlineStr">
        <is>
          <t>24/06/2013</t>
        </is>
      </c>
      <c r="B2500" s="8" t="n">
        <v>101.7925106521</v>
      </c>
      <c r="C2500" s="15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9" t="inlineStr">
        <is>
          <t>25/06/2013</t>
        </is>
      </c>
      <c r="B2501" s="8" t="n">
        <v>102.0437374004</v>
      </c>
      <c r="C2501" s="15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9" t="inlineStr">
        <is>
          <t>26/06/2013</t>
        </is>
      </c>
      <c r="B2502" s="8" t="n">
        <v>102.317802944</v>
      </c>
      <c r="C2502" s="15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9" t="inlineStr">
        <is>
          <t>27/06/2013</t>
        </is>
      </c>
      <c r="B2503" s="8" t="n">
        <v>103.0943219842</v>
      </c>
      <c r="C2503" s="15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9" t="inlineStr">
        <is>
          <t>28/06/2013</t>
        </is>
      </c>
      <c r="B2504" s="8" t="n">
        <v>102.8430952359</v>
      </c>
      <c r="C2504" s="15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9" t="inlineStr">
        <is>
          <t>01/07/2013</t>
        </is>
      </c>
      <c r="B2505" s="8" t="n">
        <v>102.621955642</v>
      </c>
      <c r="C2505" s="15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9" t="inlineStr">
        <is>
          <t>02/07/2013</t>
        </is>
      </c>
      <c r="B2506" s="8" t="n">
        <v>102.9408695996</v>
      </c>
      <c r="C2506" s="15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9" t="inlineStr">
        <is>
          <t>03/07/2013</t>
        </is>
      </c>
      <c r="B2507" s="8" t="n">
        <v>103.1231061468</v>
      </c>
      <c r="C2507" s="15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9" t="inlineStr">
        <is>
          <t>04/07/2013</t>
        </is>
      </c>
      <c r="B2508" s="8" t="n">
        <v>103.1686652836</v>
      </c>
      <c r="C2508" s="15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9" t="inlineStr">
        <is>
          <t>05/07/2013</t>
        </is>
      </c>
      <c r="B2509" s="8" t="n">
        <v>103.0547674416</v>
      </c>
      <c r="C2509" s="15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9" t="inlineStr">
        <is>
          <t>08/07/2013</t>
        </is>
      </c>
      <c r="B2510" s="8" t="n">
        <v>103.07754701</v>
      </c>
      <c r="C2510" s="15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9" t="inlineStr">
        <is>
          <t>10/07/2013</t>
        </is>
      </c>
      <c r="B2511" s="8" t="n">
        <v>103.1686652836</v>
      </c>
      <c r="C2511" s="15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9" t="inlineStr">
        <is>
          <t>11/07/2013</t>
        </is>
      </c>
      <c r="B2512" s="8" t="n">
        <v>102.1891438424</v>
      </c>
      <c r="C2512" s="15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9" t="inlineStr">
        <is>
          <t>12/07/2013</t>
        </is>
      </c>
      <c r="B2513" s="8" t="n">
        <v>102.2574825476</v>
      </c>
      <c r="C2513" s="15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9" t="inlineStr">
        <is>
          <t>15/07/2013</t>
        </is>
      </c>
      <c r="B2514" s="8" t="n">
        <v>101.3007406748</v>
      </c>
      <c r="C2514" s="15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9" t="inlineStr">
        <is>
          <t>16/07/2013</t>
        </is>
      </c>
      <c r="B2515" s="8" t="n">
        <v>100.8907084436</v>
      </c>
      <c r="C2515" s="15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9" t="inlineStr">
        <is>
          <t>17/07/2013</t>
        </is>
      </c>
      <c r="B2516" s="8" t="n">
        <v>100.3895579388</v>
      </c>
      <c r="C2516" s="15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9" t="inlineStr">
        <is>
          <t>18/07/2013</t>
        </is>
      </c>
      <c r="B2517" s="8" t="n">
        <v>100.0934235496</v>
      </c>
      <c r="C2517" s="15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9" t="inlineStr">
        <is>
          <t>19/07/2013</t>
        </is>
      </c>
      <c r="B2518" s="8" t="n">
        <v>100.1845418232</v>
      </c>
      <c r="C2518" s="15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9" t="inlineStr">
        <is>
          <t>22/07/2013</t>
        </is>
      </c>
      <c r="B2519" s="8" t="n">
        <v>100.23010096</v>
      </c>
      <c r="C2519" s="15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9" t="inlineStr">
        <is>
          <t>23/07/2013</t>
        </is>
      </c>
      <c r="B2520" s="8" t="n">
        <v>100.343998802</v>
      </c>
      <c r="C2520" s="15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9" t="inlineStr">
        <is>
          <t>24/07/2013</t>
        </is>
      </c>
      <c r="B2521" s="8" t="n">
        <v>99.77450959199999</v>
      </c>
      <c r="C2521" s="15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9" t="inlineStr">
        <is>
          <t>25/07/2013</t>
        </is>
      </c>
      <c r="B2522" s="8" t="n">
        <v>100.5034557808</v>
      </c>
      <c r="C2522" s="15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9" t="inlineStr">
        <is>
          <t>26/07/2013</t>
        </is>
      </c>
      <c r="B2523" s="8" t="n">
        <v>100.0934235496</v>
      </c>
      <c r="C2523" s="15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9" t="inlineStr">
        <is>
          <t>29/07/2013</t>
        </is>
      </c>
      <c r="B2524" s="8" t="n">
        <v>99.95674613920001</v>
      </c>
      <c r="C2524" s="15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9" t="inlineStr">
        <is>
          <t>30/07/2013</t>
        </is>
      </c>
      <c r="B2525" s="8" t="n">
        <v>99.318918224</v>
      </c>
      <c r="C2525" s="15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9" t="inlineStr">
        <is>
          <t>31/07/2013</t>
        </is>
      </c>
      <c r="B2526" s="8" t="n">
        <v>100.2984396652</v>
      </c>
      <c r="C2526" s="15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9" t="inlineStr">
        <is>
          <t>01/08/2013</t>
        </is>
      </c>
      <c r="B2527" s="8" t="n">
        <v>100.648617135</v>
      </c>
      <c r="C2527" s="15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9" t="inlineStr">
        <is>
          <t>02/08/2013</t>
        </is>
      </c>
      <c r="B2528" s="8" t="n">
        <v>100.7850898362</v>
      </c>
      <c r="C2528" s="15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9" t="inlineStr">
        <is>
          <t>05/08/2013</t>
        </is>
      </c>
      <c r="B2529" s="8" t="n">
        <v>101.1490170394</v>
      </c>
      <c r="C2529" s="15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9" t="inlineStr">
        <is>
          <t>06/08/2013</t>
        </is>
      </c>
      <c r="B2530" s="8" t="n">
        <v>100.2164535812</v>
      </c>
      <c r="C2530" s="15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9" t="inlineStr">
        <is>
          <t>07/08/2013</t>
        </is>
      </c>
      <c r="B2531" s="8" t="n">
        <v>99.7842900274</v>
      </c>
      <c r="C2531" s="15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9" t="inlineStr">
        <is>
          <t>08/08/2013</t>
        </is>
      </c>
      <c r="B2532" s="8" t="n">
        <v>98.41956301540002</v>
      </c>
      <c r="C2532" s="15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9" t="inlineStr">
        <is>
          <t>09/08/2013</t>
        </is>
      </c>
      <c r="B2533" s="8" t="n">
        <v>97.37327230620001</v>
      </c>
      <c r="C2533" s="15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9" t="inlineStr">
        <is>
          <t>12/08/2013</t>
        </is>
      </c>
      <c r="B2534" s="8" t="n">
        <v>96.82738150140001</v>
      </c>
      <c r="C2534" s="15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9" t="inlineStr">
        <is>
          <t>13/08/2013</t>
        </is>
      </c>
      <c r="B2535" s="8" t="n">
        <v>96.89561785200002</v>
      </c>
      <c r="C2535" s="15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9" t="inlineStr">
        <is>
          <t>14/08/2013</t>
        </is>
      </c>
      <c r="B2536" s="8" t="n">
        <v>97.32778140580001</v>
      </c>
      <c r="C2536" s="15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9" t="inlineStr">
        <is>
          <t>15/08/2013</t>
        </is>
      </c>
      <c r="B2537" s="8" t="n">
        <v>97.5097450074</v>
      </c>
      <c r="C2537" s="15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9" t="inlineStr">
        <is>
          <t>16/08/2013</t>
        </is>
      </c>
      <c r="B2538" s="8" t="n">
        <v>97.94190856120001</v>
      </c>
      <c r="C2538" s="15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9" t="inlineStr">
        <is>
          <t>19/08/2013</t>
        </is>
      </c>
      <c r="B2539" s="8" t="n">
        <v>98.35132666480001</v>
      </c>
      <c r="C2539" s="15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9" t="inlineStr">
        <is>
          <t>20/08/2013</t>
        </is>
      </c>
      <c r="B2540" s="8" t="n">
        <v>98.487799366</v>
      </c>
      <c r="C2540" s="15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9" t="inlineStr">
        <is>
          <t>21/08/2013</t>
        </is>
      </c>
      <c r="B2541" s="8" t="n">
        <v>99.12467197160001</v>
      </c>
      <c r="C2541" s="15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9" t="inlineStr">
        <is>
          <t>22/08/2013</t>
        </is>
      </c>
      <c r="B2542" s="8" t="n">
        <v>99.2611446728</v>
      </c>
      <c r="C2542" s="15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9" t="inlineStr">
        <is>
          <t>23/08/2013</t>
        </is>
      </c>
      <c r="B2543" s="8" t="n">
        <v>99.05643562100001</v>
      </c>
      <c r="C2543" s="15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9" t="inlineStr">
        <is>
          <t>26/08/2013</t>
        </is>
      </c>
      <c r="B2544" s="8" t="n">
        <v>99.39761737400001</v>
      </c>
      <c r="C2544" s="15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9" t="inlineStr">
        <is>
          <t>27/08/2013</t>
        </is>
      </c>
      <c r="B2545" s="8" t="n">
        <v>100.1709626808</v>
      </c>
      <c r="C2545" s="15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9" t="inlineStr">
        <is>
          <t>28/08/2013</t>
        </is>
      </c>
      <c r="B2546" s="8" t="n">
        <v>100.193708131</v>
      </c>
      <c r="C2546" s="15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9" t="inlineStr">
        <is>
          <t>29/08/2013</t>
        </is>
      </c>
      <c r="B2547" s="8" t="n">
        <v>100.0572354298</v>
      </c>
      <c r="C2547" s="15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9" t="inlineStr">
        <is>
          <t>30/08/2013</t>
        </is>
      </c>
      <c r="B2548" s="8" t="n">
        <v>100.0572354298</v>
      </c>
      <c r="C2548" s="15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9" t="inlineStr">
        <is>
          <t>02/09/2013</t>
        </is>
      </c>
      <c r="B2549" s="8" t="n">
        <v>99.09397147319999</v>
      </c>
      <c r="C2549" s="15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9" t="inlineStr">
        <is>
          <t>03/09/2013</t>
        </is>
      </c>
      <c r="B2550" s="8" t="n">
        <v>99.5421576852</v>
      </c>
      <c r="C2550" s="15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9" t="inlineStr">
        <is>
          <t>04/09/2013</t>
        </is>
      </c>
      <c r="B2551" s="8" t="n">
        <v>99.9231159654</v>
      </c>
      <c r="C2551" s="15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9" t="inlineStr">
        <is>
          <t>05/09/2013</t>
        </is>
      </c>
      <c r="B2552" s="8" t="n">
        <v>99.67661354879999</v>
      </c>
      <c r="C2552" s="15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9" t="inlineStr">
        <is>
          <t>06/09/2013</t>
        </is>
      </c>
      <c r="B2553" s="8" t="n">
        <v>99.74384148059998</v>
      </c>
      <c r="C2553" s="15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9" t="inlineStr">
        <is>
          <t>09/09/2013</t>
        </is>
      </c>
      <c r="B2554" s="8" t="n">
        <v>100.1247997608</v>
      </c>
      <c r="C2554" s="15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9" t="inlineStr">
        <is>
          <t>10/09/2013</t>
        </is>
      </c>
      <c r="B2555" s="8" t="n">
        <v>100.2144370032</v>
      </c>
      <c r="C2555" s="15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9" t="inlineStr">
        <is>
          <t>11/09/2013</t>
        </is>
      </c>
      <c r="B2556" s="8" t="n">
        <v>100.3488928668</v>
      </c>
      <c r="C2556" s="15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9" t="inlineStr">
        <is>
          <t>12/09/2013</t>
        </is>
      </c>
      <c r="B2557" s="8" t="n">
        <v>100.5729859728</v>
      </c>
      <c r="C2557" s="15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9" t="inlineStr">
        <is>
          <t>13/09/2013</t>
        </is>
      </c>
      <c r="B2558" s="8" t="n">
        <v>100.4833487304</v>
      </c>
      <c r="C2558" s="15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9" t="inlineStr">
        <is>
          <t>16/09/2013</t>
        </is>
      </c>
      <c r="B2559" s="8" t="n">
        <v>100.7970790788</v>
      </c>
      <c r="C2559" s="15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9" t="inlineStr">
        <is>
          <t>17/09/2013</t>
        </is>
      </c>
      <c r="B2560" s="8" t="n">
        <v>100.8418977</v>
      </c>
      <c r="C2560" s="15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9" t="inlineStr">
        <is>
          <t>18/09/2013</t>
        </is>
      </c>
      <c r="B2561" s="8" t="n">
        <v>101.3797211544</v>
      </c>
      <c r="C2561" s="15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9" t="inlineStr">
        <is>
          <t>19/09/2013</t>
        </is>
      </c>
      <c r="B2562" s="8" t="n">
        <v>102.1192284042</v>
      </c>
      <c r="C2562" s="15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9" t="inlineStr">
        <is>
          <t>20/09/2013</t>
        </is>
      </c>
      <c r="B2563" s="8" t="n">
        <v>102.1416377148</v>
      </c>
      <c r="C2563" s="15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9" t="inlineStr">
        <is>
          <t>23/09/2013</t>
        </is>
      </c>
      <c r="B2564" s="8" t="n">
        <v>103.1052380706</v>
      </c>
      <c r="C2564" s="15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9" t="inlineStr">
        <is>
          <t>24/09/2013</t>
        </is>
      </c>
      <c r="B2565" s="8" t="n">
        <v>103.4637870402</v>
      </c>
      <c r="C2565" s="15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9" t="inlineStr">
        <is>
          <t>25/09/2013</t>
        </is>
      </c>
      <c r="B2566" s="8" t="n">
        <v>104.2705222218</v>
      </c>
      <c r="C2566" s="15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9" t="inlineStr">
        <is>
          <t>26/09/2013</t>
        </is>
      </c>
      <c r="B2567" s="8" t="n">
        <v>105.2565318882</v>
      </c>
      <c r="C2567" s="15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9" t="inlineStr">
        <is>
          <t>27/09/2013</t>
        </is>
      </c>
      <c r="B2568" s="8" t="n">
        <v>105.1668946458</v>
      </c>
      <c r="C2568" s="15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9" t="inlineStr">
        <is>
          <t>30/09/2013</t>
        </is>
      </c>
      <c r="B2569" s="8" t="n">
        <v>105.5702622366</v>
      </c>
      <c r="C2569" s="15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9" t="inlineStr">
        <is>
          <t>01/10/2013</t>
        </is>
      </c>
      <c r="B2570" s="8" t="n">
        <v>105.5143923162</v>
      </c>
      <c r="C2570" s="15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9" t="inlineStr">
        <is>
          <t>02/10/2013</t>
        </is>
      </c>
      <c r="B2571" s="8" t="n">
        <v>107.4473786568</v>
      </c>
      <c r="C2571" s="15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9" t="inlineStr">
        <is>
          <t>03/10/2013</t>
        </is>
      </c>
      <c r="B2572" s="8" t="n">
        <v>107.5140333582</v>
      </c>
      <c r="C2572" s="15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9" t="inlineStr">
        <is>
          <t>04/10/2013</t>
        </is>
      </c>
      <c r="B2573" s="8" t="n">
        <v>108.3361080088</v>
      </c>
      <c r="C2573" s="15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9" t="inlineStr">
        <is>
          <t>07/10/2013</t>
        </is>
      </c>
      <c r="B2574" s="8" t="n">
        <v>109.7358567382</v>
      </c>
      <c r="C2574" s="15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9" t="inlineStr">
        <is>
          <t>08/10/2013</t>
        </is>
      </c>
      <c r="B2575" s="8" t="n">
        <v>110.0469120114</v>
      </c>
      <c r="C2575" s="15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9" t="inlineStr">
        <is>
          <t>09/10/2013</t>
        </is>
      </c>
      <c r="B2576" s="8" t="n">
        <v>110.2913125832</v>
      </c>
      <c r="C2576" s="15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9" t="inlineStr">
        <is>
          <t>10/10/2013</t>
        </is>
      </c>
      <c r="B2577" s="8" t="n">
        <v>110.9356413634</v>
      </c>
      <c r="C2577" s="15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9" t="inlineStr">
        <is>
          <t>11/10/2013</t>
        </is>
      </c>
      <c r="B2578" s="8" t="n">
        <v>111.0245142986</v>
      </c>
      <c r="C2578" s="15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9" t="inlineStr">
        <is>
          <t>14/10/2013</t>
        </is>
      </c>
      <c r="B2579" s="8" t="n">
        <v>111.7799342478</v>
      </c>
      <c r="C2579" s="15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9" t="inlineStr">
        <is>
          <t>15/10/2013</t>
        </is>
      </c>
      <c r="B2580" s="8" t="n">
        <v>111.424442507</v>
      </c>
      <c r="C2580" s="15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9" t="inlineStr">
        <is>
          <t>16/10/2013</t>
        </is>
      </c>
      <c r="B2581" s="8" t="n">
        <v>112.5131359632</v>
      </c>
      <c r="C2581" s="15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9" t="inlineStr">
        <is>
          <t>17/10/2013</t>
        </is>
      </c>
      <c r="B2582" s="8" t="n">
        <v>113.2241194448</v>
      </c>
      <c r="C2582" s="15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9" t="inlineStr">
        <is>
          <t>18/10/2013</t>
        </is>
      </c>
      <c r="B2583" s="8" t="n">
        <v>115.0015781488</v>
      </c>
      <c r="C2583" s="15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9" t="inlineStr">
        <is>
          <t>21/10/2013</t>
        </is>
      </c>
      <c r="B2584" s="8" t="n">
        <v>115.5570339938</v>
      </c>
      <c r="C2584" s="15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9" t="inlineStr">
        <is>
          <t>22/10/2013</t>
        </is>
      </c>
      <c r="B2585" s="8" t="n">
        <v>116.1569263064</v>
      </c>
      <c r="C2585" s="15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9" t="inlineStr">
        <is>
          <t>23/10/2013</t>
        </is>
      </c>
      <c r="B2586" s="8" t="n">
        <v>116.5790727486</v>
      </c>
      <c r="C2586" s="15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9" t="inlineStr">
        <is>
          <t>24/10/2013</t>
        </is>
      </c>
      <c r="B2587" s="8" t="n">
        <v>116.7346003852</v>
      </c>
      <c r="C2587" s="15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9" t="inlineStr">
        <is>
          <t>25/10/2013</t>
        </is>
      </c>
      <c r="B2588" s="8" t="n">
        <v>116.9123462556</v>
      </c>
      <c r="C2588" s="15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9" t="inlineStr">
        <is>
          <t>28/10/2013</t>
        </is>
      </c>
      <c r="B2589" s="8" t="n">
        <v>117.090092126</v>
      </c>
      <c r="C2589" s="15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9" t="inlineStr">
        <is>
          <t>29/10/2013</t>
        </is>
      </c>
      <c r="B2590" s="8" t="n">
        <v>116.979000957</v>
      </c>
      <c r="C2590" s="15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9" t="inlineStr">
        <is>
          <t>30/10/2013</t>
        </is>
      </c>
      <c r="B2591" s="8" t="n">
        <v>117.4011473992</v>
      </c>
      <c r="C2591" s="15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9" t="inlineStr">
        <is>
          <t>31/10/2013</t>
        </is>
      </c>
      <c r="B2592" s="8" t="n">
        <v>116.534636281</v>
      </c>
      <c r="C2592" s="15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9" t="inlineStr">
        <is>
          <t>01/11/2013</t>
        </is>
      </c>
      <c r="B2593" s="8" t="n">
        <v>115.7767371072</v>
      </c>
      <c r="C2593" s="15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9" t="inlineStr">
        <is>
          <t>04/11/2013</t>
        </is>
      </c>
      <c r="B2594" s="8" t="n">
        <v>116.2641248256</v>
      </c>
      <c r="C2594" s="15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9" t="inlineStr">
        <is>
          <t>05/11/2013</t>
        </is>
      </c>
      <c r="B2595" s="8" t="n">
        <v>115.422273312</v>
      </c>
      <c r="C2595" s="15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9" t="inlineStr">
        <is>
          <t>06/11/2013</t>
        </is>
      </c>
      <c r="B2596" s="8" t="n">
        <v>114.868423632</v>
      </c>
      <c r="C2596" s="15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9" t="inlineStr">
        <is>
          <t>07/11/2013</t>
        </is>
      </c>
      <c r="B2597" s="8" t="n">
        <v>114.3588819264</v>
      </c>
      <c r="C2597" s="15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9" t="inlineStr">
        <is>
          <t>08/11/2013</t>
        </is>
      </c>
      <c r="B2598" s="8" t="n">
        <v>114.1816500288</v>
      </c>
      <c r="C2598" s="15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9" t="inlineStr">
        <is>
          <t>11/11/2013</t>
        </is>
      </c>
      <c r="B2599" s="8" t="n">
        <v>114.4474978752</v>
      </c>
      <c r="C2599" s="15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9" t="inlineStr">
        <is>
          <t>12/11/2013</t>
        </is>
      </c>
      <c r="B2600" s="8" t="n">
        <v>114.8905776192</v>
      </c>
      <c r="C2600" s="15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9" t="inlineStr">
        <is>
          <t>13/11/2013</t>
        </is>
      </c>
      <c r="B2601" s="8" t="n">
        <v>115.5773512224</v>
      </c>
      <c r="C2601" s="15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9" t="inlineStr">
        <is>
          <t>14/11/2013</t>
        </is>
      </c>
      <c r="B2602" s="8" t="n">
        <v>115.6659671712</v>
      </c>
      <c r="C2602" s="15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9" t="inlineStr">
        <is>
          <t>18/11/2013</t>
        </is>
      </c>
      <c r="B2603" s="8" t="n">
        <v>115.5995052096</v>
      </c>
      <c r="C2603" s="15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9" t="inlineStr">
        <is>
          <t>19/11/2013</t>
        </is>
      </c>
      <c r="B2604" s="8" t="n">
        <v>115.1564254656</v>
      </c>
      <c r="C2604" s="15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9" t="inlineStr">
        <is>
          <t>21/11/2013</t>
        </is>
      </c>
      <c r="B2605" s="8" t="n">
        <v>114.6247297728</v>
      </c>
      <c r="C2605" s="15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9" t="inlineStr">
        <is>
          <t>22/11/2013</t>
        </is>
      </c>
      <c r="B2606" s="8" t="n">
        <v>114.9127316064</v>
      </c>
      <c r="C2606" s="15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9" t="inlineStr">
        <is>
          <t>25/11/2013</t>
        </is>
      </c>
      <c r="B2607" s="8" t="n">
        <v>114.64688376</v>
      </c>
      <c r="C2607" s="15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9" t="inlineStr">
        <is>
          <t>26/11/2013</t>
        </is>
      </c>
      <c r="B2608" s="8" t="n">
        <v>114.8462696448</v>
      </c>
      <c r="C2608" s="15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9" t="inlineStr">
        <is>
          <t>27/11/2013</t>
        </is>
      </c>
      <c r="B2609" s="8" t="n">
        <v>115.5773512224</v>
      </c>
      <c r="C2609" s="15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9" t="inlineStr">
        <is>
          <t>28/11/2013</t>
        </is>
      </c>
      <c r="B2610" s="8" t="n">
        <v>115.20073344</v>
      </c>
      <c r="C2610" s="15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9" t="inlineStr">
        <is>
          <t>29/11/2013</t>
        </is>
      </c>
      <c r="B2611" s="8" t="n">
        <v>114.3810359136</v>
      </c>
      <c r="C2611" s="15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9" t="inlineStr">
        <is>
          <t>02/12/2013</t>
        </is>
      </c>
      <c r="B2612" s="8" t="n">
        <v>113.8970397492</v>
      </c>
      <c r="C2612" s="15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9" t="inlineStr">
        <is>
          <t>03/12/2013</t>
        </is>
      </c>
      <c r="B2613" s="8" t="n">
        <v>114.0291708858</v>
      </c>
      <c r="C2613" s="15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9" t="inlineStr">
        <is>
          <t>04/12/2013</t>
        </is>
      </c>
      <c r="B2614" s="8" t="n">
        <v>113.8750178931</v>
      </c>
      <c r="C2614" s="15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9" t="inlineStr">
        <is>
          <t>05/12/2013</t>
        </is>
      </c>
      <c r="B2615" s="8" t="n">
        <v>113.3464933467</v>
      </c>
      <c r="C2615" s="15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9" t="inlineStr">
        <is>
          <t>06/12/2013</t>
        </is>
      </c>
      <c r="B2616" s="8" t="n">
        <v>112.8620125125</v>
      </c>
      <c r="C2616" s="15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9" t="inlineStr">
        <is>
          <t>09/12/2013</t>
        </is>
      </c>
      <c r="B2617" s="8" t="n">
        <v>112.3555098222</v>
      </c>
      <c r="C2617" s="15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9" t="inlineStr">
        <is>
          <t>10/12/2013</t>
        </is>
      </c>
      <c r="B2618" s="8" t="n">
        <v>112.4876409588</v>
      </c>
      <c r="C2618" s="15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9" t="inlineStr">
        <is>
          <t>11/12/2013</t>
        </is>
      </c>
      <c r="B2619" s="8" t="n">
        <v>112.5096628149</v>
      </c>
      <c r="C2619" s="15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9" t="inlineStr">
        <is>
          <t>12/12/2013</t>
        </is>
      </c>
      <c r="B2620" s="8" t="n">
        <v>112.7739250881</v>
      </c>
      <c r="C2620" s="15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9" t="inlineStr">
        <is>
          <t>13/12/2013</t>
        </is>
      </c>
      <c r="B2621" s="8" t="n">
        <v>111.871028988</v>
      </c>
      <c r="C2621" s="15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9" t="inlineStr">
        <is>
          <t>16/12/2013</t>
        </is>
      </c>
      <c r="B2622" s="8" t="n">
        <v>111.8269852758</v>
      </c>
      <c r="C2622" s="15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9" t="inlineStr">
        <is>
          <t>17/12/2013</t>
        </is>
      </c>
      <c r="B2623" s="8" t="n">
        <v>112.4656191027</v>
      </c>
      <c r="C2623" s="15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9" t="inlineStr">
        <is>
          <t>18/12/2013</t>
        </is>
      </c>
      <c r="B2624" s="8" t="n">
        <v>111.0121766001</v>
      </c>
      <c r="C2624" s="15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9" t="inlineStr">
        <is>
          <t>19/12/2013</t>
        </is>
      </c>
      <c r="B2625" s="8" t="n">
        <v>111.2984607294</v>
      </c>
      <c r="C2625" s="15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9" t="inlineStr">
        <is>
          <t>20/12/2013</t>
        </is>
      </c>
      <c r="B2626" s="8" t="n">
        <v>111.3865481538</v>
      </c>
      <c r="C2626" s="15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9" t="inlineStr">
        <is>
          <t>23/12/2013</t>
        </is>
      </c>
      <c r="B2627" s="8" t="n">
        <v>111.2544170172</v>
      </c>
      <c r="C2627" s="15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9" t="inlineStr">
        <is>
          <t>26/12/2013</t>
        </is>
      </c>
      <c r="B2628" s="8" t="n">
        <v>112.1352912612</v>
      </c>
      <c r="C2628" s="15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9" t="inlineStr">
        <is>
          <t>27/12/2013</t>
        </is>
      </c>
      <c r="B2629" s="8" t="n">
        <v>112.2894442539</v>
      </c>
      <c r="C2629" s="15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9" t="inlineStr">
        <is>
          <t>30/12/2013</t>
        </is>
      </c>
      <c r="B2630" s="8" t="n">
        <v>112.8179688003</v>
      </c>
      <c r="C2630" s="15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9" t="inlineStr">
        <is>
          <t>02/01/2014</t>
        </is>
      </c>
      <c r="B2631" s="8" t="n">
        <v>111.7311127978</v>
      </c>
      <c r="C2631" s="15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9" t="inlineStr">
        <is>
          <t>03/01/2014</t>
        </is>
      </c>
      <c r="B2632" s="8" t="n">
        <v>112.3666958247</v>
      </c>
      <c r="C2632" s="15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9" t="inlineStr">
        <is>
          <t>06/01/2014</t>
        </is>
      </c>
      <c r="B2633" s="8" t="n">
        <v>112.3886124808</v>
      </c>
      <c r="C2633" s="15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9" t="inlineStr">
        <is>
          <t>07/01/2014</t>
        </is>
      </c>
      <c r="B2634" s="8" t="n">
        <v>111.7968627661</v>
      </c>
      <c r="C2634" s="15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9" t="inlineStr">
        <is>
          <t>08/01/2014</t>
        </is>
      </c>
      <c r="B2635" s="8" t="n">
        <v>111.8406960783</v>
      </c>
      <c r="C2635" s="15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9" t="inlineStr">
        <is>
          <t>09/01/2014</t>
        </is>
      </c>
      <c r="B2636" s="8" t="n">
        <v>111.6215295173</v>
      </c>
      <c r="C2636" s="15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9" t="inlineStr">
        <is>
          <t>10/01/2014</t>
        </is>
      </c>
      <c r="B2637" s="8" t="n">
        <v>111.0078631465</v>
      </c>
      <c r="C2637" s="15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9" t="inlineStr">
        <is>
          <t>13/01/2014</t>
        </is>
      </c>
      <c r="B2638" s="8" t="n">
        <v>110.9640298343</v>
      </c>
      <c r="C2638" s="15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9" t="inlineStr">
        <is>
          <t>14/01/2014</t>
        </is>
      </c>
      <c r="B2639" s="8" t="n">
        <v>110.5914466806</v>
      </c>
      <c r="C2639" s="15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9" t="inlineStr">
        <is>
          <t>15/01/2014</t>
        </is>
      </c>
      <c r="B2640" s="8" t="n">
        <v>110.0435302781</v>
      </c>
      <c r="C2640" s="15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9" t="inlineStr">
        <is>
          <t>16/01/2014</t>
        </is>
      </c>
      <c r="B2641" s="8" t="n">
        <v>110.2188635269</v>
      </c>
      <c r="C2641" s="15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9" t="inlineStr">
        <is>
          <t>17/01/2014</t>
        </is>
      </c>
      <c r="B2642" s="8" t="n">
        <v>108.8600308487</v>
      </c>
      <c r="C2642" s="15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9" t="inlineStr">
        <is>
          <t>20/01/2014</t>
        </is>
      </c>
      <c r="B2643" s="8" t="n">
        <v>108.6408642877</v>
      </c>
      <c r="C2643" s="15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9" t="inlineStr">
        <is>
          <t>21/01/2014</t>
        </is>
      </c>
      <c r="B2644" s="8" t="n">
        <v>108.7504475682</v>
      </c>
      <c r="C2644" s="15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9" t="inlineStr">
        <is>
          <t>22/01/2014</t>
        </is>
      </c>
      <c r="B2645" s="8" t="n">
        <v>108.8381141926</v>
      </c>
      <c r="C2645" s="15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9" t="inlineStr">
        <is>
          <t>23/01/2014</t>
        </is>
      </c>
      <c r="B2646" s="8" t="n">
        <v>108.9696141292</v>
      </c>
      <c r="C2646" s="15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9" t="inlineStr">
        <is>
          <t>24/01/2014</t>
        </is>
      </c>
      <c r="B2647" s="8" t="n">
        <v>108.8819475048</v>
      </c>
      <c r="C2647" s="15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9" t="inlineStr">
        <is>
          <t>27/01/2014</t>
        </is>
      </c>
      <c r="B2648" s="8" t="n">
        <v>109.0791974097</v>
      </c>
      <c r="C2648" s="15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9" t="inlineStr">
        <is>
          <t>28/01/2014</t>
        </is>
      </c>
      <c r="B2649" s="8" t="n">
        <v>109.4517805634</v>
      </c>
      <c r="C2649" s="15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9" t="inlineStr">
        <is>
          <t>29/01/2014</t>
        </is>
      </c>
      <c r="B2650" s="8" t="n">
        <v>109.9777803098</v>
      </c>
      <c r="C2650" s="15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9" t="inlineStr">
        <is>
          <t>30/01/2014</t>
        </is>
      </c>
      <c r="B2651" s="8" t="n">
        <v>109.2326140024</v>
      </c>
      <c r="C2651" s="15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9" t="inlineStr">
        <is>
          <t>31/01/2014</t>
        </is>
      </c>
      <c r="B2652" s="8" t="n">
        <v>109.4736972195</v>
      </c>
      <c r="C2652" s="15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9" t="inlineStr">
        <is>
          <t>03/02/2014</t>
        </is>
      </c>
      <c r="B2653" s="8" t="n">
        <v>108.950103619</v>
      </c>
      <c r="C2653" s="15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9" t="inlineStr">
        <is>
          <t>04/02/2014</t>
        </is>
      </c>
      <c r="B2654" s="8" t="n">
        <v>108.7972678023</v>
      </c>
      <c r="C2654" s="15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9" t="inlineStr">
        <is>
          <t>05/02/2014</t>
        </is>
      </c>
      <c r="B2655" s="8" t="n">
        <v>108.731766738</v>
      </c>
      <c r="C2655" s="15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9" t="inlineStr">
        <is>
          <t>06/02/2014</t>
        </is>
      </c>
      <c r="B2656" s="8" t="n">
        <v>109.0374383714</v>
      </c>
      <c r="C2656" s="15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9" t="inlineStr">
        <is>
          <t>07/02/2014</t>
        </is>
      </c>
      <c r="B2657" s="8" t="n">
        <v>109.386777381</v>
      </c>
      <c r="C2657" s="15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9" t="inlineStr">
        <is>
          <t>10/02/2014</t>
        </is>
      </c>
      <c r="B2658" s="8" t="n">
        <v>109.5177795096</v>
      </c>
      <c r="C2658" s="15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9" t="inlineStr">
        <is>
          <t>11/02/2014</t>
        </is>
      </c>
      <c r="B2659" s="8" t="n">
        <v>108.731766738</v>
      </c>
      <c r="C2659" s="15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9" t="inlineStr">
        <is>
          <t>12/02/2014</t>
        </is>
      </c>
      <c r="B2660" s="8" t="n">
        <v>109.3212763167</v>
      </c>
      <c r="C2660" s="15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9" t="inlineStr">
        <is>
          <t>13/02/2014</t>
        </is>
      </c>
      <c r="B2661" s="8" t="n">
        <v>109.3649436929</v>
      </c>
      <c r="C2661" s="15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9" t="inlineStr">
        <is>
          <t>14/02/2014</t>
        </is>
      </c>
      <c r="B2662" s="8" t="n">
        <v>108.2077582236</v>
      </c>
      <c r="C2662" s="15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9" t="inlineStr">
        <is>
          <t>17/02/2014</t>
        </is>
      </c>
      <c r="B2663" s="8" t="n">
        <v>108.9719373071</v>
      </c>
      <c r="C2663" s="15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9" t="inlineStr">
        <is>
          <t>18/02/2014</t>
        </is>
      </c>
      <c r="B2664" s="8" t="n">
        <v>109.6487816382</v>
      </c>
      <c r="C2664" s="15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9" t="inlineStr">
        <is>
          <t>19/02/2014</t>
        </is>
      </c>
      <c r="B2665" s="8" t="n">
        <v>110.4129607217</v>
      </c>
      <c r="C2665" s="15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9" t="inlineStr">
        <is>
          <t>20/02/2014</t>
        </is>
      </c>
      <c r="B2666" s="8" t="n">
        <v>110.041788024</v>
      </c>
      <c r="C2666" s="15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9" t="inlineStr">
        <is>
          <t>21/02/2014</t>
        </is>
      </c>
      <c r="B2667" s="8" t="n">
        <v>110.1291227764</v>
      </c>
      <c r="C2667" s="15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9" t="inlineStr">
        <is>
          <t>24/02/2014</t>
        </is>
      </c>
      <c r="B2668" s="8" t="n">
        <v>111.1989734933</v>
      </c>
      <c r="C2668" s="15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9" t="inlineStr">
        <is>
          <t>25/02/2014</t>
        </is>
      </c>
      <c r="B2669" s="8" t="n">
        <v>111.8976515125</v>
      </c>
      <c r="C2669" s="15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9" t="inlineStr">
        <is>
          <t>26/02/2014</t>
        </is>
      </c>
      <c r="B2670" s="8" t="n">
        <v>112.3343252745</v>
      </c>
      <c r="C2670" s="15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9" t="inlineStr">
        <is>
          <t>27/02/2014</t>
        </is>
      </c>
      <c r="B2671" s="8" t="n">
        <v>112.7054979722</v>
      </c>
      <c r="C2671" s="15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9" t="inlineStr">
        <is>
          <t>28/02/2014</t>
        </is>
      </c>
      <c r="B2672" s="8" t="n">
        <v>112.4216600269</v>
      </c>
      <c r="C2672" s="15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9" t="inlineStr">
        <is>
          <t>05/03/2014</t>
        </is>
      </c>
      <c r="B2673" s="8" t="n">
        <v>111.1978332366</v>
      </c>
      <c r="C2673" s="15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9" t="inlineStr">
        <is>
          <t>06/03/2014</t>
        </is>
      </c>
      <c r="B2674" s="8" t="n">
        <v>111.2193082913</v>
      </c>
      <c r="C2674" s="15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9" t="inlineStr">
        <is>
          <t>07/03/2014</t>
        </is>
      </c>
      <c r="B2675" s="8" t="n">
        <v>111.3052085101</v>
      </c>
      <c r="C2675" s="15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9" t="inlineStr">
        <is>
          <t>10/03/2014</t>
        </is>
      </c>
      <c r="B2676" s="8" t="n">
        <v>111.6488093853</v>
      </c>
      <c r="C2676" s="15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9" t="inlineStr">
        <is>
          <t>11/03/2014</t>
        </is>
      </c>
      <c r="B2677" s="8" t="n">
        <v>111.3696336742</v>
      </c>
      <c r="C2677" s="15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9" t="inlineStr">
        <is>
          <t>12/03/2014</t>
        </is>
      </c>
      <c r="B2678" s="8" t="n">
        <v>111.1119330178</v>
      </c>
      <c r="C2678" s="15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9" t="inlineStr">
        <is>
          <t>13/03/2014</t>
        </is>
      </c>
      <c r="B2679" s="8" t="n">
        <v>111.4984840024</v>
      </c>
      <c r="C2679" s="15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9" t="inlineStr">
        <is>
          <t>14/03/2014</t>
        </is>
      </c>
      <c r="B2680" s="8" t="n">
        <v>111.1978332366</v>
      </c>
      <c r="C2680" s="15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9" t="inlineStr">
        <is>
          <t>17/03/2014</t>
        </is>
      </c>
      <c r="B2681" s="8" t="n">
        <v>110.9401325802</v>
      </c>
      <c r="C2681" s="15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9" t="inlineStr">
        <is>
          <t>18/03/2014</t>
        </is>
      </c>
      <c r="B2682" s="8" t="n">
        <v>111.4340588383</v>
      </c>
      <c r="C2682" s="15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9" t="inlineStr">
        <is>
          <t>19/03/2014</t>
        </is>
      </c>
      <c r="B2683" s="8" t="n">
        <v>111.5414341118</v>
      </c>
      <c r="C2683" s="15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9" t="inlineStr">
        <is>
          <t>20/03/2014</t>
        </is>
      </c>
      <c r="B2684" s="8" t="n">
        <v>111.5843842212</v>
      </c>
      <c r="C2684" s="15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9" t="inlineStr">
        <is>
          <t>21/03/2014</t>
        </is>
      </c>
      <c r="B2685" s="8" t="n">
        <v>111.4984840024</v>
      </c>
      <c r="C2685" s="15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9" t="inlineStr">
        <is>
          <t>24/03/2014</t>
        </is>
      </c>
      <c r="B2686" s="8" t="n">
        <v>111.7561846588</v>
      </c>
      <c r="C2686" s="15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9" t="inlineStr">
        <is>
          <t>25/03/2014</t>
        </is>
      </c>
      <c r="B2687" s="8" t="n">
        <v>111.7347096041</v>
      </c>
      <c r="C2687" s="15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9" t="inlineStr">
        <is>
          <t>26/03/2014</t>
        </is>
      </c>
      <c r="B2688" s="8" t="n">
        <v>110.6824319238</v>
      </c>
      <c r="C2688" s="15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9" t="inlineStr">
        <is>
          <t>27/03/2014</t>
        </is>
      </c>
      <c r="B2689" s="8" t="n">
        <v>111.240783346</v>
      </c>
      <c r="C2689" s="15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9" t="inlineStr">
        <is>
          <t>28/03/2014</t>
        </is>
      </c>
      <c r="B2690" s="8" t="n">
        <v>111.5629091665</v>
      </c>
      <c r="C2690" s="15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9" t="inlineStr">
        <is>
          <t>31/03/2014</t>
        </is>
      </c>
      <c r="B2691" s="8" t="n">
        <v>111.3696336742</v>
      </c>
      <c r="C2691" s="15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9" t="inlineStr">
        <is>
          <t>01/04/2014</t>
        </is>
      </c>
      <c r="B2692" s="8" t="n">
        <v>110.2945853432</v>
      </c>
      <c r="C2692" s="15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9" t="inlineStr">
        <is>
          <t>02/04/2014</t>
        </is>
      </c>
      <c r="B2693" s="8" t="n">
        <v>110.3158941889</v>
      </c>
      <c r="C2693" s="15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9" t="inlineStr">
        <is>
          <t>03/04/2014</t>
        </is>
      </c>
      <c r="B2694" s="8" t="n">
        <v>110.9764684056</v>
      </c>
      <c r="C2694" s="15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9" t="inlineStr">
        <is>
          <t>04/04/2014</t>
        </is>
      </c>
      <c r="B2695" s="8" t="n">
        <v>110.9125418685</v>
      </c>
      <c r="C2695" s="15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9" t="inlineStr">
        <is>
          <t>07/04/2014</t>
        </is>
      </c>
      <c r="B2696" s="8" t="n">
        <v>110.592909183</v>
      </c>
      <c r="C2696" s="15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9" t="inlineStr">
        <is>
          <t>08/04/2014</t>
        </is>
      </c>
      <c r="B2697" s="8" t="n">
        <v>110.1028057319</v>
      </c>
      <c r="C2697" s="15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9" t="inlineStr">
        <is>
          <t>09/04/2014</t>
        </is>
      </c>
      <c r="B2698" s="8" t="n">
        <v>110.0388791948</v>
      </c>
      <c r="C2698" s="15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9" t="inlineStr">
        <is>
          <t>10/04/2014</t>
        </is>
      </c>
      <c r="B2699" s="8" t="n">
        <v>109.5487757437</v>
      </c>
      <c r="C2699" s="15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9" t="inlineStr">
        <is>
          <t>11/04/2014</t>
        </is>
      </c>
      <c r="B2700" s="8" t="n">
        <v>109.2717607496</v>
      </c>
      <c r="C2700" s="15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9" t="inlineStr">
        <is>
          <t>14/04/2014</t>
        </is>
      </c>
      <c r="B2701" s="8" t="n">
        <v>109.7192465093</v>
      </c>
      <c r="C2701" s="15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9" t="inlineStr">
        <is>
          <t>15/04/2014</t>
        </is>
      </c>
      <c r="B2702" s="8" t="n">
        <v>109.3356872867</v>
      </c>
      <c r="C2702" s="15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9" t="inlineStr">
        <is>
          <t>16/04/2014</t>
        </is>
      </c>
      <c r="B2703" s="8" t="n">
        <v>110.1880411147</v>
      </c>
      <c r="C2703" s="15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9" t="inlineStr">
        <is>
          <t>17/04/2014</t>
        </is>
      </c>
      <c r="B2704" s="8" t="n">
        <v>110.3158941889</v>
      </c>
      <c r="C2704" s="15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9" t="inlineStr">
        <is>
          <t>22/04/2014</t>
        </is>
      </c>
      <c r="B2705" s="8" t="n">
        <v>109.8470995835</v>
      </c>
      <c r="C2705" s="15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9" t="inlineStr">
        <is>
          <t>23/04/2014</t>
        </is>
      </c>
      <c r="B2706" s="8" t="n">
        <v>110.3585118803</v>
      </c>
      <c r="C2706" s="15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9" t="inlineStr">
        <is>
          <t>24/04/2014</t>
        </is>
      </c>
      <c r="B2707" s="8" t="n">
        <v>109.8470995835</v>
      </c>
      <c r="C2707" s="15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9" t="inlineStr">
        <is>
          <t>25/04/2014</t>
        </is>
      </c>
      <c r="B2708" s="8" t="n">
        <v>110.9125418685</v>
      </c>
      <c r="C2708" s="15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9" t="inlineStr">
        <is>
          <t>28/04/2014</t>
        </is>
      </c>
      <c r="B2709" s="8" t="n">
        <v>110.5289826459</v>
      </c>
      <c r="C2709" s="15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9" t="inlineStr">
        <is>
          <t>29/04/2014</t>
        </is>
      </c>
      <c r="B2710" s="8" t="n">
        <v>110.3372030346</v>
      </c>
      <c r="C2710" s="15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9" t="inlineStr">
        <is>
          <t>30/04/2014</t>
        </is>
      </c>
      <c r="B2711" s="8" t="n">
        <v>109.9962615034</v>
      </c>
      <c r="C2711" s="15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9" t="inlineStr">
        <is>
          <t>02/05/2014</t>
        </is>
      </c>
      <c r="B2712" s="8" t="n">
        <v>109.9687498128</v>
      </c>
      <c r="C2712" s="15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9" t="inlineStr">
        <is>
          <t>05/05/2014</t>
        </is>
      </c>
      <c r="B2713" s="8" t="n">
        <v>110.5661741424</v>
      </c>
      <c r="C2713" s="15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9" t="inlineStr">
        <is>
          <t>06/05/2014</t>
        </is>
      </c>
      <c r="B2714" s="8" t="n">
        <v>110.843549724</v>
      </c>
      <c r="C2714" s="15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9" t="inlineStr">
        <is>
          <t>07/05/2014</t>
        </is>
      </c>
      <c r="B2715" s="8" t="n">
        <v>110.7795399744</v>
      </c>
      <c r="C2715" s="15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9" t="inlineStr">
        <is>
          <t>08/05/2014</t>
        </is>
      </c>
      <c r="B2716" s="8" t="n">
        <v>110.4381546432</v>
      </c>
      <c r="C2716" s="15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9" t="inlineStr">
        <is>
          <t>09/05/2014</t>
        </is>
      </c>
      <c r="B2717" s="8" t="n">
        <v>110.41681806</v>
      </c>
      <c r="C2717" s="15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9" t="inlineStr">
        <is>
          <t>12/05/2014</t>
        </is>
      </c>
      <c r="B2718" s="8" t="n">
        <v>110.3741448936</v>
      </c>
      <c r="C2718" s="15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9" t="inlineStr">
        <is>
          <t>13/05/2014</t>
        </is>
      </c>
      <c r="B2719" s="8" t="n">
        <v>109.8407303136</v>
      </c>
      <c r="C2719" s="15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9" t="inlineStr">
        <is>
          <t>14/05/2014</t>
        </is>
      </c>
      <c r="B2720" s="8" t="n">
        <v>109.4139986496</v>
      </c>
      <c r="C2720" s="15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9" t="inlineStr">
        <is>
          <t>15/05/2014</t>
        </is>
      </c>
      <c r="B2721" s="8" t="n">
        <v>110.0114229792</v>
      </c>
      <c r="C2721" s="15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9" t="inlineStr">
        <is>
          <t>16/05/2014</t>
        </is>
      </c>
      <c r="B2722" s="8" t="n">
        <v>110.096769312</v>
      </c>
      <c r="C2722" s="15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9" t="inlineStr">
        <is>
          <t>19/05/2014</t>
        </is>
      </c>
      <c r="B2723" s="8" t="n">
        <v>109.136623068</v>
      </c>
      <c r="C2723" s="15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9" t="inlineStr">
        <is>
          <t>20/05/2014</t>
        </is>
      </c>
      <c r="B2724" s="8" t="n">
        <v>109.6060278984</v>
      </c>
      <c r="C2724" s="15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9" t="inlineStr">
        <is>
          <t>21/05/2014</t>
        </is>
      </c>
      <c r="B2725" s="8" t="n">
        <v>109.3073157336</v>
      </c>
      <c r="C2725" s="15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9" t="inlineStr">
        <is>
          <t>22/05/2014</t>
        </is>
      </c>
      <c r="B2726" s="8" t="n">
        <v>109.6060278984</v>
      </c>
      <c r="C2726" s="15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9" t="inlineStr">
        <is>
          <t>23/05/2014</t>
        </is>
      </c>
      <c r="B2727" s="8" t="n">
        <v>109.7980571472</v>
      </c>
      <c r="C2727" s="15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9" t="inlineStr">
        <is>
          <t>26/05/2014</t>
        </is>
      </c>
      <c r="B2728" s="8" t="n">
        <v>110.3741448936</v>
      </c>
      <c r="C2728" s="15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9" t="inlineStr">
        <is>
          <t>27/05/2014</t>
        </is>
      </c>
      <c r="B2729" s="8" t="n">
        <v>109.990086396</v>
      </c>
      <c r="C2729" s="15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9" t="inlineStr">
        <is>
          <t>28/05/2014</t>
        </is>
      </c>
      <c r="B2730" s="8" t="n">
        <v>109.8620668968</v>
      </c>
      <c r="C2730" s="15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9" t="inlineStr">
        <is>
          <t>29/05/2014</t>
        </is>
      </c>
      <c r="B2731" s="8" t="n">
        <v>108.1124670744</v>
      </c>
      <c r="C2731" s="15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9" t="inlineStr">
        <is>
          <t>30/05/2014</t>
        </is>
      </c>
      <c r="B2732" s="8" t="n">
        <v>108.7525645704</v>
      </c>
      <c r="C2732" s="15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9" t="inlineStr">
        <is>
          <t>02/06/2014</t>
        </is>
      </c>
      <c r="B2733" s="8" t="n">
        <v>110.0147423298</v>
      </c>
      <c r="C2733" s="15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9" t="inlineStr">
        <is>
          <t>03/06/2014</t>
        </is>
      </c>
      <c r="B2734" s="8" t="n">
        <v>109.1764119369</v>
      </c>
      <c r="C2734" s="15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9" t="inlineStr">
        <is>
          <t>04/06/2014</t>
        </is>
      </c>
      <c r="B2735" s="8" t="n">
        <v>108.1016293819</v>
      </c>
      <c r="C2735" s="15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9" t="inlineStr">
        <is>
          <t>05/06/2014</t>
        </is>
      </c>
      <c r="B2736" s="8" t="n">
        <v>107.693212011</v>
      </c>
      <c r="C2736" s="15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9" t="inlineStr">
        <is>
          <t>06/06/2014</t>
        </is>
      </c>
      <c r="B2737" s="8" t="n">
        <v>107.8436815687</v>
      </c>
      <c r="C2737" s="15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9" t="inlineStr">
        <is>
          <t>09/06/2014</t>
        </is>
      </c>
      <c r="B2738" s="8" t="n">
        <v>107.263298989</v>
      </c>
      <c r="C2738" s="15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9" t="inlineStr">
        <is>
          <t>10/06/2014</t>
        </is>
      </c>
      <c r="B2739" s="8" t="n">
        <v>107.1773163846</v>
      </c>
      <c r="C2739" s="15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9" t="inlineStr">
        <is>
          <t>11/06/2014</t>
        </is>
      </c>
      <c r="B2740" s="8" t="n">
        <v>106.9623598736</v>
      </c>
      <c r="C2740" s="15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9" t="inlineStr">
        <is>
          <t>13/06/2014</t>
        </is>
      </c>
      <c r="B2741" s="8" t="n">
        <v>106.5754381538</v>
      </c>
      <c r="C2741" s="15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9" t="inlineStr">
        <is>
          <t>16/06/2014</t>
        </is>
      </c>
      <c r="B2742" s="8" t="n">
        <v>105.6081338543</v>
      </c>
      <c r="C2742" s="15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9" t="inlineStr">
        <is>
          <t>17/06/2014</t>
        </is>
      </c>
      <c r="B2743" s="8" t="n">
        <v>105.973559923</v>
      </c>
      <c r="C2743" s="15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9" t="inlineStr">
        <is>
          <t>18/06/2014</t>
        </is>
      </c>
      <c r="B2744" s="8" t="n">
        <v>105.3716816922</v>
      </c>
      <c r="C2744" s="15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9" t="inlineStr">
        <is>
          <t>20/06/2014</t>
        </is>
      </c>
      <c r="B2745" s="8" t="n">
        <v>105.8445860164</v>
      </c>
      <c r="C2745" s="15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9" t="inlineStr">
        <is>
          <t>23/06/2014</t>
        </is>
      </c>
      <c r="B2746" s="8" t="n">
        <v>104.898777368</v>
      </c>
      <c r="C2746" s="15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9" t="inlineStr">
        <is>
          <t>24/06/2014</t>
        </is>
      </c>
      <c r="B2747" s="8" t="n">
        <v>105.113733879</v>
      </c>
      <c r="C2747" s="15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9" t="inlineStr">
        <is>
          <t>25/06/2014</t>
        </is>
      </c>
      <c r="B2748" s="8" t="n">
        <v>104.1464295795</v>
      </c>
      <c r="C2748" s="15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9" t="inlineStr">
        <is>
          <t>26/06/2014</t>
        </is>
      </c>
      <c r="B2749" s="8" t="n">
        <v>104.8557860658</v>
      </c>
      <c r="C2749" s="15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9" t="inlineStr">
        <is>
          <t>27/06/2014</t>
        </is>
      </c>
      <c r="B2750" s="8" t="n">
        <v>105.3501860411</v>
      </c>
      <c r="C2750" s="15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9" t="inlineStr">
        <is>
          <t>30/06/2014</t>
        </is>
      </c>
      <c r="B2751" s="8" t="n">
        <v>105.1567251812</v>
      </c>
      <c r="C2751" s="15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9" t="inlineStr">
        <is>
          <t>01/07/2014</t>
        </is>
      </c>
      <c r="B2752" s="8" t="n">
        <v>104.7207389706</v>
      </c>
      <c r="C2752" s="15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9" t="inlineStr">
        <is>
          <t>02/07/2014</t>
        </is>
      </c>
      <c r="B2753" s="8" t="n">
        <v>104.9370147636</v>
      </c>
      <c r="C2753" s="15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9" t="inlineStr">
        <is>
          <t>03/07/2014</t>
        </is>
      </c>
      <c r="B2754" s="8" t="n">
        <v>105.1965457152</v>
      </c>
      <c r="C2754" s="15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9" t="inlineStr">
        <is>
          <t>04/07/2014</t>
        </is>
      </c>
      <c r="B2755" s="8" t="n">
        <v>104.3746977018</v>
      </c>
      <c r="C2755" s="15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9" t="inlineStr">
        <is>
          <t>07/07/2014</t>
        </is>
      </c>
      <c r="B2756" s="8" t="n">
        <v>103.7907530607</v>
      </c>
      <c r="C2756" s="15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9" t="inlineStr">
        <is>
          <t>08/07/2014</t>
        </is>
      </c>
      <c r="B2757" s="8" t="n">
        <v>103.2068084196</v>
      </c>
      <c r="C2757" s="15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9" t="inlineStr">
        <is>
          <t>10/07/2014</t>
        </is>
      </c>
      <c r="B2758" s="8" t="n">
        <v>103.7474979021</v>
      </c>
      <c r="C2758" s="15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9" t="inlineStr">
        <is>
          <t>11/07/2014</t>
        </is>
      </c>
      <c r="B2759" s="8" t="n">
        <v>103.2284359989</v>
      </c>
      <c r="C2759" s="15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9" t="inlineStr">
        <is>
          <t>14/07/2014</t>
        </is>
      </c>
      <c r="B2760" s="8" t="n">
        <v>102.1038018753</v>
      </c>
      <c r="C2760" s="15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9" t="inlineStr">
        <is>
          <t>15/07/2014</t>
        </is>
      </c>
      <c r="B2761" s="8" t="n">
        <v>101.1738159654</v>
      </c>
      <c r="C2761" s="15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9" t="inlineStr">
        <is>
          <t>16/07/2014</t>
        </is>
      </c>
      <c r="B2762" s="8" t="n">
        <v>100.4384782692</v>
      </c>
      <c r="C2762" s="15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9" t="inlineStr">
        <is>
          <t>17/07/2014</t>
        </is>
      </c>
      <c r="B2763" s="8" t="n">
        <v>100.8494022759</v>
      </c>
      <c r="C2763" s="15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9" t="inlineStr">
        <is>
          <t>18/07/2014</t>
        </is>
      </c>
      <c r="B2764" s="8" t="n">
        <v>100.9575401724</v>
      </c>
      <c r="C2764" s="15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9" t="inlineStr">
        <is>
          <t>21/07/2014</t>
        </is>
      </c>
      <c r="B2765" s="8" t="n">
        <v>100.8710298552</v>
      </c>
      <c r="C2765" s="15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9" t="inlineStr">
        <is>
          <t>22/07/2014</t>
        </is>
      </c>
      <c r="B2766" s="8" t="n">
        <v>100.2005748969</v>
      </c>
      <c r="C2766" s="15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9" t="inlineStr">
        <is>
          <t>23/07/2014</t>
        </is>
      </c>
      <c r="B2767" s="8" t="n">
        <v>100.6763816415</v>
      </c>
      <c r="C2767" s="15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9" t="inlineStr">
        <is>
          <t>24/07/2014</t>
        </is>
      </c>
      <c r="B2768" s="8" t="n">
        <v>100.568243745</v>
      </c>
      <c r="C2768" s="15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9" t="inlineStr">
        <is>
          <t>25/07/2014</t>
        </is>
      </c>
      <c r="B2769" s="8" t="n">
        <v>99.8977887867</v>
      </c>
      <c r="C2769" s="15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9" t="inlineStr">
        <is>
          <t>28/07/2014</t>
        </is>
      </c>
      <c r="B2770" s="8" t="n">
        <v>100.1140645797</v>
      </c>
      <c r="C2770" s="15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9" t="inlineStr">
        <is>
          <t>29/07/2014</t>
        </is>
      </c>
      <c r="B2771" s="8" t="n">
        <v>99.65988541440001</v>
      </c>
      <c r="C2771" s="15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9" t="inlineStr">
        <is>
          <t>30/07/2014</t>
        </is>
      </c>
      <c r="B2772" s="8" t="n">
        <v>99.31384414560002</v>
      </c>
      <c r="C2772" s="15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9" t="inlineStr">
        <is>
          <t>31/07/2014</t>
        </is>
      </c>
      <c r="B2773" s="8" t="n">
        <v>99.68151299370001</v>
      </c>
      <c r="C2773" s="15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9" t="inlineStr">
        <is>
          <t>01/08/2014</t>
        </is>
      </c>
      <c r="B2774" s="8" t="n">
        <v>99.8212646754</v>
      </c>
      <c r="C2774" s="15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9" t="inlineStr">
        <is>
          <t>04/08/2014</t>
        </is>
      </c>
      <c r="B2775" s="8" t="n">
        <v>99.2791113804</v>
      </c>
      <c r="C2775" s="15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9" t="inlineStr">
        <is>
          <t>05/08/2014</t>
        </is>
      </c>
      <c r="B2776" s="8" t="n">
        <v>99.32248364399999</v>
      </c>
      <c r="C2776" s="15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9" t="inlineStr">
        <is>
          <t>06/08/2014</t>
        </is>
      </c>
      <c r="B2777" s="8" t="n">
        <v>99.7128340164</v>
      </c>
      <c r="C2777" s="15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9" t="inlineStr">
        <is>
          <t>07/08/2014</t>
        </is>
      </c>
      <c r="B2778" s="8" t="n">
        <v>98.780330349</v>
      </c>
      <c r="C2778" s="15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9" t="inlineStr">
        <is>
          <t>08/08/2014</t>
        </is>
      </c>
      <c r="B2779" s="8" t="n">
        <v>98.45503837199999</v>
      </c>
      <c r="C2779" s="15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9" t="inlineStr">
        <is>
          <t>11/08/2014</t>
        </is>
      </c>
      <c r="B2780" s="8" t="n">
        <v>98.71527195360001</v>
      </c>
      <c r="C2780" s="15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9" t="inlineStr">
        <is>
          <t>12/08/2014</t>
        </is>
      </c>
      <c r="B2781" s="8" t="n">
        <v>99.0622500624</v>
      </c>
      <c r="C2781" s="15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9" t="inlineStr">
        <is>
          <t>13/08/2014</t>
        </is>
      </c>
      <c r="B2782" s="8" t="n">
        <v>98.43335224019999</v>
      </c>
      <c r="C2782" s="15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9" t="inlineStr">
        <is>
          <t>14/08/2014</t>
        </is>
      </c>
      <c r="B2783" s="8" t="n">
        <v>98.58515516279999</v>
      </c>
      <c r="C2783" s="15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9" t="inlineStr">
        <is>
          <t>15/08/2014</t>
        </is>
      </c>
      <c r="B2784" s="8" t="n">
        <v>98.9538194034</v>
      </c>
      <c r="C2784" s="15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9" t="inlineStr">
        <is>
          <t>18/08/2014</t>
        </is>
      </c>
      <c r="B2785" s="8" t="n">
        <v>98.69358582179999</v>
      </c>
      <c r="C2785" s="15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9" t="inlineStr">
        <is>
          <t>19/08/2014</t>
        </is>
      </c>
      <c r="B2786" s="8" t="n">
        <v>98.23817705399999</v>
      </c>
      <c r="C2786" s="15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9" t="inlineStr">
        <is>
          <t>20/08/2014</t>
        </is>
      </c>
      <c r="B2787" s="8" t="n">
        <v>98.69358582179999</v>
      </c>
      <c r="C2787" s="15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9" t="inlineStr">
        <is>
          <t>21/08/2014</t>
        </is>
      </c>
      <c r="B2788" s="8" t="n">
        <v>98.8237026126</v>
      </c>
      <c r="C2788" s="15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9" t="inlineStr">
        <is>
          <t>22/08/2014</t>
        </is>
      </c>
      <c r="B2789" s="8" t="n">
        <v>98.38997997659999</v>
      </c>
      <c r="C2789" s="15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9" t="inlineStr">
        <is>
          <t>25/08/2014</t>
        </is>
      </c>
      <c r="B2790" s="8" t="n">
        <v>98.7586442172</v>
      </c>
      <c r="C2790" s="15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9" t="inlineStr">
        <is>
          <t>26/08/2014</t>
        </is>
      </c>
      <c r="B2791" s="8" t="n">
        <v>98.60684129459999</v>
      </c>
      <c r="C2791" s="15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9" t="inlineStr">
        <is>
          <t>27/08/2014</t>
        </is>
      </c>
      <c r="B2792" s="8" t="n">
        <v>98.4116661084</v>
      </c>
      <c r="C2792" s="15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9" t="inlineStr">
        <is>
          <t>28/08/2014</t>
        </is>
      </c>
      <c r="B2793" s="8" t="n">
        <v>98.38997997659999</v>
      </c>
      <c r="C2793" s="15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9" t="inlineStr">
        <is>
          <t>29/08/2014</t>
        </is>
      </c>
      <c r="B2794" s="8" t="n">
        <v>97.8261405498</v>
      </c>
      <c r="C2794" s="15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9" t="inlineStr">
        <is>
          <t>01/09/2014</t>
        </is>
      </c>
      <c r="B2795" s="8" t="n">
        <v>97.609236362</v>
      </c>
      <c r="C2795" s="15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9" t="inlineStr">
        <is>
          <t>02/09/2014</t>
        </is>
      </c>
      <c r="B2796" s="8" t="n">
        <v>97.91223620880001</v>
      </c>
      <c r="C2796" s="15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9" t="inlineStr">
        <is>
          <t>03/09/2014</t>
        </is>
      </c>
      <c r="B2797" s="8" t="n">
        <v>98.51823590240001</v>
      </c>
      <c r="C2797" s="15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9" t="inlineStr">
        <is>
          <t>04/09/2014</t>
        </is>
      </c>
      <c r="B2798" s="8" t="n">
        <v>97.6741649006</v>
      </c>
      <c r="C2798" s="15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9" t="inlineStr">
        <is>
          <t>05/09/2014</t>
        </is>
      </c>
      <c r="B2799" s="8" t="n">
        <v>97.501022131</v>
      </c>
      <c r="C2799" s="15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9" t="inlineStr">
        <is>
          <t>08/09/2014</t>
        </is>
      </c>
      <c r="B2800" s="8" t="n">
        <v>97.39280790000001</v>
      </c>
      <c r="C2800" s="15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9" t="inlineStr">
        <is>
          <t>09/09/2014</t>
        </is>
      </c>
      <c r="B2801" s="8" t="n">
        <v>96.7218796678</v>
      </c>
      <c r="C2801" s="15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9" t="inlineStr">
        <is>
          <t>10/09/2014</t>
        </is>
      </c>
      <c r="B2802" s="8" t="n">
        <v>96.7651653602</v>
      </c>
      <c r="C2802" s="15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9" t="inlineStr">
        <is>
          <t>11/09/2014</t>
        </is>
      </c>
      <c r="B2803" s="8" t="n">
        <v>96.98159382220001</v>
      </c>
      <c r="C2803" s="15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9" t="inlineStr">
        <is>
          <t>12/09/2014</t>
        </is>
      </c>
      <c r="B2804" s="8" t="n">
        <v>96.094237128</v>
      </c>
      <c r="C2804" s="15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9" t="inlineStr">
        <is>
          <t>15/09/2014</t>
        </is>
      </c>
      <c r="B2805" s="8" t="n">
        <v>96.33230843619999</v>
      </c>
      <c r="C2805" s="15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9" t="inlineStr">
        <is>
          <t>16/09/2014</t>
        </is>
      </c>
      <c r="B2806" s="8" t="n">
        <v>95.8561658198</v>
      </c>
      <c r="C2806" s="15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9" t="inlineStr">
        <is>
          <t>17/09/2014</t>
        </is>
      </c>
      <c r="B2807" s="8" t="n">
        <v>96.2457370514</v>
      </c>
      <c r="C2807" s="15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9" t="inlineStr">
        <is>
          <t>18/09/2014</t>
        </is>
      </c>
      <c r="B2808" s="8" t="n">
        <v>95.74795158880001</v>
      </c>
      <c r="C2808" s="15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9" t="inlineStr">
        <is>
          <t>19/09/2014</t>
        </is>
      </c>
      <c r="B2809" s="8" t="n">
        <v>96.1591656666</v>
      </c>
      <c r="C2809" s="15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9" t="inlineStr">
        <is>
          <t>22/09/2014</t>
        </is>
      </c>
      <c r="B2810" s="8" t="n">
        <v>95.74795158880001</v>
      </c>
      <c r="C2810" s="15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9" t="inlineStr">
        <is>
          <t>23/09/2014</t>
        </is>
      </c>
      <c r="B2811" s="8" t="n">
        <v>95.7263087426</v>
      </c>
      <c r="C2811" s="15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9" t="inlineStr">
        <is>
          <t>24/09/2014</t>
        </is>
      </c>
      <c r="B2812" s="8" t="n">
        <v>95.46659458820001</v>
      </c>
      <c r="C2812" s="15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9" t="inlineStr">
        <is>
          <t>25/09/2014</t>
        </is>
      </c>
      <c r="B2813" s="8" t="n">
        <v>96.2457370514</v>
      </c>
      <c r="C2813" s="15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9" t="inlineStr">
        <is>
          <t>26/09/2014</t>
        </is>
      </c>
      <c r="B2814" s="8" t="n">
        <v>97.0248795146</v>
      </c>
      <c r="C2814" s="15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9" t="inlineStr">
        <is>
          <t>29/09/2014</t>
        </is>
      </c>
      <c r="B2815" s="8" t="n">
        <v>98.4100216714</v>
      </c>
      <c r="C2815" s="15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9" t="inlineStr">
        <is>
          <t>30/09/2014</t>
        </is>
      </c>
      <c r="B2816" s="8" t="n">
        <v>98.6264501334</v>
      </c>
      <c r="C2816" s="15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9" t="inlineStr">
        <is>
          <t>01/10/2014</t>
        </is>
      </c>
      <c r="B2817" s="8" t="n">
        <v>98.11366040840001</v>
      </c>
      <c r="C2817" s="15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9" t="inlineStr">
        <is>
          <t>02/10/2014</t>
        </is>
      </c>
      <c r="B2818" s="8" t="n">
        <v>99.0848691014</v>
      </c>
      <c r="C2818" s="15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9" t="inlineStr">
        <is>
          <t>03/10/2014</t>
        </is>
      </c>
      <c r="B2819" s="8" t="n">
        <v>99.43018774780001</v>
      </c>
      <c r="C2819" s="15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9" t="inlineStr">
        <is>
          <t>06/10/2014</t>
        </is>
      </c>
      <c r="B2820" s="8" t="n">
        <v>100.2071547022</v>
      </c>
      <c r="C2820" s="15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9" t="inlineStr">
        <is>
          <t>07/10/2014</t>
        </is>
      </c>
      <c r="B2821" s="8" t="n">
        <v>100.4229788562</v>
      </c>
      <c r="C2821" s="15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9" t="inlineStr">
        <is>
          <t>08/10/2014</t>
        </is>
      </c>
      <c r="B2822" s="8" t="n">
        <v>100.7467150872</v>
      </c>
      <c r="C2822" s="15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9" t="inlineStr">
        <is>
          <t>09/10/2014</t>
        </is>
      </c>
      <c r="B2823" s="8" t="n">
        <v>100.8762095796</v>
      </c>
      <c r="C2823" s="15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9" t="inlineStr">
        <is>
          <t>10/10/2014</t>
        </is>
      </c>
      <c r="B2824" s="8" t="n">
        <v>100.9841216566</v>
      </c>
      <c r="C2824" s="15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9" t="inlineStr">
        <is>
          <t>13/10/2014</t>
        </is>
      </c>
      <c r="B2825" s="8" t="n">
        <v>101.4157699646</v>
      </c>
      <c r="C2825" s="15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9" t="inlineStr">
        <is>
          <t>14/10/2014</t>
        </is>
      </c>
      <c r="B2826" s="8" t="n">
        <v>101.9121655188</v>
      </c>
      <c r="C2826" s="15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9" t="inlineStr">
        <is>
          <t>15/10/2014</t>
        </is>
      </c>
      <c r="B2827" s="8" t="n">
        <v>102.300648996</v>
      </c>
      <c r="C2827" s="15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9" t="inlineStr">
        <is>
          <t>16/10/2014</t>
        </is>
      </c>
      <c r="B2828" s="8" t="n">
        <v>102.9049566272</v>
      </c>
      <c r="C2828" s="15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9" t="inlineStr">
        <is>
          <t>17/10/2014</t>
        </is>
      </c>
      <c r="B2829" s="8" t="n">
        <v>103.163945612</v>
      </c>
      <c r="C2829" s="15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9" t="inlineStr">
        <is>
          <t>20/10/2014</t>
        </is>
      </c>
      <c r="B2830" s="8" t="n">
        <v>103.6819235816</v>
      </c>
      <c r="C2830" s="15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9" t="inlineStr">
        <is>
          <t>21/10/2014</t>
        </is>
      </c>
      <c r="B2831" s="8" t="n">
        <v>104.566802613</v>
      </c>
      <c r="C2831" s="15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9" t="inlineStr">
        <is>
          <t>22/10/2014</t>
        </is>
      </c>
      <c r="B2832" s="8" t="n">
        <v>104.8257915978</v>
      </c>
      <c r="C2832" s="15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9" t="inlineStr">
        <is>
          <t>23/10/2014</t>
        </is>
      </c>
      <c r="B2833" s="8" t="n">
        <v>105.0847805826</v>
      </c>
      <c r="C2833" s="15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9" t="inlineStr">
        <is>
          <t>24/10/2014</t>
        </is>
      </c>
      <c r="B2834" s="8" t="n">
        <v>104.9768685056</v>
      </c>
      <c r="C2834" s="15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9" t="inlineStr">
        <is>
          <t>27/10/2014</t>
        </is>
      </c>
      <c r="B2835" s="8" t="n">
        <v>105.1711102442</v>
      </c>
      <c r="C2835" s="15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9" t="inlineStr">
        <is>
          <t>28/10/2014</t>
        </is>
      </c>
      <c r="B2836" s="8" t="n">
        <v>106.1207365218</v>
      </c>
      <c r="C2836" s="15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9" t="inlineStr">
        <is>
          <t>29/10/2014</t>
        </is>
      </c>
      <c r="B2837" s="8" t="n">
        <v>106.1639013526</v>
      </c>
      <c r="C2837" s="15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9" t="inlineStr">
        <is>
          <t>30/10/2014</t>
        </is>
      </c>
      <c r="B2838" s="8" t="n">
        <v>106.1423189372</v>
      </c>
      <c r="C2838" s="15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9" t="inlineStr">
        <is>
          <t>31/10/2014</t>
        </is>
      </c>
      <c r="B2839" s="8" t="n">
        <v>105.9480771986</v>
      </c>
      <c r="C2839" s="15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9" t="inlineStr">
        <is>
          <t>03/11/2014</t>
        </is>
      </c>
      <c r="B2840" s="8" t="n">
        <v>105.7106621384</v>
      </c>
      <c r="C2840" s="15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9" t="inlineStr">
        <is>
          <t>04/11/2014</t>
        </is>
      </c>
      <c r="B2841" s="8" t="n">
        <v>105.8175269404</v>
      </c>
      <c r="C2841" s="15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9" t="inlineStr">
        <is>
          <t>05/11/2014</t>
        </is>
      </c>
      <c r="B2842" s="8" t="n">
        <v>105.6679162176</v>
      </c>
      <c r="C2842" s="15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9" t="inlineStr">
        <is>
          <t>06/11/2014</t>
        </is>
      </c>
      <c r="B2843" s="8" t="n">
        <v>106.8006831188</v>
      </c>
      <c r="C2843" s="15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9" t="inlineStr">
        <is>
          <t>07/11/2014</t>
        </is>
      </c>
      <c r="B2844" s="8" t="n">
        <v>107.3350071288</v>
      </c>
      <c r="C2844" s="15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9" t="inlineStr">
        <is>
          <t>10/11/2014</t>
        </is>
      </c>
      <c r="B2845" s="8" t="n">
        <v>108.2326714656</v>
      </c>
      <c r="C2845" s="15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9" t="inlineStr">
        <is>
          <t>11/11/2014</t>
        </is>
      </c>
      <c r="B2846" s="8" t="n">
        <v>108.574638832</v>
      </c>
      <c r="C2846" s="15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9" t="inlineStr">
        <is>
          <t>12/11/2014</t>
        </is>
      </c>
      <c r="B2847" s="8" t="n">
        <v>108.7028765944</v>
      </c>
      <c r="C2847" s="15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9" t="inlineStr">
        <is>
          <t>13/11/2014</t>
        </is>
      </c>
      <c r="B2848" s="8" t="n">
        <v>108.4036551488</v>
      </c>
      <c r="C2848" s="15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9" t="inlineStr">
        <is>
          <t>14/11/2014</t>
        </is>
      </c>
      <c r="B2849" s="8" t="n">
        <v>108.3822821884</v>
      </c>
      <c r="C2849" s="15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9" t="inlineStr">
        <is>
          <t>17/11/2014</t>
        </is>
      </c>
      <c r="B2850" s="8" t="n">
        <v>109.429557248</v>
      </c>
      <c r="C2850" s="15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9" t="inlineStr">
        <is>
          <t>18/11/2014</t>
        </is>
      </c>
      <c r="B2851" s="8" t="n">
        <v>110.3272215848</v>
      </c>
      <c r="C2851" s="15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9" t="inlineStr">
        <is>
          <t>19/11/2014</t>
        </is>
      </c>
      <c r="B2852" s="8" t="n">
        <v>110.284475664</v>
      </c>
      <c r="C2852" s="15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9" t="inlineStr">
        <is>
          <t>21/11/2014</t>
        </is>
      </c>
      <c r="B2853" s="8" t="n">
        <v>110.6905619116</v>
      </c>
      <c r="C2853" s="15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9" t="inlineStr">
        <is>
          <t>24/11/2014</t>
        </is>
      </c>
      <c r="B2854" s="8" t="n">
        <v>110.8401726344</v>
      </c>
      <c r="C2854" s="15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9" t="inlineStr">
        <is>
          <t>25/11/2014</t>
        </is>
      </c>
      <c r="B2855" s="8" t="n">
        <v>110.9684103968</v>
      </c>
      <c r="C2855" s="15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9" t="inlineStr">
        <is>
          <t>26/11/2014</t>
        </is>
      </c>
      <c r="B2856" s="8" t="n">
        <v>111.1180211196</v>
      </c>
      <c r="C2856" s="15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9" t="inlineStr">
        <is>
          <t>27/11/2014</t>
        </is>
      </c>
      <c r="B2857" s="8" t="n">
        <v>111.3958696048</v>
      </c>
      <c r="C2857" s="15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9" t="inlineStr">
        <is>
          <t>28/11/2014</t>
        </is>
      </c>
      <c r="B2858" s="8" t="n">
        <v>111.13939408</v>
      </c>
      <c r="C2858" s="15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9" t="inlineStr">
        <is>
          <t>01/12/2014</t>
        </is>
      </c>
      <c r="B2859" s="8" t="n">
        <v>110.8581594255</v>
      </c>
      <c r="C2859" s="15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9" t="inlineStr">
        <is>
          <t>02/12/2014</t>
        </is>
      </c>
      <c r="B2860" s="8" t="n">
        <v>110.3908516065</v>
      </c>
      <c r="C2860" s="15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9" t="inlineStr">
        <is>
          <t>03/12/2014</t>
        </is>
      </c>
      <c r="B2861" s="8" t="n">
        <v>110.6457467805</v>
      </c>
      <c r="C2861" s="15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9" t="inlineStr">
        <is>
          <t>04/12/2014</t>
        </is>
      </c>
      <c r="B2862" s="8" t="n">
        <v>110.964365748</v>
      </c>
      <c r="C2862" s="15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9" t="inlineStr">
        <is>
          <t>05/12/2014</t>
        </is>
      </c>
      <c r="B2863" s="8" t="n">
        <v>111.1980196575</v>
      </c>
      <c r="C2863" s="15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9" t="inlineStr">
        <is>
          <t>08/12/2014</t>
        </is>
      </c>
      <c r="B2864" s="8" t="n">
        <v>110.9006419545</v>
      </c>
      <c r="C2864" s="15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9" t="inlineStr">
        <is>
          <t>09/12/2014</t>
        </is>
      </c>
      <c r="B2865" s="8" t="n">
        <v>110.87940069</v>
      </c>
      <c r="C2865" s="15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9" t="inlineStr">
        <is>
          <t>10/12/2014</t>
        </is>
      </c>
      <c r="B2866" s="8" t="n">
        <v>111.4104323025</v>
      </c>
      <c r="C2866" s="15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9" t="inlineStr">
        <is>
          <t>11/12/2014</t>
        </is>
      </c>
      <c r="B2867" s="8" t="n">
        <v>111.1130545995</v>
      </c>
      <c r="C2867" s="15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9" t="inlineStr">
        <is>
          <t>12/12/2014</t>
        </is>
      </c>
      <c r="B2868" s="8" t="n">
        <v>110.5607817225</v>
      </c>
      <c r="C2868" s="15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9" t="inlineStr">
        <is>
          <t>15/12/2014</t>
        </is>
      </c>
      <c r="B2869" s="8" t="n">
        <v>110.582022987</v>
      </c>
      <c r="C2869" s="15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9" t="inlineStr">
        <is>
          <t>16/12/2014</t>
        </is>
      </c>
      <c r="B2870" s="8" t="n">
        <v>110.369610342</v>
      </c>
      <c r="C2870" s="15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9" t="inlineStr">
        <is>
          <t>17/12/2014</t>
        </is>
      </c>
      <c r="B2871" s="8" t="n">
        <v>110.539540458</v>
      </c>
      <c r="C2871" s="15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9" t="inlineStr">
        <is>
          <t>18/12/2014</t>
        </is>
      </c>
      <c r="B2872" s="8" t="n">
        <v>110.7731943675</v>
      </c>
      <c r="C2872" s="15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9" t="inlineStr">
        <is>
          <t>19/12/2014</t>
        </is>
      </c>
      <c r="B2873" s="8" t="n">
        <v>110.6882293095</v>
      </c>
      <c r="C2873" s="15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9" t="inlineStr">
        <is>
          <t>22/12/2014</t>
        </is>
      </c>
      <c r="B2874" s="8" t="n">
        <v>110.624505516</v>
      </c>
      <c r="C2874" s="15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9" t="inlineStr">
        <is>
          <t>23/12/2014</t>
        </is>
      </c>
      <c r="B2875" s="8" t="n">
        <v>110.497057929</v>
      </c>
      <c r="C2875" s="15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9" t="inlineStr">
        <is>
          <t>26/12/2014</t>
        </is>
      </c>
      <c r="B2876" s="8" t="n">
        <v>110.02975011</v>
      </c>
      <c r="C2876" s="15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9" t="inlineStr">
        <is>
          <t>29/12/2014</t>
        </is>
      </c>
      <c r="B2877" s="8" t="n">
        <v>110.327127813</v>
      </c>
      <c r="C2877" s="15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9" t="inlineStr">
        <is>
          <t>30/12/2014</t>
        </is>
      </c>
      <c r="B2878" s="8" t="n">
        <v>110.6882293095</v>
      </c>
      <c r="C2878" s="15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9" t="inlineStr">
        <is>
          <t>02/01/2015</t>
        </is>
      </c>
      <c r="B2879" s="8" t="n">
        <v>109.726857963</v>
      </c>
      <c r="C2879" s="15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9" t="inlineStr">
        <is>
          <t>05/01/2015</t>
        </is>
      </c>
      <c r="B2880" s="8" t="n">
        <v>109.305236991</v>
      </c>
      <c r="C2880" s="15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9" t="inlineStr">
        <is>
          <t>06/01/2015</t>
        </is>
      </c>
      <c r="B2881" s="8" t="n">
        <v>108.6306434358</v>
      </c>
      <c r="C2881" s="15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9" t="inlineStr">
        <is>
          <t>07/01/2015</t>
        </is>
      </c>
      <c r="B2882" s="8" t="n">
        <v>108.1036172208</v>
      </c>
      <c r="C2882" s="15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9" t="inlineStr">
        <is>
          <t>08/01/2015</t>
        </is>
      </c>
      <c r="B2883" s="8" t="n">
        <v>107.618753103</v>
      </c>
      <c r="C2883" s="15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9" t="inlineStr">
        <is>
          <t>09/01/2015</t>
        </is>
      </c>
      <c r="B2884" s="8" t="n">
        <v>107.7452393946</v>
      </c>
      <c r="C2884" s="15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9" t="inlineStr">
        <is>
          <t>12/01/2015</t>
        </is>
      </c>
      <c r="B2885" s="8" t="n">
        <v>107.5555099572</v>
      </c>
      <c r="C2885" s="15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9" t="inlineStr">
        <is>
          <t>13/01/2015</t>
        </is>
      </c>
      <c r="B2886" s="8" t="n">
        <v>106.9441595478</v>
      </c>
      <c r="C2886" s="15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9" t="inlineStr">
        <is>
          <t>14/01/2015</t>
        </is>
      </c>
      <c r="B2887" s="8" t="n">
        <v>107.5765910058</v>
      </c>
      <c r="C2887" s="15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9" t="inlineStr">
        <is>
          <t>15/01/2015</t>
        </is>
      </c>
      <c r="B2888" s="8" t="n">
        <v>106.5857817216</v>
      </c>
      <c r="C2888" s="15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9" t="inlineStr">
        <is>
          <t>16/01/2015</t>
        </is>
      </c>
      <c r="B2889" s="8" t="n">
        <v>107.0074026936</v>
      </c>
      <c r="C2889" s="15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9" t="inlineStr">
        <is>
          <t>19/01/2015</t>
        </is>
      </c>
      <c r="B2890" s="8" t="n">
        <v>106.4382143814</v>
      </c>
      <c r="C2890" s="15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9" t="inlineStr">
        <is>
          <t>20/01/2015</t>
        </is>
      </c>
      <c r="B2891" s="8" t="n">
        <v>106.5857817216</v>
      </c>
      <c r="C2891" s="15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9" t="inlineStr">
        <is>
          <t>21/01/2015</t>
        </is>
      </c>
      <c r="B2892" s="8" t="n">
        <v>107.3236184226</v>
      </c>
      <c r="C2892" s="15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9" t="inlineStr">
        <is>
          <t>22/01/2015</t>
        </is>
      </c>
      <c r="B2893" s="8" t="n">
        <v>107.829563589</v>
      </c>
      <c r="C2893" s="15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9" t="inlineStr">
        <is>
          <t>23/01/2015</t>
        </is>
      </c>
      <c r="B2894" s="8" t="n">
        <v>107.6819962488</v>
      </c>
      <c r="C2894" s="15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9" t="inlineStr">
        <is>
          <t>26/01/2015</t>
        </is>
      </c>
      <c r="B2895" s="8" t="n">
        <v>107.8717256862</v>
      </c>
      <c r="C2895" s="15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9" t="inlineStr">
        <is>
          <t>27/01/2015</t>
        </is>
      </c>
      <c r="B2896" s="8" t="n">
        <v>107.3236184226</v>
      </c>
      <c r="C2896" s="15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9" t="inlineStr">
        <is>
          <t>28/01/2015</t>
        </is>
      </c>
      <c r="B2897" s="8" t="n">
        <v>107.2392942282</v>
      </c>
      <c r="C2897" s="15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9" t="inlineStr">
        <is>
          <t>29/01/2015</t>
        </is>
      </c>
      <c r="B2898" s="8" t="n">
        <v>107.2603752768</v>
      </c>
      <c r="C2898" s="15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9" t="inlineStr">
        <is>
          <t>30/01/2015</t>
        </is>
      </c>
      <c r="B2899" s="8" t="n">
        <v>107.51334786</v>
      </c>
      <c r="C2899" s="15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9" t="inlineStr">
        <is>
          <t>02/02/2015</t>
        </is>
      </c>
      <c r="B2900" s="8" t="n">
        <v>106.298774848</v>
      </c>
      <c r="C2900" s="15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9" t="inlineStr">
        <is>
          <t>03/02/2015</t>
        </is>
      </c>
      <c r="B2901" s="8" t="n">
        <v>106.509017678</v>
      </c>
      <c r="C2901" s="15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9" t="inlineStr">
        <is>
          <t>04/02/2015</t>
        </is>
      </c>
      <c r="B2902" s="8" t="n">
        <v>106.004434886</v>
      </c>
      <c r="C2902" s="15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9" t="inlineStr">
        <is>
          <t>05/02/2015</t>
        </is>
      </c>
      <c r="B2903" s="8" t="n">
        <v>105.415754962</v>
      </c>
      <c r="C2903" s="15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9" t="inlineStr">
        <is>
          <t>06/02/2015</t>
        </is>
      </c>
      <c r="B2904" s="8" t="n">
        <v>105.100390717</v>
      </c>
      <c r="C2904" s="15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9" t="inlineStr">
        <is>
          <t>09/02/2015</t>
        </is>
      </c>
      <c r="B2905" s="8" t="n">
        <v>105.142439283</v>
      </c>
      <c r="C2905" s="15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9" t="inlineStr">
        <is>
          <t>10/02/2015</t>
        </is>
      </c>
      <c r="B2906" s="8" t="n">
        <v>104.890147887</v>
      </c>
      <c r="C2906" s="15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9" t="inlineStr">
        <is>
          <t>11/02/2015</t>
        </is>
      </c>
      <c r="B2907" s="8" t="n">
        <v>104.953220736</v>
      </c>
      <c r="C2907" s="15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9" t="inlineStr">
        <is>
          <t>12/02/2015</t>
        </is>
      </c>
      <c r="B2908" s="8" t="n">
        <v>105.058342151</v>
      </c>
      <c r="C2908" s="15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9" t="inlineStr">
        <is>
          <t>13/02/2015</t>
        </is>
      </c>
      <c r="B2909" s="8" t="n">
        <v>105.499852094</v>
      </c>
      <c r="C2909" s="15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9" t="inlineStr">
        <is>
          <t>18/02/2015</t>
        </is>
      </c>
      <c r="B2910" s="8" t="n">
        <v>105.100390717</v>
      </c>
      <c r="C2910" s="15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9" t="inlineStr">
        <is>
          <t>19/02/2015</t>
        </is>
      </c>
      <c r="B2911" s="8" t="n">
        <v>105.457803528</v>
      </c>
      <c r="C2911" s="15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9" t="inlineStr">
        <is>
          <t>20/02/2015</t>
        </is>
      </c>
      <c r="B2912" s="8" t="n">
        <v>105.121415</v>
      </c>
      <c r="C2912" s="15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9" t="inlineStr">
        <is>
          <t>23/02/2015</t>
        </is>
      </c>
      <c r="B2913" s="8" t="n">
        <v>105.668046358</v>
      </c>
      <c r="C2913" s="15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9" t="inlineStr">
        <is>
          <t>24/02/2015</t>
        </is>
      </c>
      <c r="B2914" s="8" t="n">
        <v>105.058342151</v>
      </c>
      <c r="C2914" s="15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9" t="inlineStr">
        <is>
          <t>25/02/2015</t>
        </is>
      </c>
      <c r="B2915" s="8" t="n">
        <v>105.163463566</v>
      </c>
      <c r="C2915" s="15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9" t="inlineStr">
        <is>
          <t>26/02/2015</t>
        </is>
      </c>
      <c r="B2916" s="8" t="n">
        <v>104.995269302</v>
      </c>
      <c r="C2916" s="15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9" t="inlineStr">
        <is>
          <t>27/02/2015</t>
        </is>
      </c>
      <c r="B2917" s="8" t="n">
        <v>104.953220736</v>
      </c>
      <c r="C2917" s="15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9" t="inlineStr">
        <is>
          <t>02/03/2015</t>
        </is>
      </c>
      <c r="B2918" s="8" t="n">
        <v>104.934032784</v>
      </c>
      <c r="C2918" s="15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9" t="inlineStr">
        <is>
          <t>03/03/2015</t>
        </is>
      </c>
      <c r="B2919" s="8" t="n">
        <v>105.2255162084</v>
      </c>
      <c r="C2919" s="15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9" t="inlineStr">
        <is>
          <t>04/03/2015</t>
        </is>
      </c>
      <c r="B2920" s="8" t="n">
        <v>105.246336453</v>
      </c>
      <c r="C2920" s="15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9" t="inlineStr">
        <is>
          <t>05/03/2015</t>
        </is>
      </c>
      <c r="B2921" s="8" t="n">
        <v>104.7466505826</v>
      </c>
      <c r="C2921" s="15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9" t="inlineStr">
        <is>
          <t>06/03/2015</t>
        </is>
      </c>
      <c r="B2922" s="8" t="n">
        <v>105.14223523</v>
      </c>
      <c r="C2922" s="15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9" t="inlineStr">
        <is>
          <t>09/03/2015</t>
        </is>
      </c>
      <c r="B2923" s="8" t="n">
        <v>105.8293033018</v>
      </c>
      <c r="C2923" s="15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9" t="inlineStr">
        <is>
          <t>10/03/2015</t>
        </is>
      </c>
      <c r="B2924" s="8" t="n">
        <v>106.1624272154</v>
      </c>
      <c r="C2924" s="15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9" t="inlineStr">
        <is>
          <t>11/03/2015</t>
        </is>
      </c>
      <c r="B2925" s="8" t="n">
        <v>106.703753575</v>
      </c>
      <c r="C2925" s="15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9" t="inlineStr">
        <is>
          <t>12/03/2015</t>
        </is>
      </c>
      <c r="B2926" s="8" t="n">
        <v>106.6412928412</v>
      </c>
      <c r="C2926" s="15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9" t="inlineStr">
        <is>
          <t>13/03/2015</t>
        </is>
      </c>
      <c r="B2927" s="8" t="n">
        <v>106.6621130858</v>
      </c>
      <c r="C2927" s="15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9" t="inlineStr">
        <is>
          <t>16/03/2015</t>
        </is>
      </c>
      <c r="B2928" s="8" t="n">
        <v>107.0993382224</v>
      </c>
      <c r="C2928" s="15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9" t="inlineStr">
        <is>
          <t>17/03/2015</t>
        </is>
      </c>
      <c r="B2929" s="8" t="n">
        <v>106.287348683</v>
      </c>
      <c r="C2929" s="15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9" t="inlineStr">
        <is>
          <t>18/03/2015</t>
        </is>
      </c>
      <c r="B2930" s="8" t="n">
        <v>106.2248879492</v>
      </c>
      <c r="C2930" s="15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9" t="inlineStr">
        <is>
          <t>19/03/2015</t>
        </is>
      </c>
      <c r="B2931" s="8" t="n">
        <v>106.5371916182</v>
      </c>
      <c r="C2931" s="15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9" t="inlineStr">
        <is>
          <t>20/03/2015</t>
        </is>
      </c>
      <c r="B2932" s="8" t="n">
        <v>106.7662143088</v>
      </c>
      <c r="C2932" s="15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9" t="inlineStr">
        <is>
          <t>23/03/2015</t>
        </is>
      </c>
      <c r="B2933" s="8" t="n">
        <v>106.3081689276</v>
      </c>
      <c r="C2933" s="15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9" t="inlineStr">
        <is>
          <t>24/03/2015</t>
        </is>
      </c>
      <c r="B2934" s="8" t="n">
        <v>105.9958652586</v>
      </c>
      <c r="C2934" s="15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9" t="inlineStr">
        <is>
          <t>25/03/2015</t>
        </is>
      </c>
      <c r="B2935" s="8" t="n">
        <v>106.1207867262</v>
      </c>
      <c r="C2935" s="15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9" t="inlineStr">
        <is>
          <t>26/03/2015</t>
        </is>
      </c>
      <c r="B2936" s="8" t="n">
        <v>106.0583259924</v>
      </c>
      <c r="C2936" s="15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9" t="inlineStr">
        <is>
          <t>27/03/2015</t>
        </is>
      </c>
      <c r="B2937" s="8" t="n">
        <v>106.5371916182</v>
      </c>
      <c r="C2937" s="15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9" t="inlineStr">
        <is>
          <t>30/03/2015</t>
        </is>
      </c>
      <c r="B2938" s="8" t="n">
        <v>106.5788321074</v>
      </c>
      <c r="C2938" s="15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9" t="inlineStr">
        <is>
          <t>31/03/2015</t>
        </is>
      </c>
      <c r="B2939" s="8" t="n">
        <v>106.8494952872</v>
      </c>
      <c r="C2939" s="15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9" t="inlineStr">
        <is>
          <t>01/04/2015</t>
        </is>
      </c>
      <c r="B2940" s="8" t="n">
        <v>106.1694594191</v>
      </c>
      <c r="C2940" s="15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9" t="inlineStr">
        <is>
          <t>02/04/2015</t>
        </is>
      </c>
      <c r="B2941" s="8" t="n">
        <v>106.395833533</v>
      </c>
      <c r="C2941" s="15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9" t="inlineStr">
        <is>
          <t>06/04/2015</t>
        </is>
      </c>
      <c r="B2942" s="8" t="n">
        <v>106.601628182</v>
      </c>
      <c r="C2942" s="15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9" t="inlineStr">
        <is>
          <t>07/04/2015</t>
        </is>
      </c>
      <c r="B2943" s="8" t="n">
        <v>107.0543764098</v>
      </c>
      <c r="C2943" s="15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9" t="inlineStr">
        <is>
          <t>08/04/2015</t>
        </is>
      </c>
      <c r="B2944" s="8" t="n">
        <v>106.1077210244</v>
      </c>
      <c r="C2944" s="15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9" t="inlineStr">
        <is>
          <t>09/04/2015</t>
        </is>
      </c>
      <c r="B2945" s="8" t="n">
        <v>105.984244235</v>
      </c>
      <c r="C2945" s="15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9" t="inlineStr">
        <is>
          <t>10/04/2015</t>
        </is>
      </c>
      <c r="B2946" s="8" t="n">
        <v>106.1283004893</v>
      </c>
      <c r="C2946" s="15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9" t="inlineStr">
        <is>
          <t>13/04/2015</t>
        </is>
      </c>
      <c r="B2947" s="8" t="n">
        <v>105.778449586</v>
      </c>
      <c r="C2947" s="15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9" t="inlineStr">
        <is>
          <t>14/04/2015</t>
        </is>
      </c>
      <c r="B2948" s="8" t="n">
        <v>105.8607674456</v>
      </c>
      <c r="C2948" s="15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9" t="inlineStr">
        <is>
          <t>15/04/2015</t>
        </is>
      </c>
      <c r="B2949" s="8" t="n">
        <v>106.1283004893</v>
      </c>
      <c r="C2949" s="15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9" t="inlineStr">
        <is>
          <t>16/04/2015</t>
        </is>
      </c>
      <c r="B2950" s="8" t="n">
        <v>105.7990290509</v>
      </c>
      <c r="C2950" s="15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9" t="inlineStr">
        <is>
          <t>17/04/2015</t>
        </is>
      </c>
      <c r="B2951" s="8" t="n">
        <v>105.3462808231</v>
      </c>
      <c r="C2951" s="15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9" t="inlineStr">
        <is>
          <t>20/04/2015</t>
        </is>
      </c>
      <c r="B2952" s="8" t="n">
        <v>106.0254031648</v>
      </c>
      <c r="C2952" s="15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9" t="inlineStr">
        <is>
          <t>22/04/2015</t>
        </is>
      </c>
      <c r="B2953" s="8" t="n">
        <v>106.0871415595</v>
      </c>
      <c r="C2953" s="15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9" t="inlineStr">
        <is>
          <t>23/04/2015</t>
        </is>
      </c>
      <c r="B2954" s="8" t="n">
        <v>106.3135156734</v>
      </c>
      <c r="C2954" s="15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9" t="inlineStr">
        <is>
          <t>24/04/2015</t>
        </is>
      </c>
      <c r="B2955" s="8" t="n">
        <v>106.4575719277</v>
      </c>
      <c r="C2955" s="15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9" t="inlineStr">
        <is>
          <t>27/04/2015</t>
        </is>
      </c>
      <c r="B2956" s="8" t="n">
        <v>106.1077210244</v>
      </c>
      <c r="C2956" s="15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9" t="inlineStr">
        <is>
          <t>28/04/2015</t>
        </is>
      </c>
      <c r="B2957" s="8" t="n">
        <v>106.4575719277</v>
      </c>
      <c r="C2957" s="15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9" t="inlineStr">
        <is>
          <t>29/04/2015</t>
        </is>
      </c>
      <c r="B2958" s="8" t="n">
        <v>106.0665620946</v>
      </c>
      <c r="C2958" s="15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9" t="inlineStr">
        <is>
          <t>30/04/2015</t>
        </is>
      </c>
      <c r="B2959" s="8" t="n">
        <v>105.8607674456</v>
      </c>
      <c r="C2959" s="15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9" t="inlineStr">
        <is>
          <t>04/05/2015</t>
        </is>
      </c>
      <c r="B2960" s="8" t="n">
        <v>105.6334647744</v>
      </c>
      <c r="C2960" s="15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9" t="inlineStr">
        <is>
          <t>05/05/2015</t>
        </is>
      </c>
      <c r="B2961" s="8" t="n">
        <v>105.4695013056</v>
      </c>
      <c r="C2961" s="15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9" t="inlineStr">
        <is>
          <t>06/05/2015</t>
        </is>
      </c>
      <c r="B2962" s="8" t="n">
        <v>105.4899967392</v>
      </c>
      <c r="C2962" s="15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9" t="inlineStr">
        <is>
          <t>07/05/2015</t>
        </is>
      </c>
      <c r="B2963" s="8" t="n">
        <v>105.0595926336</v>
      </c>
      <c r="C2963" s="15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9" t="inlineStr">
        <is>
          <t>08/05/2015</t>
        </is>
      </c>
      <c r="B2964" s="8" t="n">
        <v>104.7931519968</v>
      </c>
      <c r="C2964" s="15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9" t="inlineStr">
        <is>
          <t>11/05/2015</t>
        </is>
      </c>
      <c r="B2965" s="8" t="n">
        <v>105.346528704</v>
      </c>
      <c r="C2965" s="15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9" t="inlineStr">
        <is>
          <t>12/05/2015</t>
        </is>
      </c>
      <c r="B2966" s="8" t="n">
        <v>105.4695013056</v>
      </c>
      <c r="C2966" s="15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9" t="inlineStr">
        <is>
          <t>13/05/2015</t>
        </is>
      </c>
      <c r="B2967" s="8" t="n">
        <v>105.2235561024</v>
      </c>
      <c r="C2967" s="15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9" t="inlineStr">
        <is>
          <t>14/05/2015</t>
        </is>
      </c>
      <c r="B2968" s="8" t="n">
        <v>105.4899967392</v>
      </c>
      <c r="C2968" s="15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9" t="inlineStr">
        <is>
          <t>15/05/2015</t>
        </is>
      </c>
      <c r="B2969" s="8" t="n">
        <v>105.7154465088</v>
      </c>
      <c r="C2969" s="15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9" t="inlineStr">
        <is>
          <t>18/05/2015</t>
        </is>
      </c>
      <c r="B2970" s="8" t="n">
        <v>105.3055378368</v>
      </c>
      <c r="C2970" s="15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9" t="inlineStr">
        <is>
          <t>19/05/2015</t>
        </is>
      </c>
      <c r="B2971" s="8" t="n">
        <v>105.961391712</v>
      </c>
      <c r="C2971" s="15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9" t="inlineStr">
        <is>
          <t>20/05/2015</t>
        </is>
      </c>
      <c r="B2972" s="8" t="n">
        <v>105.858914544</v>
      </c>
      <c r="C2972" s="15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9" t="inlineStr">
        <is>
          <t>21/05/2015</t>
        </is>
      </c>
      <c r="B2973" s="8" t="n">
        <v>105.3055378368</v>
      </c>
      <c r="C2973" s="15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9" t="inlineStr">
        <is>
          <t>22/05/2015</t>
        </is>
      </c>
      <c r="B2974" s="8" t="n">
        <v>104.6906748288</v>
      </c>
      <c r="C2974" s="15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9" t="inlineStr">
        <is>
          <t>25/05/2015</t>
        </is>
      </c>
      <c r="B2975" s="8" t="n">
        <v>104.629188528</v>
      </c>
      <c r="C2975" s="15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9" t="inlineStr">
        <is>
          <t>26/05/2015</t>
        </is>
      </c>
      <c r="B2976" s="8" t="n">
        <v>104.01432552</v>
      </c>
      <c r="C2976" s="15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9" t="inlineStr">
        <is>
          <t>27/05/2015</t>
        </is>
      </c>
      <c r="B2977" s="8" t="n">
        <v>103.4199579456</v>
      </c>
      <c r="C2977" s="15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9" t="inlineStr">
        <is>
          <t>28/05/2015</t>
        </is>
      </c>
      <c r="B2978" s="8" t="n">
        <v>103.0715355744</v>
      </c>
      <c r="C2978" s="15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9" t="inlineStr">
        <is>
          <t>29/05/2015</t>
        </is>
      </c>
      <c r="B2979" s="8" t="n">
        <v>102.579645168</v>
      </c>
      <c r="C2979" s="15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9" t="inlineStr">
        <is>
          <t>01/06/2015</t>
        </is>
      </c>
      <c r="B2980" s="8" t="n">
        <v>101.8154995281</v>
      </c>
      <c r="C2980" s="15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9" t="inlineStr">
        <is>
          <t>02/06/2015</t>
        </is>
      </c>
      <c r="B2981" s="8" t="n">
        <v>101.9376536967</v>
      </c>
      <c r="C2981" s="15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9" t="inlineStr">
        <is>
          <t>03/06/2015</t>
        </is>
      </c>
      <c r="B2982" s="8" t="n">
        <v>102.2226800901</v>
      </c>
      <c r="C2982" s="15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9" t="inlineStr">
        <is>
          <t>05/06/2015</t>
        </is>
      </c>
      <c r="B2983" s="8" t="n">
        <v>102.6705787083</v>
      </c>
      <c r="C2983" s="15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9" t="inlineStr">
        <is>
          <t>08/06/2015</t>
        </is>
      </c>
      <c r="B2984" s="8" t="n">
        <v>103.1795544108</v>
      </c>
      <c r="C2984" s="15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9" t="inlineStr">
        <is>
          <t>09/06/2015</t>
        </is>
      </c>
      <c r="B2985" s="8" t="n">
        <v>103.3017085794</v>
      </c>
      <c r="C2985" s="15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9" t="inlineStr">
        <is>
          <t>10/06/2015</t>
        </is>
      </c>
      <c r="B2986" s="8" t="n">
        <v>102.7723738488</v>
      </c>
      <c r="C2986" s="15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9" t="inlineStr">
        <is>
          <t>11/06/2015</t>
        </is>
      </c>
      <c r="B2987" s="8" t="n">
        <v>102.2837571744</v>
      </c>
      <c r="C2987" s="15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9" t="inlineStr">
        <is>
          <t>12/06/2015</t>
        </is>
      </c>
      <c r="B2988" s="8" t="n">
        <v>101.591550219</v>
      </c>
      <c r="C2988" s="15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9" t="inlineStr">
        <is>
          <t>15/06/2015</t>
        </is>
      </c>
      <c r="B2989" s="8" t="n">
        <v>100.980779376</v>
      </c>
      <c r="C2989" s="15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9" t="inlineStr">
        <is>
          <t>16/06/2015</t>
        </is>
      </c>
      <c r="B2990" s="8" t="n">
        <v>100.2071363082</v>
      </c>
      <c r="C2990" s="15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9" t="inlineStr">
        <is>
          <t>17/06/2015</t>
        </is>
      </c>
      <c r="B2991" s="8" t="n">
        <v>99.555647409</v>
      </c>
      <c r="C2991" s="15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9" t="inlineStr">
        <is>
          <t>18/06/2015</t>
        </is>
      </c>
      <c r="B2992" s="8" t="n">
        <v>98.0287203015</v>
      </c>
      <c r="C2992" s="15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9" t="inlineStr">
        <is>
          <t>19/06/2015</t>
        </is>
      </c>
      <c r="B2993" s="8" t="n">
        <v>97.56046265520001</v>
      </c>
      <c r="C2993" s="15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9" t="inlineStr">
        <is>
          <t>22/06/2015</t>
        </is>
      </c>
      <c r="B2994" s="8" t="n">
        <v>97.27543626180001</v>
      </c>
      <c r="C2994" s="15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9" t="inlineStr">
        <is>
          <t>23/06/2015</t>
        </is>
      </c>
      <c r="B2995" s="8" t="n">
        <v>97.1329230651</v>
      </c>
      <c r="C2995" s="15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9" t="inlineStr">
        <is>
          <t>24/06/2015</t>
        </is>
      </c>
      <c r="B2996" s="8" t="n">
        <v>96.80717861549999</v>
      </c>
      <c r="C2996" s="15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9" t="inlineStr">
        <is>
          <t>25/06/2015</t>
        </is>
      </c>
      <c r="B2997" s="8" t="n">
        <v>96.74610153120001</v>
      </c>
      <c r="C2997" s="15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9" t="inlineStr">
        <is>
          <t>26/06/2015</t>
        </is>
      </c>
      <c r="B2998" s="8" t="n">
        <v>97.0514869527</v>
      </c>
      <c r="C2998" s="15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9" t="inlineStr">
        <is>
          <t>29/06/2015</t>
        </is>
      </c>
      <c r="B2999" s="8" t="n">
        <v>96.88861472790001</v>
      </c>
      <c r="C2999" s="15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9" t="inlineStr">
        <is>
          <t>30/06/2015</t>
        </is>
      </c>
      <c r="B3000" s="8" t="n">
        <v>96.37963902540001</v>
      </c>
      <c r="C3000" s="15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9" t="inlineStr">
        <is>
          <t>01/07/2015</t>
        </is>
      </c>
      <c r="B3001" s="8" t="n">
        <v>95.3350061525</v>
      </c>
      <c r="C3001" s="15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9" t="inlineStr">
        <is>
          <t>02/07/2015</t>
        </is>
      </c>
      <c r="B3002" s="8" t="n">
        <v>95.59785982800001</v>
      </c>
      <c r="C3002" s="15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9" t="inlineStr">
        <is>
          <t>03/07/2015</t>
        </is>
      </c>
      <c r="B3003" s="8" t="n">
        <v>96.12356717900001</v>
      </c>
      <c r="C3003" s="15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9" t="inlineStr">
        <is>
          <t>06/07/2015</t>
        </is>
      </c>
      <c r="B3004" s="8" t="n">
        <v>96.1437866925</v>
      </c>
      <c r="C3004" s="15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9" t="inlineStr">
        <is>
          <t>07/07/2015</t>
        </is>
      </c>
      <c r="B3005" s="8" t="n">
        <v>96.73015258400001</v>
      </c>
      <c r="C3005" s="15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9" t="inlineStr">
        <is>
          <t>08/07/2015</t>
        </is>
      </c>
      <c r="B3006" s="8" t="n">
        <v>96.73015258400001</v>
      </c>
      <c r="C3006" s="15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9" t="inlineStr">
        <is>
          <t>10/07/2015</t>
        </is>
      </c>
      <c r="B3007" s="8" t="n">
        <v>97.31651847550002</v>
      </c>
      <c r="C3007" s="15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9" t="inlineStr">
        <is>
          <t>13/07/2015</t>
        </is>
      </c>
      <c r="B3008" s="8" t="n">
        <v>98.04442096150001</v>
      </c>
      <c r="C3008" s="15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9" t="inlineStr">
        <is>
          <t>14/07/2015</t>
        </is>
      </c>
      <c r="B3009" s="8" t="n">
        <v>98.10507950200001</v>
      </c>
      <c r="C3009" s="15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9" t="inlineStr">
        <is>
          <t>15/07/2015</t>
        </is>
      </c>
      <c r="B3010" s="8" t="n">
        <v>98.024201448</v>
      </c>
      <c r="C3010" s="15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9" t="inlineStr">
        <is>
          <t>16/07/2015</t>
        </is>
      </c>
      <c r="B3011" s="8" t="n">
        <v>97.90288436700001</v>
      </c>
      <c r="C3011" s="15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9" t="inlineStr">
        <is>
          <t>17/07/2015</t>
        </is>
      </c>
      <c r="B3012" s="8" t="n">
        <v>97.98376242100001</v>
      </c>
      <c r="C3012" s="15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9" t="inlineStr">
        <is>
          <t>20/07/2015</t>
        </is>
      </c>
      <c r="B3013" s="8" t="n">
        <v>98.0848599885</v>
      </c>
      <c r="C3013" s="15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9" t="inlineStr">
        <is>
          <t>21/07/2015</t>
        </is>
      </c>
      <c r="B3014" s="8" t="n">
        <v>97.78156728600001</v>
      </c>
      <c r="C3014" s="15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9" t="inlineStr">
        <is>
          <t>22/07/2015</t>
        </is>
      </c>
      <c r="B3015" s="8" t="n">
        <v>96.85146966500001</v>
      </c>
      <c r="C3015" s="15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9" t="inlineStr">
        <is>
          <t>23/07/2015</t>
        </is>
      </c>
      <c r="B3016" s="8" t="n">
        <v>96.42685988150001</v>
      </c>
      <c r="C3016" s="15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9" t="inlineStr">
        <is>
          <t>24/07/2015</t>
        </is>
      </c>
      <c r="B3017" s="8" t="n">
        <v>96.2651037735</v>
      </c>
      <c r="C3017" s="15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9" t="inlineStr">
        <is>
          <t>27/07/2015</t>
        </is>
      </c>
      <c r="B3018" s="8" t="n">
        <v>96.02246961150001</v>
      </c>
      <c r="C3018" s="15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9" t="inlineStr">
        <is>
          <t>28/07/2015</t>
        </is>
      </c>
      <c r="B3019" s="8" t="n">
        <v>95.94159155750002</v>
      </c>
      <c r="C3019" s="15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9" t="inlineStr">
        <is>
          <t>29/07/2015</t>
        </is>
      </c>
      <c r="B3020" s="8" t="n">
        <v>95.43610372000002</v>
      </c>
      <c r="C3020" s="15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9" t="inlineStr">
        <is>
          <t>30/07/2015</t>
        </is>
      </c>
      <c r="B3021" s="8" t="n">
        <v>95.7798354495</v>
      </c>
      <c r="C3021" s="15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9" t="inlineStr">
        <is>
          <t>31/07/2015</t>
        </is>
      </c>
      <c r="B3022" s="8" t="n">
        <v>95.73939642250001</v>
      </c>
      <c r="C3022" s="15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9" t="inlineStr">
        <is>
          <t>03/08/2015</t>
        </is>
      </c>
      <c r="B3023" s="8" t="n">
        <v>95.0284871697</v>
      </c>
      <c r="C3023" s="15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9" t="inlineStr">
        <is>
          <t>04/08/2015</t>
        </is>
      </c>
      <c r="B3024" s="8" t="n">
        <v>94.8268566007</v>
      </c>
      <c r="C3024" s="15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9" t="inlineStr">
        <is>
          <t>05/08/2015</t>
        </is>
      </c>
      <c r="B3025" s="8" t="n">
        <v>95.00832411279998</v>
      </c>
      <c r="C3025" s="15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9" t="inlineStr">
        <is>
          <t>06/08/2015</t>
        </is>
      </c>
      <c r="B3026" s="8" t="n">
        <v>94.3026171213</v>
      </c>
      <c r="C3026" s="15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9" t="inlineStr">
        <is>
          <t>07/08/2015</t>
        </is>
      </c>
      <c r="B3027" s="8" t="n">
        <v>94.1009865523</v>
      </c>
      <c r="C3027" s="15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9" t="inlineStr">
        <is>
          <t>10/08/2015</t>
        </is>
      </c>
      <c r="B3028" s="8" t="n">
        <v>93.7380515281</v>
      </c>
      <c r="C3028" s="15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9" t="inlineStr">
        <is>
          <t>11/08/2015</t>
        </is>
      </c>
      <c r="B3029" s="8" t="n">
        <v>93.27430121939999</v>
      </c>
      <c r="C3029" s="15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9" t="inlineStr">
        <is>
          <t>12/08/2015</t>
        </is>
      </c>
      <c r="B3030" s="8" t="n">
        <v>93.85902986949999</v>
      </c>
      <c r="C3030" s="15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9" t="inlineStr">
        <is>
          <t>13/08/2015</t>
        </is>
      </c>
      <c r="B3031" s="8" t="n">
        <v>94.32278017819999</v>
      </c>
      <c r="C3031" s="15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9" t="inlineStr">
        <is>
          <t>14/08/2015</t>
        </is>
      </c>
      <c r="B3032" s="8" t="n">
        <v>94.6655521455</v>
      </c>
      <c r="C3032" s="15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9" t="inlineStr">
        <is>
          <t>17/08/2015</t>
        </is>
      </c>
      <c r="B3033" s="8" t="n">
        <v>94.56473686099999</v>
      </c>
      <c r="C3033" s="15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9" t="inlineStr">
        <is>
          <t>18/08/2015</t>
        </is>
      </c>
      <c r="B3034" s="8" t="n">
        <v>94.4639215765</v>
      </c>
      <c r="C3034" s="15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9" t="inlineStr">
        <is>
          <t>19/08/2015</t>
        </is>
      </c>
      <c r="B3035" s="8" t="n">
        <v>94.58489991789999</v>
      </c>
      <c r="C3035" s="15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9" t="inlineStr">
        <is>
          <t>20/08/2015</t>
        </is>
      </c>
      <c r="B3036" s="8" t="n">
        <v>94.98816105589999</v>
      </c>
      <c r="C3036" s="15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9" t="inlineStr">
        <is>
          <t>21/08/2015</t>
        </is>
      </c>
      <c r="B3037" s="8" t="n">
        <v>94.7462043731</v>
      </c>
      <c r="C3037" s="15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9" t="inlineStr">
        <is>
          <t>24/08/2015</t>
        </is>
      </c>
      <c r="B3038" s="8" t="n">
        <v>94.88734577139999</v>
      </c>
      <c r="C3038" s="15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9" t="inlineStr">
        <is>
          <t>25/08/2015</t>
        </is>
      </c>
      <c r="B3039" s="8" t="n">
        <v>94.4639215765</v>
      </c>
      <c r="C3039" s="15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9" t="inlineStr">
        <is>
          <t>26/08/2015</t>
        </is>
      </c>
      <c r="B3040" s="8" t="n">
        <v>94.7462043731</v>
      </c>
      <c r="C3040" s="15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9" t="inlineStr">
        <is>
          <t>27/08/2015</t>
        </is>
      </c>
      <c r="B3041" s="8" t="n">
        <v>95.20995468179999</v>
      </c>
      <c r="C3041" s="15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9" t="inlineStr">
        <is>
          <t>28/08/2015</t>
        </is>
      </c>
      <c r="B3042" s="8" t="n">
        <v>95.27044385249999</v>
      </c>
      <c r="C3042" s="15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9" t="inlineStr">
        <is>
          <t>31/08/2015</t>
        </is>
      </c>
      <c r="B3043" s="8" t="n">
        <v>95.00832411279998</v>
      </c>
      <c r="C3043" s="15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9" t="inlineStr">
        <is>
          <t>01/09/2015</t>
        </is>
      </c>
      <c r="B3044" s="8" t="n">
        <v>94.67349177</v>
      </c>
      <c r="C3044" s="15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9" t="inlineStr">
        <is>
          <t>02/09/2015</t>
        </is>
      </c>
      <c r="B3045" s="8" t="n">
        <v>95.352584327</v>
      </c>
      <c r="C3045" s="15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9" t="inlineStr">
        <is>
          <t>03/09/2015</t>
        </is>
      </c>
      <c r="B3046" s="8" t="n">
        <v>96.07162350500001</v>
      </c>
      <c r="C3046" s="15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9" t="inlineStr">
        <is>
          <t>04/09/2015</t>
        </is>
      </c>
      <c r="B3047" s="8" t="n">
        <v>96.6907961305</v>
      </c>
      <c r="C3047" s="15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9" t="inlineStr">
        <is>
          <t>08/09/2015</t>
        </is>
      </c>
      <c r="B3048" s="8" t="n">
        <v>97.5296751715</v>
      </c>
      <c r="C3048" s="15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9" t="inlineStr">
        <is>
          <t>09/09/2015</t>
        </is>
      </c>
      <c r="B3049" s="8" t="n">
        <v>98.76802042250002</v>
      </c>
      <c r="C3049" s="15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9" t="inlineStr">
        <is>
          <t>10/09/2015</t>
        </is>
      </c>
      <c r="B3050" s="8" t="n">
        <v>99.746712637</v>
      </c>
      <c r="C3050" s="15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9" t="inlineStr">
        <is>
          <t>11/09/2015</t>
        </is>
      </c>
      <c r="B3051" s="8" t="n">
        <v>100.705431541</v>
      </c>
      <c r="C3051" s="15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9" t="inlineStr">
        <is>
          <t>14/09/2015</t>
        </is>
      </c>
      <c r="B3052" s="8" t="n">
        <v>101.1648176825</v>
      </c>
      <c r="C3052" s="15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9" t="inlineStr">
        <is>
          <t>15/09/2015</t>
        </is>
      </c>
      <c r="B3053" s="8" t="n">
        <v>101.3645507875</v>
      </c>
      <c r="C3053" s="15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9" t="inlineStr">
        <is>
          <t>16/09/2015</t>
        </is>
      </c>
      <c r="B3054" s="8" t="n">
        <v>102.0436433445</v>
      </c>
      <c r="C3054" s="15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9" t="inlineStr">
        <is>
          <t>17/09/2015</t>
        </is>
      </c>
      <c r="B3055" s="8" t="n">
        <v>102.6428426595</v>
      </c>
      <c r="C3055" s="15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9" t="inlineStr">
        <is>
          <t>18/09/2015</t>
        </is>
      </c>
      <c r="B3056" s="8" t="n">
        <v>103.5616149425</v>
      </c>
      <c r="C3056" s="15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9" t="inlineStr">
        <is>
          <t>21/09/2015</t>
        </is>
      </c>
      <c r="B3057" s="8" t="n">
        <v>104.420467294</v>
      </c>
      <c r="C3057" s="15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9" t="inlineStr">
        <is>
          <t>22/09/2015</t>
        </is>
      </c>
      <c r="B3058" s="8" t="n">
        <v>104.779986883</v>
      </c>
      <c r="C3058" s="15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9" t="inlineStr">
        <is>
          <t>23/09/2015</t>
        </is>
      </c>
      <c r="B3059" s="8" t="n">
        <v>105.4790527505</v>
      </c>
      <c r="C3059" s="15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9" t="inlineStr">
        <is>
          <t>24/09/2015</t>
        </is>
      </c>
      <c r="B3060" s="8" t="n">
        <v>105.6787858555</v>
      </c>
      <c r="C3060" s="15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9" t="inlineStr">
        <is>
          <t>25/09/2015</t>
        </is>
      </c>
      <c r="B3061" s="8" t="n">
        <v>106.417798344</v>
      </c>
      <c r="C3061" s="15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9" t="inlineStr">
        <is>
          <t>28/09/2015</t>
        </is>
      </c>
      <c r="B3062" s="8" t="n">
        <v>107.45641049</v>
      </c>
      <c r="C3062" s="15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9" t="inlineStr">
        <is>
          <t>29/09/2015</t>
        </is>
      </c>
      <c r="B3063" s="8" t="n">
        <v>108.5948891885</v>
      </c>
      <c r="C3063" s="15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9" t="inlineStr">
        <is>
          <t>30/09/2015</t>
        </is>
      </c>
      <c r="B3064" s="8" t="n">
        <v>108.694755741</v>
      </c>
      <c r="C3064" s="15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9" t="inlineStr">
        <is>
          <t>01/10/2015</t>
        </is>
      </c>
      <c r="B3065" s="8" t="n">
        <v>109.4229256104</v>
      </c>
      <c r="C3065" s="15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9" t="inlineStr">
        <is>
          <t>02/10/2015</t>
        </is>
      </c>
      <c r="B3066" s="8" t="n">
        <v>110.1874354812</v>
      </c>
      <c r="C3066" s="15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9" t="inlineStr">
        <is>
          <t>05/10/2015</t>
        </is>
      </c>
      <c r="B3067" s="8" t="n">
        <v>112.0104974808</v>
      </c>
      <c r="C3067" s="15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9" t="inlineStr">
        <is>
          <t>06/10/2015</t>
        </is>
      </c>
      <c r="B3068" s="8" t="n">
        <v>114.5392608996</v>
      </c>
      <c r="C3068" s="15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9" t="inlineStr">
        <is>
          <t>07/10/2015</t>
        </is>
      </c>
      <c r="B3069" s="8" t="n">
        <v>117.2444496732</v>
      </c>
      <c r="C3069" s="15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9" t="inlineStr">
        <is>
          <t>08/10/2015</t>
        </is>
      </c>
      <c r="B3070" s="8" t="n">
        <v>119.08711449</v>
      </c>
      <c r="C3070" s="15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9" t="inlineStr">
        <is>
          <t>09/10/2015</t>
        </is>
      </c>
      <c r="B3071" s="8" t="n">
        <v>120.4005032424</v>
      </c>
      <c r="C3071" s="15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9" t="inlineStr">
        <is>
          <t>13/10/2015</t>
        </is>
      </c>
      <c r="B3072" s="8" t="n">
        <v>122.6548272204</v>
      </c>
      <c r="C3072" s="15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9" t="inlineStr">
        <is>
          <t>14/10/2015</t>
        </is>
      </c>
      <c r="B3073" s="8" t="n">
        <v>125.2423990908</v>
      </c>
      <c r="C3073" s="15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9" t="inlineStr">
        <is>
          <t>15/10/2015</t>
        </is>
      </c>
      <c r="B3074" s="8" t="n">
        <v>126.4185681228</v>
      </c>
      <c r="C3074" s="15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9" t="inlineStr">
        <is>
          <t>16/10/2015</t>
        </is>
      </c>
      <c r="B3075" s="8" t="n">
        <v>128.0652047676</v>
      </c>
      <c r="C3075" s="15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9" t="inlineStr">
        <is>
          <t>19/10/2015</t>
        </is>
      </c>
      <c r="B3076" s="8" t="n">
        <v>128.2808357568</v>
      </c>
      <c r="C3076" s="15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9" t="inlineStr">
        <is>
          <t>20/10/2015</t>
        </is>
      </c>
      <c r="B3077" s="8" t="n">
        <v>131.4564921432</v>
      </c>
      <c r="C3077" s="15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9" t="inlineStr">
        <is>
          <t>21/10/2015</t>
        </is>
      </c>
      <c r="B3078" s="8" t="n">
        <v>133.397171046</v>
      </c>
      <c r="C3078" s="15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9" t="inlineStr">
        <is>
          <t>22/10/2015</t>
        </is>
      </c>
      <c r="B3079" s="8" t="n">
        <v>134.0048583792</v>
      </c>
      <c r="C3079" s="15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9" t="inlineStr">
        <is>
          <t>23/10/2015</t>
        </is>
      </c>
      <c r="B3080" s="8" t="n">
        <v>136.3964020776</v>
      </c>
      <c r="C3080" s="15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9" t="inlineStr">
        <is>
          <t>26/10/2015</t>
        </is>
      </c>
      <c r="B3081" s="8" t="n">
        <v>138.8663570448</v>
      </c>
      <c r="C3081" s="15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9" t="inlineStr">
        <is>
          <t>27/10/2015</t>
        </is>
      </c>
      <c r="B3082" s="8" t="n">
        <v>139.6504697328</v>
      </c>
      <c r="C3082" s="15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9" t="inlineStr">
        <is>
          <t>28/10/2015</t>
        </is>
      </c>
      <c r="B3083" s="8" t="n">
        <v>141.3951204636</v>
      </c>
      <c r="C3083" s="15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9" t="inlineStr">
        <is>
          <t>29/10/2015</t>
        </is>
      </c>
      <c r="B3084" s="8" t="n">
        <v>142.2576444204</v>
      </c>
      <c r="C3084" s="15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9" t="inlineStr">
        <is>
          <t>30/10/2015</t>
        </is>
      </c>
      <c r="B3085" s="8" t="n">
        <v>144.0022951512</v>
      </c>
      <c r="C3085" s="15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9" t="inlineStr">
        <is>
          <t>03/11/2015</t>
        </is>
      </c>
      <c r="B3086" s="8" t="n">
        <v>142.3868932344</v>
      </c>
      <c r="C3086" s="15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9" t="inlineStr">
        <is>
          <t>04/11/2015</t>
        </is>
      </c>
      <c r="B3087" s="8" t="n">
        <v>142.7537702308</v>
      </c>
      <c r="C3087" s="15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9" t="inlineStr">
        <is>
          <t>05/11/2015</t>
        </is>
      </c>
      <c r="B3088" s="8" t="n">
        <v>143.9123291668</v>
      </c>
      <c r="C3088" s="15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9" t="inlineStr">
        <is>
          <t>06/11/2015</t>
        </is>
      </c>
      <c r="B3089" s="8" t="n">
        <v>144.6653924752</v>
      </c>
      <c r="C3089" s="15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9" t="inlineStr">
        <is>
          <t>09/11/2015</t>
        </is>
      </c>
      <c r="B3090" s="8" t="n">
        <v>144.8584856312</v>
      </c>
      <c r="C3090" s="15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9" t="inlineStr">
        <is>
          <t>10/11/2015</t>
        </is>
      </c>
      <c r="B3091" s="8" t="n">
        <v>145.8625700424</v>
      </c>
      <c r="C3091" s="15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9" t="inlineStr">
        <is>
          <t>11/11/2015</t>
        </is>
      </c>
      <c r="B3092" s="8" t="n">
        <v>146.6928706132</v>
      </c>
      <c r="C3092" s="15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9" t="inlineStr">
        <is>
          <t>12/11/2015</t>
        </is>
      </c>
      <c r="B3093" s="8" t="n">
        <v>146.7314892444</v>
      </c>
      <c r="C3093" s="15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9" t="inlineStr">
        <is>
          <t>13/11/2015</t>
        </is>
      </c>
      <c r="B3094" s="8" t="n">
        <v>147.8514295492</v>
      </c>
      <c r="C3094" s="15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9" t="inlineStr">
        <is>
          <t>16/11/2015</t>
        </is>
      </c>
      <c r="B3095" s="8" t="n">
        <v>148.6431114888</v>
      </c>
      <c r="C3095" s="15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9" t="inlineStr">
        <is>
          <t>17/11/2015</t>
        </is>
      </c>
      <c r="B3096" s="8" t="n">
        <v>148.971369854</v>
      </c>
      <c r="C3096" s="15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9" t="inlineStr">
        <is>
          <t>18/11/2015</t>
        </is>
      </c>
      <c r="B3097" s="8" t="n">
        <v>148.7396580668</v>
      </c>
      <c r="C3097" s="15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9" t="inlineStr">
        <is>
          <t>19/11/2015</t>
        </is>
      </c>
      <c r="B3098" s="8" t="n">
        <v>149.4154841128</v>
      </c>
      <c r="C3098" s="15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9" t="inlineStr">
        <is>
          <t>23/11/2015</t>
        </is>
      </c>
      <c r="B3099" s="8" t="n">
        <v>149.6858145312</v>
      </c>
      <c r="C3099" s="15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9" t="inlineStr">
        <is>
          <t>24/11/2015</t>
        </is>
      </c>
      <c r="B3100" s="8" t="n">
        <v>149.9754542652</v>
      </c>
      <c r="C3100" s="15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9" t="inlineStr">
        <is>
          <t>25/11/2015</t>
        </is>
      </c>
      <c r="B3101" s="8" t="n">
        <v>150.3616405772</v>
      </c>
      <c r="C3101" s="15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9" t="inlineStr">
        <is>
          <t>26/11/2015</t>
        </is>
      </c>
      <c r="B3102" s="8" t="n">
        <v>150.4388778396</v>
      </c>
      <c r="C3102" s="15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9" t="inlineStr">
        <is>
          <t>27/11/2015</t>
        </is>
      </c>
      <c r="B3103" s="8" t="n">
        <v>151.2112504636</v>
      </c>
      <c r="C3103" s="15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9" t="inlineStr">
        <is>
          <t>30/11/2015</t>
        </is>
      </c>
      <c r="B3104" s="8" t="n">
        <v>151.4043436196</v>
      </c>
      <c r="C3104" s="15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9" t="inlineStr">
        <is>
          <t>01/12/2015</t>
        </is>
      </c>
      <c r="B3105" s="8" t="n">
        <v>150.8198010437</v>
      </c>
      <c r="C3105" s="15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9" t="inlineStr">
        <is>
          <t>02/12/2015</t>
        </is>
      </c>
      <c r="B3106" s="8" t="n">
        <v>150.839016205</v>
      </c>
      <c r="C3106" s="15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9" t="inlineStr">
        <is>
          <t>03/12/2015</t>
        </is>
      </c>
      <c r="B3107" s="8" t="n">
        <v>151.1656739471</v>
      </c>
      <c r="C3107" s="15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9" t="inlineStr">
        <is>
          <t>04/12/2015</t>
        </is>
      </c>
      <c r="B3108" s="8" t="n">
        <v>152.1456471734</v>
      </c>
      <c r="C3108" s="15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9" t="inlineStr">
        <is>
          <t>07/12/2015</t>
        </is>
      </c>
      <c r="B3109" s="8" t="n">
        <v>152.7989626576</v>
      </c>
      <c r="C3109" s="15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9" t="inlineStr">
        <is>
          <t>08/12/2015</t>
        </is>
      </c>
      <c r="B3110" s="8" t="n">
        <v>152.9718991093</v>
      </c>
      <c r="C3110" s="15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9" t="inlineStr">
        <is>
          <t>09/12/2015</t>
        </is>
      </c>
      <c r="B3111" s="8" t="n">
        <v>153.2216962062</v>
      </c>
      <c r="C3111" s="15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9" t="inlineStr">
        <is>
          <t>10/12/2015</t>
        </is>
      </c>
      <c r="B3112" s="8" t="n">
        <v>153.4330629805</v>
      </c>
      <c r="C3112" s="15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9" t="inlineStr">
        <is>
          <t>11/12/2015</t>
        </is>
      </c>
      <c r="B3113" s="8" t="n">
        <v>154.0863784647</v>
      </c>
      <c r="C3113" s="15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9" t="inlineStr">
        <is>
          <t>14/12/2015</t>
        </is>
      </c>
      <c r="B3114" s="8" t="n">
        <v>155.1624274975</v>
      </c>
      <c r="C3114" s="15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9" t="inlineStr">
        <is>
          <t>15/12/2015</t>
        </is>
      </c>
      <c r="B3115" s="8" t="n">
        <v>155.7196671752</v>
      </c>
      <c r="C3115" s="15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9" t="inlineStr">
        <is>
          <t>16/12/2015</t>
        </is>
      </c>
      <c r="B3116" s="8" t="n">
        <v>156.3729826594</v>
      </c>
      <c r="C3116" s="15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9" t="inlineStr">
        <is>
          <t>17/12/2015</t>
        </is>
      </c>
      <c r="B3117" s="8" t="n">
        <v>156.2769068529</v>
      </c>
      <c r="C3117" s="15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9" t="inlineStr">
        <is>
          <t>18/12/2015</t>
        </is>
      </c>
      <c r="B3118" s="8" t="n">
        <v>156.9686526597</v>
      </c>
      <c r="C3118" s="15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9" t="inlineStr">
        <is>
          <t>21/12/2015</t>
        </is>
      </c>
      <c r="B3119" s="8" t="n">
        <v>156.7572858854</v>
      </c>
      <c r="C3119" s="15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9" t="inlineStr">
        <is>
          <t>22/12/2015</t>
        </is>
      </c>
      <c r="B3120" s="8" t="n">
        <v>156.8725768532</v>
      </c>
      <c r="C3120" s="15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9" t="inlineStr">
        <is>
          <t>23/12/2015</t>
        </is>
      </c>
      <c r="B3121" s="8" t="n">
        <v>157.1223739501</v>
      </c>
      <c r="C3121" s="15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9" t="inlineStr">
        <is>
          <t>28/12/2015</t>
        </is>
      </c>
      <c r="B3122" s="8" t="n">
        <v>157.4490316922</v>
      </c>
      <c r="C3122" s="15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9" t="inlineStr">
        <is>
          <t>29/12/2015</t>
        </is>
      </c>
      <c r="B3123" s="8" t="n">
        <v>158.0831320151</v>
      </c>
      <c r="C3123" s="15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9" t="inlineStr">
        <is>
          <t>30/12/2015</t>
        </is>
      </c>
      <c r="B3124" s="8" t="n">
        <v>157.8717652408</v>
      </c>
      <c r="C3124" s="15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9" t="inlineStr">
        <is>
          <t>04/01/2016</t>
        </is>
      </c>
      <c r="B3125" s="8" t="n">
        <v>157.00424446</v>
      </c>
      <c r="C3125" s="15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9" t="inlineStr">
        <is>
          <t>05/01/2016</t>
        </is>
      </c>
      <c r="B3126" s="8" t="n">
        <v>157.8211832925</v>
      </c>
      <c r="C3126" s="15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9" t="inlineStr">
        <is>
          <t>06/01/2016</t>
        </is>
      </c>
      <c r="B3127" s="8" t="n">
        <v>157.23222739</v>
      </c>
      <c r="C3127" s="15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9" t="inlineStr">
        <is>
          <t>07/01/2016</t>
        </is>
      </c>
      <c r="B3128" s="8" t="n">
        <v>157.5932003625</v>
      </c>
      <c r="C3128" s="15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9" t="inlineStr">
        <is>
          <t>08/01/2016</t>
        </is>
      </c>
      <c r="B3129" s="8" t="n">
        <v>157.53620463</v>
      </c>
      <c r="C3129" s="15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9" t="inlineStr">
        <is>
          <t>11/01/2016</t>
        </is>
      </c>
      <c r="B3130" s="8" t="n">
        <v>158.6191235475</v>
      </c>
      <c r="C3130" s="15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9" t="inlineStr">
        <is>
          <t>12/01/2016</t>
        </is>
      </c>
      <c r="B3131" s="8" t="n">
        <v>159.6450467325</v>
      </c>
      <c r="C3131" s="15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9" t="inlineStr">
        <is>
          <t>13/01/2016</t>
        </is>
      </c>
      <c r="B3132" s="8" t="n">
        <v>160.4049898325</v>
      </c>
      <c r="C3132" s="15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9" t="inlineStr">
        <is>
          <t>14/01/2016</t>
        </is>
      </c>
      <c r="B3133" s="8" t="n">
        <v>159.5690524225</v>
      </c>
      <c r="C3133" s="15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9" t="inlineStr">
        <is>
          <t>15/01/2016</t>
        </is>
      </c>
      <c r="B3134" s="8" t="n">
        <v>160.49998272</v>
      </c>
      <c r="C3134" s="15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9" t="inlineStr">
        <is>
          <t>18/01/2016</t>
        </is>
      </c>
      <c r="B3135" s="8" t="n">
        <v>160.689968495</v>
      </c>
      <c r="C3135" s="15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9" t="inlineStr">
        <is>
          <t>19/01/2016</t>
        </is>
      </c>
      <c r="B3136" s="8" t="n">
        <v>160.5189812975</v>
      </c>
      <c r="C3136" s="15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9" t="inlineStr">
        <is>
          <t>20/01/2016</t>
        </is>
      </c>
      <c r="B3137" s="8" t="n">
        <v>160.72796565</v>
      </c>
      <c r="C3137" s="15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9" t="inlineStr">
        <is>
          <t>21/01/2016</t>
        </is>
      </c>
      <c r="B3138" s="8" t="n">
        <v>160.993945735</v>
      </c>
      <c r="C3138" s="15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9" t="inlineStr">
        <is>
          <t>22/01/2016</t>
        </is>
      </c>
      <c r="B3139" s="8" t="n">
        <v>160.4809841425</v>
      </c>
      <c r="C3139" s="15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9" t="inlineStr">
        <is>
          <t>25/01/2016</t>
        </is>
      </c>
      <c r="B3140" s="8" t="n">
        <v>159.8730296625</v>
      </c>
      <c r="C3140" s="15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9" t="inlineStr">
        <is>
          <t>26/01/2016</t>
        </is>
      </c>
      <c r="B3141" s="8" t="n">
        <v>158.3151463075</v>
      </c>
      <c r="C3141" s="15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9" t="inlineStr">
        <is>
          <t>27/01/2016</t>
        </is>
      </c>
      <c r="B3142" s="8" t="n">
        <v>157.6691946725</v>
      </c>
      <c r="C3142" s="15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9" t="inlineStr">
        <is>
          <t>28/01/2016</t>
        </is>
      </c>
      <c r="B3143" s="8" t="n">
        <v>158.52413066</v>
      </c>
      <c r="C3143" s="15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9" t="inlineStr">
        <is>
          <t>29/01/2016</t>
        </is>
      </c>
      <c r="B3144" s="8" t="n">
        <v>158.3531434625</v>
      </c>
      <c r="C3144" s="15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9" t="inlineStr">
        <is>
          <t>01/02/2016</t>
        </is>
      </c>
      <c r="B3145" s="8" t="n">
        <v>155.6986793772</v>
      </c>
      <c r="C3145" s="15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9" t="inlineStr">
        <is>
          <t>02/02/2016</t>
        </is>
      </c>
      <c r="B3146" s="8" t="n">
        <v>154.7420919</v>
      </c>
      <c r="C3146" s="15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9" t="inlineStr">
        <is>
          <t>03/02/2016</t>
        </is>
      </c>
      <c r="B3147" s="8" t="n">
        <v>154.5170124936</v>
      </c>
      <c r="C3147" s="15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9" t="inlineStr">
        <is>
          <t>04/02/2016</t>
        </is>
      </c>
      <c r="B3148" s="8" t="n">
        <v>154.1981500012</v>
      </c>
      <c r="C3148" s="15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9" t="inlineStr">
        <is>
          <t>05/02/2016</t>
        </is>
      </c>
      <c r="B3149" s="8" t="n">
        <v>154.366959556</v>
      </c>
      <c r="C3149" s="15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9" t="inlineStr">
        <is>
          <t>10/02/2016</t>
        </is>
      </c>
      <c r="B3150" s="8" t="n">
        <v>153.8417742744</v>
      </c>
      <c r="C3150" s="15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9" t="inlineStr">
        <is>
          <t>11/02/2016</t>
        </is>
      </c>
      <c r="B3151" s="8" t="n">
        <v>153.4478853132</v>
      </c>
      <c r="C3151" s="15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9" t="inlineStr">
        <is>
          <t>12/02/2016</t>
        </is>
      </c>
      <c r="B3152" s="8" t="n">
        <v>153.0352397348</v>
      </c>
      <c r="C3152" s="15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9" t="inlineStr">
        <is>
          <t>15/02/2016</t>
        </is>
      </c>
      <c r="B3153" s="8" t="n">
        <v>152.6413507736</v>
      </c>
      <c r="C3153" s="15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9" t="inlineStr">
        <is>
          <t>16/02/2016</t>
        </is>
      </c>
      <c r="B3154" s="8" t="n">
        <v>152.6225941564</v>
      </c>
      <c r="C3154" s="15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9" t="inlineStr">
        <is>
          <t>17/02/2016</t>
        </is>
      </c>
      <c r="B3155" s="8" t="n">
        <v>151.4034140384</v>
      </c>
      <c r="C3155" s="15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9" t="inlineStr">
        <is>
          <t>18/02/2016</t>
        </is>
      </c>
      <c r="B3156" s="8" t="n">
        <v>151.5159537416</v>
      </c>
      <c r="C3156" s="15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9" t="inlineStr">
        <is>
          <t>19/02/2016</t>
        </is>
      </c>
      <c r="B3157" s="8" t="n">
        <v>151.4971971244</v>
      </c>
      <c r="C3157" s="15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9" t="inlineStr">
        <is>
          <t>22/02/2016</t>
        </is>
      </c>
      <c r="B3158" s="8" t="n">
        <v>151.9661125544</v>
      </c>
      <c r="C3158" s="15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9" t="inlineStr">
        <is>
          <t>23/02/2016</t>
        </is>
      </c>
      <c r="B3159" s="8" t="n">
        <v>151.553466976</v>
      </c>
      <c r="C3159" s="15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9" t="inlineStr">
        <is>
          <t>24/02/2016</t>
        </is>
      </c>
      <c r="B3160" s="8" t="n">
        <v>150.2967736236</v>
      </c>
      <c r="C3160" s="15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9" t="inlineStr">
        <is>
          <t>25/02/2016</t>
        </is>
      </c>
      <c r="B3161" s="8" t="n">
        <v>149.5277523184</v>
      </c>
      <c r="C3161" s="15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9" t="inlineStr">
        <is>
          <t>26/02/2016</t>
        </is>
      </c>
      <c r="B3162" s="8" t="n">
        <v>149.7903449592</v>
      </c>
      <c r="C3162" s="15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9" t="inlineStr">
        <is>
          <t>29/02/2016</t>
        </is>
      </c>
      <c r="B3163" s="8" t="n">
        <v>148.9838104196</v>
      </c>
      <c r="C3163" s="15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9" t="inlineStr">
        <is>
          <t>01/03/2016</t>
        </is>
      </c>
      <c r="B3164" s="8" t="n">
        <v>147.4067445762</v>
      </c>
      <c r="C3164" s="15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9" t="inlineStr">
        <is>
          <t>02/03/2016</t>
        </is>
      </c>
      <c r="B3165" s="8" t="n">
        <v>147.2201301382</v>
      </c>
      <c r="C3165" s="15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9" t="inlineStr">
        <is>
          <t>03/03/2016</t>
        </is>
      </c>
      <c r="B3166" s="8" t="n">
        <v>146.6976097118</v>
      </c>
      <c r="C3166" s="15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9" t="inlineStr">
        <is>
          <t>04/03/2016</t>
        </is>
      </c>
      <c r="B3167" s="8" t="n">
        <v>146.399026611</v>
      </c>
      <c r="C3167" s="15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9" t="inlineStr">
        <is>
          <t>07/03/2016</t>
        </is>
      </c>
      <c r="B3168" s="8" t="n">
        <v>146.0631206226</v>
      </c>
      <c r="C3168" s="15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9" t="inlineStr">
        <is>
          <t>08/03/2016</t>
        </is>
      </c>
      <c r="B3169" s="8" t="n">
        <v>145.9511519598</v>
      </c>
      <c r="C3169" s="15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9" t="inlineStr">
        <is>
          <t>09/03/2016</t>
        </is>
      </c>
      <c r="B3170" s="8" t="n">
        <v>145.6898917466</v>
      </c>
      <c r="C3170" s="15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9" t="inlineStr">
        <is>
          <t>10/03/2016</t>
        </is>
      </c>
      <c r="B3171" s="8" t="n">
        <v>146.1004435102</v>
      </c>
      <c r="C3171" s="15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9" t="inlineStr">
        <is>
          <t>11/03/2016</t>
        </is>
      </c>
      <c r="B3172" s="8" t="n">
        <v>145.1487098764</v>
      </c>
      <c r="C3172" s="15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9" t="inlineStr">
        <is>
          <t>14/03/2016</t>
        </is>
      </c>
      <c r="B3173" s="8" t="n">
        <v>145.3913086458</v>
      </c>
      <c r="C3173" s="15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9" t="inlineStr">
        <is>
          <t>15/03/2016</t>
        </is>
      </c>
      <c r="B3174" s="8" t="n">
        <v>144.812803888</v>
      </c>
      <c r="C3174" s="15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9" t="inlineStr">
        <is>
          <t>16/03/2016</t>
        </is>
      </c>
      <c r="B3175" s="8" t="n">
        <v>143.599810041</v>
      </c>
      <c r="C3175" s="15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9" t="inlineStr">
        <is>
          <t>17/03/2016</t>
        </is>
      </c>
      <c r="B3176" s="8" t="n">
        <v>142.8906751766</v>
      </c>
      <c r="C3176" s="15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9" t="inlineStr">
        <is>
          <t>18/03/2016</t>
        </is>
      </c>
      <c r="B3177" s="8" t="n">
        <v>142.3681547502</v>
      </c>
      <c r="C3177" s="15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9" t="inlineStr">
        <is>
          <t>21/03/2016</t>
        </is>
      </c>
      <c r="B3178" s="8" t="n">
        <v>143.0586281708</v>
      </c>
      <c r="C3178" s="15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9" t="inlineStr">
        <is>
          <t>22/03/2016</t>
        </is>
      </c>
      <c r="B3179" s="8" t="n">
        <v>142.7973679576</v>
      </c>
      <c r="C3179" s="15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9" t="inlineStr">
        <is>
          <t>23/03/2016</t>
        </is>
      </c>
      <c r="B3180" s="8" t="n">
        <v>142.4614619692</v>
      </c>
      <c r="C3180" s="15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9" t="inlineStr">
        <is>
          <t>24/03/2016</t>
        </is>
      </c>
      <c r="B3181" s="8" t="n">
        <v>143.3572112716</v>
      </c>
      <c r="C3181" s="15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9" t="inlineStr">
        <is>
          <t>28/03/2016</t>
        </is>
      </c>
      <c r="B3182" s="8" t="n">
        <v>143.3945341592</v>
      </c>
      <c r="C3182" s="15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9" t="inlineStr">
        <is>
          <t>29/03/2016</t>
        </is>
      </c>
      <c r="B3183" s="8" t="n">
        <v>143.133273946</v>
      </c>
      <c r="C3183" s="15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9" t="inlineStr">
        <is>
          <t>30/03/2016</t>
        </is>
      </c>
      <c r="B3184" s="8" t="n">
        <v>143.0959510584</v>
      </c>
      <c r="C3184" s="15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9" t="inlineStr">
        <is>
          <t>31/03/2016</t>
        </is>
      </c>
      <c r="B3185" s="8" t="n">
        <v>143.0213052832</v>
      </c>
      <c r="C3185" s="15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9" t="inlineStr">
        <is>
          <t>01/04/2016</t>
        </is>
      </c>
      <c r="B3186" s="8" t="n">
        <v>142.5508874304</v>
      </c>
      <c r="C3186" s="15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9" t="inlineStr">
        <is>
          <t>04/04/2016</t>
        </is>
      </c>
      <c r="B3187" s="8" t="n">
        <v>142.1416860312</v>
      </c>
      <c r="C3187" s="15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9" t="inlineStr">
        <is>
          <t>05/04/2016</t>
        </is>
      </c>
      <c r="B3188" s="8" t="n">
        <v>142.3462867308</v>
      </c>
      <c r="C3188" s="15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9" t="inlineStr">
        <is>
          <t>06/04/2016</t>
        </is>
      </c>
      <c r="B3189" s="8" t="n">
        <v>141.6766844412</v>
      </c>
      <c r="C3189" s="15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9" t="inlineStr">
        <is>
          <t>07/04/2016</t>
        </is>
      </c>
      <c r="B3190" s="8" t="n">
        <v>141.8812851408</v>
      </c>
      <c r="C3190" s="15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9" t="inlineStr">
        <is>
          <t>08/04/2016</t>
        </is>
      </c>
      <c r="B3191" s="8" t="n">
        <v>141.5092838688</v>
      </c>
      <c r="C3191" s="15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9" t="inlineStr">
        <is>
          <t>11/04/2016</t>
        </is>
      </c>
      <c r="B3192" s="8" t="n">
        <v>140.7280811976</v>
      </c>
      <c r="C3192" s="15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9" t="inlineStr">
        <is>
          <t>12/04/2016</t>
        </is>
      </c>
      <c r="B3193" s="8" t="n">
        <v>141.174482724</v>
      </c>
      <c r="C3193" s="15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9" t="inlineStr">
        <is>
          <t>13/04/2016</t>
        </is>
      </c>
      <c r="B3194" s="8" t="n">
        <v>141.1372825968</v>
      </c>
      <c r="C3194" s="15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9" t="inlineStr">
        <is>
          <t>14/04/2016</t>
        </is>
      </c>
      <c r="B3195" s="8" t="n">
        <v>140.616480816</v>
      </c>
      <c r="C3195" s="15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9" t="inlineStr">
        <is>
          <t>15/04/2016</t>
        </is>
      </c>
      <c r="B3196" s="8" t="n">
        <v>141.1372825968</v>
      </c>
      <c r="C3196" s="15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9" t="inlineStr">
        <is>
          <t>18/04/2016</t>
        </is>
      </c>
      <c r="B3197" s="8" t="n">
        <v>142.2160862856</v>
      </c>
      <c r="C3197" s="15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9" t="inlineStr">
        <is>
          <t>19/04/2016</t>
        </is>
      </c>
      <c r="B3198" s="8" t="n">
        <v>141.36048336</v>
      </c>
      <c r="C3198" s="15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9" t="inlineStr">
        <is>
          <t>20/04/2016</t>
        </is>
      </c>
      <c r="B3199" s="8" t="n">
        <v>140.6350808796</v>
      </c>
      <c r="C3199" s="15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9" t="inlineStr">
        <is>
          <t>22/04/2016</t>
        </is>
      </c>
      <c r="B3200" s="8" t="n">
        <v>141.081482406</v>
      </c>
      <c r="C3200" s="15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9" t="inlineStr">
        <is>
          <t>25/04/2016</t>
        </is>
      </c>
      <c r="B3201" s="8" t="n">
        <v>141.82548495</v>
      </c>
      <c r="C3201" s="15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9" t="inlineStr">
        <is>
          <t>26/04/2016</t>
        </is>
      </c>
      <c r="B3202" s="8" t="n">
        <v>141.7510846956</v>
      </c>
      <c r="C3202" s="15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9" t="inlineStr">
        <is>
          <t>27/04/2016</t>
        </is>
      </c>
      <c r="B3203" s="8" t="n">
        <v>141.1186825332</v>
      </c>
      <c r="C3203" s="15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9" t="inlineStr">
        <is>
          <t>28/04/2016</t>
        </is>
      </c>
      <c r="B3204" s="8" t="n">
        <v>140.3002797348</v>
      </c>
      <c r="C3204" s="15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9" t="inlineStr">
        <is>
          <t>29/04/2016</t>
        </is>
      </c>
      <c r="B3205" s="8" t="n">
        <v>139.8352781448</v>
      </c>
      <c r="C3205" s="15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9" t="inlineStr">
        <is>
          <t>02/05/2016</t>
        </is>
      </c>
      <c r="B3206" s="8" t="n">
        <v>139.2145210456</v>
      </c>
      <c r="C3206" s="15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9" t="inlineStr">
        <is>
          <t>03/05/2016</t>
        </is>
      </c>
      <c r="B3207" s="8" t="n">
        <v>138.1075940296</v>
      </c>
      <c r="C3207" s="15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9" t="inlineStr">
        <is>
          <t>04/05/2016</t>
        </is>
      </c>
      <c r="B3208" s="8" t="n">
        <v>138.642608754</v>
      </c>
      <c r="C3208" s="15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9" t="inlineStr">
        <is>
          <t>05/05/2016</t>
        </is>
      </c>
      <c r="B3209" s="8" t="n">
        <v>138.6057111868</v>
      </c>
      <c r="C3209" s="15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9" t="inlineStr">
        <is>
          <t>06/05/2016</t>
        </is>
      </c>
      <c r="B3210" s="8" t="n">
        <v>138.9562380752</v>
      </c>
      <c r="C3210" s="15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9" t="inlineStr">
        <is>
          <t>09/05/2016</t>
        </is>
      </c>
      <c r="B3211" s="8" t="n">
        <v>139.28831618</v>
      </c>
      <c r="C3211" s="15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9" t="inlineStr">
        <is>
          <t>10/05/2016</t>
        </is>
      </c>
      <c r="B3212" s="8" t="n">
        <v>138.7717502392</v>
      </c>
      <c r="C3212" s="15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9" t="inlineStr">
        <is>
          <t>11/05/2016</t>
        </is>
      </c>
      <c r="B3213" s="8" t="n">
        <v>138.7901990228</v>
      </c>
      <c r="C3213" s="15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9" t="inlineStr">
        <is>
          <t>12/05/2016</t>
        </is>
      </c>
      <c r="B3214" s="8" t="n">
        <v>138.6057111868</v>
      </c>
      <c r="C3214" s="15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9" t="inlineStr">
        <is>
          <t>13/05/2016</t>
        </is>
      </c>
      <c r="B3215" s="8" t="n">
        <v>138.1444915968</v>
      </c>
      <c r="C3215" s="15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9" t="inlineStr">
        <is>
          <t>16/05/2016</t>
        </is>
      </c>
      <c r="B3216" s="8" t="n">
        <v>139.1591746948</v>
      </c>
      <c r="C3216" s="15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9" t="inlineStr">
        <is>
          <t>17/05/2016</t>
        </is>
      </c>
      <c r="B3217" s="8" t="n">
        <v>139.1776234784</v>
      </c>
      <c r="C3217" s="15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9" t="inlineStr">
        <is>
          <t>18/05/2016</t>
        </is>
      </c>
      <c r="B3218" s="8" t="n">
        <v>139.6941894192</v>
      </c>
      <c r="C3218" s="15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9" t="inlineStr">
        <is>
          <t>19/05/2016</t>
        </is>
      </c>
      <c r="B3219" s="8" t="n">
        <v>139.7126382028</v>
      </c>
      <c r="C3219" s="15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9" t="inlineStr">
        <is>
          <t>20/05/2016</t>
        </is>
      </c>
      <c r="B3220" s="8" t="n">
        <v>140.2476529272</v>
      </c>
      <c r="C3220" s="15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9" t="inlineStr">
        <is>
          <t>23/05/2016</t>
        </is>
      </c>
      <c r="B3221" s="8" t="n">
        <v>140.7826676516</v>
      </c>
      <c r="C3221" s="15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9" t="inlineStr">
        <is>
          <t>24/05/2016</t>
        </is>
      </c>
      <c r="B3222" s="8" t="n">
        <v>140.21075536</v>
      </c>
      <c r="C3222" s="15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9" t="inlineStr">
        <is>
          <t>25/05/2016</t>
        </is>
      </c>
      <c r="B3223" s="8" t="n">
        <v>140.5981798156</v>
      </c>
      <c r="C3223" s="15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9" t="inlineStr">
        <is>
          <t>27/05/2016</t>
        </is>
      </c>
      <c r="B3224" s="8" t="n">
        <v>140.8933603532</v>
      </c>
      <c r="C3224" s="15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9" t="inlineStr">
        <is>
          <t>30/05/2016</t>
        </is>
      </c>
      <c r="B3225" s="8" t="n">
        <v>141.963389802</v>
      </c>
      <c r="C3225" s="15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9" t="inlineStr">
        <is>
          <t>31/05/2016</t>
        </is>
      </c>
      <c r="B3226" s="8" t="n">
        <v>142.5537508772</v>
      </c>
      <c r="C3226" s="15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9" t="inlineStr">
        <is>
          <t>01/06/2016</t>
        </is>
      </c>
      <c r="B3227" s="8" t="n">
        <v>140.5474738829</v>
      </c>
      <c r="C3227" s="15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9" t="inlineStr">
        <is>
          <t>02/06/2016</t>
        </is>
      </c>
      <c r="B3228" s="8" t="n">
        <v>142.0169905196</v>
      </c>
      <c r="C3228" s="15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9" t="inlineStr">
        <is>
          <t>03/06/2016</t>
        </is>
      </c>
      <c r="B3229" s="8" t="n">
        <v>143.32322753</v>
      </c>
      <c r="C3229" s="15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9" t="inlineStr">
        <is>
          <t>06/06/2016</t>
        </is>
      </c>
      <c r="B3230" s="8" t="n">
        <v>144.8653128895</v>
      </c>
      <c r="C3230" s="15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9" t="inlineStr">
        <is>
          <t>07/06/2016</t>
        </is>
      </c>
      <c r="B3231" s="8" t="n">
        <v>145.5184313947</v>
      </c>
      <c r="C3231" s="15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9" t="inlineStr">
        <is>
          <t>08/06/2016</t>
        </is>
      </c>
      <c r="B3232" s="8" t="n">
        <v>146.8065262244</v>
      </c>
      <c r="C3232" s="15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9" t="inlineStr">
        <is>
          <t>09/06/2016</t>
        </is>
      </c>
      <c r="B3233" s="8" t="n">
        <v>149.3645737031</v>
      </c>
      <c r="C3233" s="15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9" t="inlineStr">
        <is>
          <t>10/06/2016</t>
        </is>
      </c>
      <c r="B3234" s="8" t="n">
        <v>149.8362704013</v>
      </c>
      <c r="C3234" s="15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9" t="inlineStr">
        <is>
          <t>13/06/2016</t>
        </is>
      </c>
      <c r="B3235" s="8" t="n">
        <v>150.7796637977</v>
      </c>
      <c r="C3235" s="15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9" t="inlineStr">
        <is>
          <t>14/06/2016</t>
        </is>
      </c>
      <c r="B3236" s="8" t="n">
        <v>152.575739687</v>
      </c>
      <c r="C3236" s="15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9" t="inlineStr">
        <is>
          <t>15/06/2016</t>
        </is>
      </c>
      <c r="B3237" s="8" t="n">
        <v>152.9022989396</v>
      </c>
      <c r="C3237" s="15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9" t="inlineStr">
        <is>
          <t>16/06/2016</t>
        </is>
      </c>
      <c r="B3238" s="8" t="n">
        <v>153.9908297816</v>
      </c>
      <c r="C3238" s="15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9" t="inlineStr">
        <is>
          <t>17/06/2016</t>
        </is>
      </c>
      <c r="B3239" s="8" t="n">
        <v>154.7346591903</v>
      </c>
      <c r="C3239" s="15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9" t="inlineStr">
        <is>
          <t>20/06/2016</t>
        </is>
      </c>
      <c r="B3240" s="8" t="n">
        <v>156.1134649235</v>
      </c>
      <c r="C3240" s="15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9" t="inlineStr">
        <is>
          <t>21/06/2016</t>
        </is>
      </c>
      <c r="B3241" s="8" t="n">
        <v>157.0568583199</v>
      </c>
      <c r="C3241" s="15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9" t="inlineStr">
        <is>
          <t>22/06/2016</t>
        </is>
      </c>
      <c r="B3242" s="8" t="n">
        <v>157.0750005006</v>
      </c>
      <c r="C3242" s="15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9" t="inlineStr">
        <is>
          <t>23/06/2016</t>
        </is>
      </c>
      <c r="B3243" s="8" t="n">
        <v>157.6011237409</v>
      </c>
      <c r="C3243" s="15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9" t="inlineStr">
        <is>
          <t>24/06/2016</t>
        </is>
      </c>
      <c r="B3244" s="8" t="n">
        <v>158.562659318</v>
      </c>
      <c r="C3244" s="15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9" t="inlineStr">
        <is>
          <t>27/06/2016</t>
        </is>
      </c>
      <c r="B3245" s="8" t="n">
        <v>158.3630953303</v>
      </c>
      <c r="C3245" s="15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9" t="inlineStr">
        <is>
          <t>28/06/2016</t>
        </is>
      </c>
      <c r="B3246" s="8" t="n">
        <v>158.9617872934</v>
      </c>
      <c r="C3246" s="15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9" t="inlineStr">
        <is>
          <t>29/06/2016</t>
        </is>
      </c>
      <c r="B3247" s="8" t="n">
        <v>159.8870385091</v>
      </c>
      <c r="C3247" s="15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9" t="inlineStr">
        <is>
          <t>30/06/2016</t>
        </is>
      </c>
      <c r="B3248" s="8" t="n">
        <v>159.3971996302</v>
      </c>
      <c r="C3248" s="15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9" t="inlineStr">
        <is>
          <t>01/07/2016</t>
        </is>
      </c>
      <c r="B3249" s="8" t="n">
        <v>159.183238965</v>
      </c>
      <c r="C3249" s="15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9" t="inlineStr">
        <is>
          <t>04/07/2016</t>
        </is>
      </c>
      <c r="B3250" s="8" t="n">
        <v>159.3643348</v>
      </c>
      <c r="C3250" s="15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9" t="inlineStr">
        <is>
          <t>05/07/2016</t>
        </is>
      </c>
      <c r="B3251" s="8" t="n">
        <v>159.8532935545</v>
      </c>
      <c r="C3251" s="15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9" t="inlineStr">
        <is>
          <t>06/07/2016</t>
        </is>
      </c>
      <c r="B3252" s="8" t="n">
        <v>158.748608961</v>
      </c>
      <c r="C3252" s="15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9" t="inlineStr">
        <is>
          <t>07/07/2016</t>
        </is>
      </c>
      <c r="B3253" s="8" t="n">
        <v>158.6942802105</v>
      </c>
      <c r="C3253" s="15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9" t="inlineStr">
        <is>
          <t>08/07/2016</t>
        </is>
      </c>
      <c r="B3254" s="8" t="n">
        <v>157.517157283</v>
      </c>
      <c r="C3254" s="15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9" t="inlineStr">
        <is>
          <t>11/07/2016</t>
        </is>
      </c>
      <c r="B3255" s="8" t="n">
        <v>157.3541710315</v>
      </c>
      <c r="C3255" s="15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9" t="inlineStr">
        <is>
          <t>12/07/2016</t>
        </is>
      </c>
      <c r="B3256" s="8" t="n">
        <v>156.1951576875</v>
      </c>
      <c r="C3256" s="15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9" t="inlineStr">
        <is>
          <t>13/07/2016</t>
        </is>
      </c>
      <c r="B3257" s="8" t="n">
        <v>155.995952269</v>
      </c>
      <c r="C3257" s="15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9" t="inlineStr">
        <is>
          <t>14/07/2016</t>
        </is>
      </c>
      <c r="B3258" s="8" t="n">
        <v>155.9778426855</v>
      </c>
      <c r="C3258" s="15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9" t="inlineStr">
        <is>
          <t>15/07/2016</t>
        </is>
      </c>
      <c r="B3259" s="8" t="n">
        <v>156.4486918565</v>
      </c>
      <c r="C3259" s="15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9" t="inlineStr">
        <is>
          <t>18/07/2016</t>
        </is>
      </c>
      <c r="B3260" s="8" t="n">
        <v>155.525103098</v>
      </c>
      <c r="C3260" s="15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9" t="inlineStr">
        <is>
          <t>19/07/2016</t>
        </is>
      </c>
      <c r="B3261" s="8" t="n">
        <v>155.959733102</v>
      </c>
      <c r="C3261" s="15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9" t="inlineStr">
        <is>
          <t>20/07/2016</t>
        </is>
      </c>
      <c r="B3262" s="8" t="n">
        <v>155.9416235185</v>
      </c>
      <c r="C3262" s="15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9" t="inlineStr">
        <is>
          <t>21/07/2016</t>
        </is>
      </c>
      <c r="B3263" s="8" t="n">
        <v>156.82899311</v>
      </c>
      <c r="C3263" s="15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9" t="inlineStr">
        <is>
          <t>22/07/2016</t>
        </is>
      </c>
      <c r="B3264" s="8" t="n">
        <v>157.154965613</v>
      </c>
      <c r="C3264" s="15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9" t="inlineStr">
        <is>
          <t>25/07/2016</t>
        </is>
      </c>
      <c r="B3265" s="8" t="n">
        <v>156.3038151885</v>
      </c>
      <c r="C3265" s="15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9" t="inlineStr">
        <is>
          <t>26/07/2016</t>
        </is>
      </c>
      <c r="B3266" s="8" t="n">
        <v>155.7243085165</v>
      </c>
      <c r="C3266" s="15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9" t="inlineStr">
        <is>
          <t>27/07/2016</t>
        </is>
      </c>
      <c r="B3267" s="8" t="n">
        <v>155.271568929</v>
      </c>
      <c r="C3267" s="15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9" t="inlineStr">
        <is>
          <t>28/07/2016</t>
        </is>
      </c>
      <c r="B3268" s="8" t="n">
        <v>155.923513935</v>
      </c>
      <c r="C3268" s="15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9" t="inlineStr">
        <is>
          <t>29/07/2016</t>
        </is>
      </c>
      <c r="B3269" s="8" t="n">
        <v>155.5069935145</v>
      </c>
      <c r="C3269" s="15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9" t="inlineStr">
        <is>
          <t>01/08/2016</t>
        </is>
      </c>
      <c r="B3270" s="8" t="n">
        <v>154.2252996342</v>
      </c>
      <c r="C3270" s="15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9" t="inlineStr">
        <is>
          <t>02/08/2016</t>
        </is>
      </c>
      <c r="B3271" s="8" t="n">
        <v>154.2976294734</v>
      </c>
      <c r="C3271" s="15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9" t="inlineStr">
        <is>
          <t>03/08/2016</t>
        </is>
      </c>
      <c r="B3272" s="8" t="n">
        <v>154.2795470136</v>
      </c>
      <c r="C3272" s="15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9" t="inlineStr">
        <is>
          <t>04/08/2016</t>
        </is>
      </c>
      <c r="B3273" s="8" t="n">
        <v>154.9847629458</v>
      </c>
      <c r="C3273" s="15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9" t="inlineStr">
        <is>
          <t>05/08/2016</t>
        </is>
      </c>
      <c r="B3274" s="8" t="n">
        <v>154.9124331066</v>
      </c>
      <c r="C3274" s="15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9" t="inlineStr">
        <is>
          <t>08/08/2016</t>
        </is>
      </c>
      <c r="B3275" s="8" t="n">
        <v>154.785855888</v>
      </c>
      <c r="C3275" s="15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9" t="inlineStr">
        <is>
          <t>09/08/2016</t>
        </is>
      </c>
      <c r="B3276" s="8" t="n">
        <v>155.0028454056</v>
      </c>
      <c r="C3276" s="15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9" t="inlineStr">
        <is>
          <t>10/08/2016</t>
        </is>
      </c>
      <c r="B3277" s="8" t="n">
        <v>155.3644946016</v>
      </c>
      <c r="C3277" s="15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9" t="inlineStr">
        <is>
          <t>11/08/2016</t>
        </is>
      </c>
      <c r="B3278" s="8" t="n">
        <v>154.9847629458</v>
      </c>
      <c r="C3278" s="15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9" t="inlineStr">
        <is>
          <t>12/08/2016</t>
        </is>
      </c>
      <c r="B3279" s="8" t="n">
        <v>155.3464121418</v>
      </c>
      <c r="C3279" s="15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9" t="inlineStr">
        <is>
          <t>15/08/2016</t>
        </is>
      </c>
      <c r="B3280" s="8" t="n">
        <v>155.7442262574</v>
      </c>
      <c r="C3280" s="15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9" t="inlineStr">
        <is>
          <t>16/08/2016</t>
        </is>
      </c>
      <c r="B3281" s="8" t="n">
        <v>156.4313597298</v>
      </c>
      <c r="C3281" s="15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9" t="inlineStr">
        <is>
          <t>17/08/2016</t>
        </is>
      </c>
      <c r="B3282" s="8" t="n">
        <v>155.5814841192</v>
      </c>
      <c r="C3282" s="15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9" t="inlineStr">
        <is>
          <t>18/08/2016</t>
        </is>
      </c>
      <c r="B3283" s="8" t="n">
        <v>154.8581857272</v>
      </c>
      <c r="C3283" s="15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9" t="inlineStr">
        <is>
          <t>19/08/2016</t>
        </is>
      </c>
      <c r="B3284" s="8" t="n">
        <v>154.7677734282</v>
      </c>
      <c r="C3284" s="15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9" t="inlineStr">
        <is>
          <t>22/08/2016</t>
        </is>
      </c>
      <c r="B3285" s="8" t="n">
        <v>155.0390103252</v>
      </c>
      <c r="C3285" s="15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9" t="inlineStr">
        <is>
          <t>23/08/2016</t>
        </is>
      </c>
      <c r="B3286" s="8" t="n">
        <v>155.6176490388</v>
      </c>
      <c r="C3286" s="15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9" t="inlineStr">
        <is>
          <t>24/08/2016</t>
        </is>
      </c>
      <c r="B3287" s="8" t="n">
        <v>155.9250508554</v>
      </c>
      <c r="C3287" s="15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9" t="inlineStr">
        <is>
          <t>25/08/2016</t>
        </is>
      </c>
      <c r="B3288" s="8" t="n">
        <v>155.3464121418</v>
      </c>
      <c r="C3288" s="15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9" t="inlineStr">
        <is>
          <t>26/08/2016</t>
        </is>
      </c>
      <c r="B3289" s="8" t="n">
        <v>156.8472563052</v>
      </c>
      <c r="C3289" s="15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9" t="inlineStr">
        <is>
          <t>29/08/2016</t>
        </is>
      </c>
      <c r="B3290" s="8" t="n">
        <v>155.8346385564</v>
      </c>
      <c r="C3290" s="15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9" t="inlineStr">
        <is>
          <t>30/08/2016</t>
        </is>
      </c>
      <c r="B3291" s="8" t="n">
        <v>156.2867000514</v>
      </c>
      <c r="C3291" s="15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9" t="inlineStr">
        <is>
          <t>31/08/2016</t>
        </is>
      </c>
      <c r="B3292" s="8" t="n">
        <v>155.5453191996</v>
      </c>
      <c r="C3292" s="15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9" t="inlineStr">
        <is>
          <t>01/09/2016</t>
        </is>
      </c>
      <c r="B3293" s="8" t="n">
        <v>155.992796348</v>
      </c>
      <c r="C3293" s="15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9" t="inlineStr">
        <is>
          <t>02/09/2016</t>
        </is>
      </c>
      <c r="B3294" s="8" t="n">
        <v>154.747597025</v>
      </c>
      <c r="C3294" s="15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9" t="inlineStr">
        <is>
          <t>05/09/2016</t>
        </is>
      </c>
      <c r="B3295" s="8" t="n">
        <v>155.487498072</v>
      </c>
      <c r="C3295" s="15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9" t="inlineStr">
        <is>
          <t>06/09/2016</t>
        </is>
      </c>
      <c r="B3296" s="8" t="n">
        <v>154.801736126</v>
      </c>
      <c r="C3296" s="15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9" t="inlineStr">
        <is>
          <t>08/09/2016</t>
        </is>
      </c>
      <c r="B3297" s="8" t="n">
        <v>156.173260018</v>
      </c>
      <c r="C3297" s="15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9" t="inlineStr">
        <is>
          <t>09/09/2016</t>
        </is>
      </c>
      <c r="B3298" s="8" t="n">
        <v>155.812332678</v>
      </c>
      <c r="C3298" s="15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9" t="inlineStr">
        <is>
          <t>12/09/2016</t>
        </is>
      </c>
      <c r="B3299" s="8" t="n">
        <v>156.335677321</v>
      </c>
      <c r="C3299" s="15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9" t="inlineStr">
        <is>
          <t>13/09/2016</t>
        </is>
      </c>
      <c r="B3300" s="8" t="n">
        <v>156.407862789</v>
      </c>
      <c r="C3300" s="15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9" t="inlineStr">
        <is>
          <t>14/09/2016</t>
        </is>
      </c>
      <c r="B3301" s="8" t="n">
        <v>154.891967961</v>
      </c>
      <c r="C3301" s="15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9" t="inlineStr">
        <is>
          <t>15/09/2016</t>
        </is>
      </c>
      <c r="B3302" s="8" t="n">
        <v>155.523590806</v>
      </c>
      <c r="C3302" s="15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9" t="inlineStr">
        <is>
          <t>16/09/2016</t>
        </is>
      </c>
      <c r="B3303" s="8" t="n">
        <v>154.891967961</v>
      </c>
      <c r="C3303" s="15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9" t="inlineStr">
        <is>
          <t>19/09/2016</t>
        </is>
      </c>
      <c r="B3304" s="8" t="n">
        <v>156.083028183</v>
      </c>
      <c r="C3304" s="15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9" t="inlineStr">
        <is>
          <t>20/09/2016</t>
        </is>
      </c>
      <c r="B3305" s="8" t="n">
        <v>156.010842715</v>
      </c>
      <c r="C3305" s="15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9" t="inlineStr">
        <is>
          <t>21/09/2016</t>
        </is>
      </c>
      <c r="B3306" s="8" t="n">
        <v>156.64246556</v>
      </c>
      <c r="C3306" s="15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9" t="inlineStr">
        <is>
          <t>22/09/2016</t>
        </is>
      </c>
      <c r="B3307" s="8" t="n">
        <v>159.078725105</v>
      </c>
      <c r="C3307" s="15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9" t="inlineStr">
        <is>
          <t>23/09/2016</t>
        </is>
      </c>
      <c r="B3308" s="8" t="n">
        <v>159.981043455</v>
      </c>
      <c r="C3308" s="15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9" t="inlineStr">
        <is>
          <t>26/09/2016</t>
        </is>
      </c>
      <c r="B3309" s="8" t="n">
        <v>160.720944502</v>
      </c>
      <c r="C3309" s="15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9" t="inlineStr">
        <is>
          <t>27/09/2016</t>
        </is>
      </c>
      <c r="B3310" s="8" t="n">
        <v>162.417303</v>
      </c>
      <c r="C3310" s="15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9" t="inlineStr">
        <is>
          <t>28/09/2016</t>
        </is>
      </c>
      <c r="B3311" s="8" t="n">
        <v>165.160350784</v>
      </c>
      <c r="C3311" s="15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9" t="inlineStr">
        <is>
          <t>29/09/2016</t>
        </is>
      </c>
      <c r="B3312" s="8" t="n">
        <v>170.646446352</v>
      </c>
      <c r="C3312" s="15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9" t="inlineStr">
        <is>
          <t>30/09/2016</t>
        </is>
      </c>
      <c r="B3313" s="8" t="n">
        <v>170.89909549</v>
      </c>
      <c r="C3313" s="15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9" t="inlineStr">
        <is>
          <t>03/10/2016</t>
        </is>
      </c>
      <c r="B3314" s="8" t="n">
        <v>169.72521738</v>
      </c>
      <c r="C3314" s="15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9" t="inlineStr">
        <is>
          <t>04/10/2016</t>
        </is>
      </c>
      <c r="B3315" s="8" t="n">
        <v>170.049533082</v>
      </c>
      <c r="C3315" s="15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9" t="inlineStr">
        <is>
          <t>05/10/2016</t>
        </is>
      </c>
      <c r="B3316" s="8" t="n">
        <v>171.328778351</v>
      </c>
      <c r="C3316" s="15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9" t="inlineStr">
        <is>
          <t>06/10/2016</t>
        </is>
      </c>
      <c r="B3317" s="8" t="n">
        <v>172.06749745</v>
      </c>
      <c r="C3317" s="15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9" t="inlineStr">
        <is>
          <t>07/10/2016</t>
        </is>
      </c>
      <c r="B3318" s="8" t="n">
        <v>173.851233811</v>
      </c>
      <c r="C3318" s="15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9" t="inlineStr">
        <is>
          <t>10/10/2016</t>
        </is>
      </c>
      <c r="B3319" s="8" t="n">
        <v>173.743128577</v>
      </c>
      <c r="C3319" s="15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9" t="inlineStr">
        <is>
          <t>11/10/2016</t>
        </is>
      </c>
      <c r="B3320" s="8" t="n">
        <v>174.842198456</v>
      </c>
      <c r="C3320" s="15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9" t="inlineStr">
        <is>
          <t>13/10/2016</t>
        </is>
      </c>
      <c r="B3321" s="8" t="n">
        <v>174.734093222</v>
      </c>
      <c r="C3321" s="15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9" t="inlineStr">
        <is>
          <t>14/10/2016</t>
        </is>
      </c>
      <c r="B3322" s="8" t="n">
        <v>175.833163101</v>
      </c>
      <c r="C3322" s="15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9" t="inlineStr">
        <is>
          <t>17/10/2016</t>
        </is>
      </c>
      <c r="B3323" s="8" t="n">
        <v>177.076373292</v>
      </c>
      <c r="C3323" s="15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9" t="inlineStr">
        <is>
          <t>18/10/2016</t>
        </is>
      </c>
      <c r="B3324" s="8" t="n">
        <v>177.130425909</v>
      </c>
      <c r="C3324" s="15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9" t="inlineStr">
        <is>
          <t>19/10/2016</t>
        </is>
      </c>
      <c r="B3325" s="8" t="n">
        <v>177.761039774</v>
      </c>
      <c r="C3325" s="15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9" t="inlineStr">
        <is>
          <t>20/10/2016</t>
        </is>
      </c>
      <c r="B3326" s="8" t="n">
        <v>177.598881923</v>
      </c>
      <c r="C3326" s="15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9" t="inlineStr">
        <is>
          <t>21/10/2016</t>
        </is>
      </c>
      <c r="B3327" s="8" t="n">
        <v>176.93223298</v>
      </c>
      <c r="C3327" s="15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9" t="inlineStr">
        <is>
          <t>24/10/2016</t>
        </is>
      </c>
      <c r="B3328" s="8" t="n">
        <v>178.986232426</v>
      </c>
      <c r="C3328" s="15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9" t="inlineStr">
        <is>
          <t>25/10/2016</t>
        </is>
      </c>
      <c r="B3329" s="8" t="n">
        <v>180.842038943</v>
      </c>
      <c r="C3329" s="15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9" t="inlineStr">
        <is>
          <t>26/10/2016</t>
        </is>
      </c>
      <c r="B3330" s="8" t="n">
        <v>181.400582652</v>
      </c>
      <c r="C3330" s="15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9" t="inlineStr">
        <is>
          <t>27/10/2016</t>
        </is>
      </c>
      <c r="B3331" s="8" t="n">
        <v>181.25644234</v>
      </c>
      <c r="C3331" s="15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9" t="inlineStr">
        <is>
          <t>28/10/2016</t>
        </is>
      </c>
      <c r="B3332" s="8" t="n">
        <v>181.833003588</v>
      </c>
      <c r="C3332" s="15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9" t="inlineStr">
        <is>
          <t>31/10/2016</t>
        </is>
      </c>
      <c r="B3333" s="8" t="n">
        <v>181.760933432</v>
      </c>
      <c r="C3333" s="15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9" t="inlineStr">
        <is>
          <t>01/11/2016</t>
        </is>
      </c>
      <c r="B3334" s="8" t="n">
        <v>181.491065213</v>
      </c>
      <c r="C3334" s="15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9" t="inlineStr">
        <is>
          <t>03/11/2016</t>
        </is>
      </c>
      <c r="B3335" s="8" t="n">
        <v>180.6259638098</v>
      </c>
      <c r="C3335" s="15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9" t="inlineStr">
        <is>
          <t>04/11/2016</t>
        </is>
      </c>
      <c r="B3336" s="8" t="n">
        <v>181.2387439704</v>
      </c>
      <c r="C3336" s="15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9" t="inlineStr">
        <is>
          <t>07/11/2016</t>
        </is>
      </c>
      <c r="B3337" s="8" t="n">
        <v>181.5631569966</v>
      </c>
      <c r="C3337" s="15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9" t="inlineStr">
        <is>
          <t>08/11/2016</t>
        </is>
      </c>
      <c r="B3338" s="8" t="n">
        <v>180.7881703229</v>
      </c>
      <c r="C3338" s="15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9" t="inlineStr">
        <is>
          <t>09/11/2016</t>
        </is>
      </c>
      <c r="B3339" s="8" t="n">
        <v>180.229459</v>
      </c>
      <c r="C3339" s="15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9" t="inlineStr">
        <is>
          <t>10/11/2016</t>
        </is>
      </c>
      <c r="B3340" s="8" t="n">
        <v>179.9050459738</v>
      </c>
      <c r="C3340" s="15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9" t="inlineStr">
        <is>
          <t>11/11/2016</t>
        </is>
      </c>
      <c r="B3341" s="8" t="n">
        <v>180.3556196213</v>
      </c>
      <c r="C3341" s="15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9" t="inlineStr">
        <is>
          <t>14/11/2016</t>
        </is>
      </c>
      <c r="B3342" s="8" t="n">
        <v>178.8416921657</v>
      </c>
      <c r="C3342" s="15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9" t="inlineStr">
        <is>
          <t>16/11/2016</t>
        </is>
      </c>
      <c r="B3343" s="8" t="n">
        <v>178.3370496805</v>
      </c>
      <c r="C3343" s="15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9" t="inlineStr">
        <is>
          <t>17/11/2016</t>
        </is>
      </c>
      <c r="B3344" s="8" t="n">
        <v>177.2016040888</v>
      </c>
      <c r="C3344" s="15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9" t="inlineStr">
        <is>
          <t>18/11/2016</t>
        </is>
      </c>
      <c r="B3345" s="8" t="n">
        <v>176.3905715233</v>
      </c>
      <c r="C3345" s="15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9" t="inlineStr">
        <is>
          <t>21/11/2016</t>
        </is>
      </c>
      <c r="B3346" s="8" t="n">
        <v>175.7777913627</v>
      </c>
      <c r="C3346" s="15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9" t="inlineStr">
        <is>
          <t>22/11/2016</t>
        </is>
      </c>
      <c r="B3347" s="8" t="n">
        <v>173.5789919629</v>
      </c>
      <c r="C3347" s="15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9" t="inlineStr">
        <is>
          <t>23/11/2016</t>
        </is>
      </c>
      <c r="B3348" s="8" t="n">
        <v>172.840051181</v>
      </c>
      <c r="C3348" s="15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9" t="inlineStr">
        <is>
          <t>24/11/2016</t>
        </is>
      </c>
      <c r="B3349" s="8" t="n">
        <v>171.7947203188</v>
      </c>
      <c r="C3349" s="15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9" t="inlineStr">
        <is>
          <t>25/11/2016</t>
        </is>
      </c>
      <c r="B3350" s="8" t="n">
        <v>171.3081007795</v>
      </c>
      <c r="C3350" s="15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9" t="inlineStr">
        <is>
          <t>28/11/2016</t>
        </is>
      </c>
      <c r="B3351" s="8" t="n">
        <v>171.9028579942</v>
      </c>
      <c r="C3351" s="15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9" t="inlineStr">
        <is>
          <t>29/11/2016</t>
        </is>
      </c>
      <c r="B3352" s="8" t="n">
        <v>170.2267240255</v>
      </c>
      <c r="C3352" s="15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9" t="inlineStr">
        <is>
          <t>30/11/2016</t>
        </is>
      </c>
      <c r="B3353" s="8" t="n">
        <v>170.2988158091</v>
      </c>
      <c r="C3353" s="15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9" t="inlineStr">
        <is>
          <t>01/12/2016</t>
        </is>
      </c>
      <c r="B3354" s="8" t="n">
        <v>168.3802771671</v>
      </c>
      <c r="C3354" s="15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9" t="inlineStr">
        <is>
          <t>02/12/2016</t>
        </is>
      </c>
      <c r="B3355" s="8" t="n">
        <v>169.0973229551</v>
      </c>
      <c r="C3355" s="15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9" t="inlineStr">
        <is>
          <t>05/12/2016</t>
        </is>
      </c>
      <c r="B3356" s="8" t="n">
        <v>167.9500496943</v>
      </c>
      <c r="C3356" s="15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9" t="inlineStr">
        <is>
          <t>06/12/2016</t>
        </is>
      </c>
      <c r="B3357" s="8" t="n">
        <v>168.0217542731</v>
      </c>
      <c r="C3357" s="15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9" t="inlineStr">
        <is>
          <t>07/12/2016</t>
        </is>
      </c>
      <c r="B3358" s="8" t="n">
        <v>167.7528621026</v>
      </c>
      <c r="C3358" s="15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9" t="inlineStr">
        <is>
          <t>08/12/2016</t>
        </is>
      </c>
      <c r="B3359" s="8" t="n">
        <v>166.7669241441</v>
      </c>
      <c r="C3359" s="15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9" t="inlineStr">
        <is>
          <t>09/12/2016</t>
        </is>
      </c>
      <c r="B3360" s="8" t="n">
        <v>166.3187705266</v>
      </c>
      <c r="C3360" s="15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9" t="inlineStr">
        <is>
          <t>12/12/2016</t>
        </is>
      </c>
      <c r="B3361" s="8" t="n">
        <v>166.1215829349</v>
      </c>
      <c r="C3361" s="15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9" t="inlineStr">
        <is>
          <t>13/12/2016</t>
        </is>
      </c>
      <c r="B3362" s="8" t="n">
        <v>164.8309005165</v>
      </c>
      <c r="C3362" s="15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9" t="inlineStr">
        <is>
          <t>14/12/2016</t>
        </is>
      </c>
      <c r="B3363" s="8" t="n">
        <v>164.4365253331</v>
      </c>
      <c r="C3363" s="15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9" t="inlineStr">
        <is>
          <t>15/12/2016</t>
        </is>
      </c>
      <c r="B3364" s="8" t="n">
        <v>165.3149064234</v>
      </c>
      <c r="C3364" s="15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9" t="inlineStr">
        <is>
          <t>16/12/2016</t>
        </is>
      </c>
      <c r="B3365" s="8" t="n">
        <v>164.8667528059</v>
      </c>
      <c r="C3365" s="15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9" t="inlineStr">
        <is>
          <t>19/12/2016</t>
        </is>
      </c>
      <c r="B3366" s="8" t="n">
        <v>163.7194795451</v>
      </c>
      <c r="C3366" s="15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9" t="inlineStr">
        <is>
          <t>20/12/2016</t>
        </is>
      </c>
      <c r="B3367" s="8" t="n">
        <v>163.8628887027</v>
      </c>
      <c r="C3367" s="15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9" t="inlineStr">
        <is>
          <t>21/12/2016</t>
        </is>
      </c>
      <c r="B3368" s="8" t="n">
        <v>162.6618370078</v>
      </c>
      <c r="C3368" s="15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9" t="inlineStr">
        <is>
          <t>22/12/2016</t>
        </is>
      </c>
      <c r="B3369" s="8" t="n">
        <v>162.4467232714</v>
      </c>
      <c r="C3369" s="15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9" t="inlineStr">
        <is>
          <t>23/12/2016</t>
        </is>
      </c>
      <c r="B3370" s="8" t="n">
        <v>162.7514677313</v>
      </c>
      <c r="C3370" s="15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9" t="inlineStr">
        <is>
          <t>26/12/2016</t>
        </is>
      </c>
      <c r="B3371" s="8" t="n">
        <v>162.2853879691</v>
      </c>
      <c r="C3371" s="15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9" t="inlineStr">
        <is>
          <t>27/12/2016</t>
        </is>
      </c>
      <c r="B3372" s="8" t="n">
        <v>163.5402180981</v>
      </c>
      <c r="C3372" s="15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9" t="inlineStr">
        <is>
          <t>28/12/2016</t>
        </is>
      </c>
      <c r="B3373" s="8" t="n">
        <v>162.3750186926</v>
      </c>
      <c r="C3373" s="15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9" t="inlineStr">
        <is>
          <t>29/12/2016</t>
        </is>
      </c>
      <c r="B3374" s="8" t="n">
        <v>162.052348088</v>
      </c>
      <c r="C3374" s="15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9" t="inlineStr">
        <is>
          <t>02/01/2017</t>
        </is>
      </c>
      <c r="B3375" s="8" t="n">
        <v>160.131200631</v>
      </c>
      <c r="C3375" s="15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9" t="inlineStr">
        <is>
          <t>03/01/2017</t>
        </is>
      </c>
      <c r="B3376" s="8" t="n">
        <v>160.0777641903</v>
      </c>
      <c r="C3376" s="15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9" t="inlineStr">
        <is>
          <t>04/01/2017</t>
        </is>
      </c>
      <c r="B3377" s="8" t="n">
        <v>159.2227811391</v>
      </c>
      <c r="C3377" s="15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9" t="inlineStr">
        <is>
          <t>05/01/2017</t>
        </is>
      </c>
      <c r="B3378" s="8" t="n">
        <v>158.5102952631</v>
      </c>
      <c r="C3378" s="15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9" t="inlineStr">
        <is>
          <t>06/01/2017</t>
        </is>
      </c>
      <c r="B3379" s="8" t="n">
        <v>158.8665382011</v>
      </c>
      <c r="C3379" s="15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9" t="inlineStr">
        <is>
          <t>09/01/2017</t>
        </is>
      </c>
      <c r="B3380" s="8" t="n">
        <v>158.9912232294</v>
      </c>
      <c r="C3380" s="15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9" t="inlineStr">
        <is>
          <t>10/01/2017</t>
        </is>
      </c>
      <c r="B3381" s="8" t="n">
        <v>159.2584054329</v>
      </c>
      <c r="C3381" s="15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9" t="inlineStr">
        <is>
          <t>11/01/2017</t>
        </is>
      </c>
      <c r="B3382" s="8" t="n">
        <v>158.4212345286</v>
      </c>
      <c r="C3382" s="15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9" t="inlineStr">
        <is>
          <t>12/01/2017</t>
        </is>
      </c>
      <c r="B3383" s="8" t="n">
        <v>158.7240410259</v>
      </c>
      <c r="C3383" s="15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9" t="inlineStr">
        <is>
          <t>13/01/2017</t>
        </is>
      </c>
      <c r="B3384" s="8" t="n">
        <v>158.1006158844</v>
      </c>
      <c r="C3384" s="15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9" t="inlineStr">
        <is>
          <t>16/01/2017</t>
        </is>
      </c>
      <c r="B3385" s="8" t="n">
        <v>157.6909365057</v>
      </c>
      <c r="C3385" s="15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9" t="inlineStr">
        <is>
          <t>17/01/2017</t>
        </is>
      </c>
      <c r="B3386" s="8" t="n">
        <v>156.9072020421</v>
      </c>
      <c r="C3386" s="15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9" t="inlineStr">
        <is>
          <t>18/01/2017</t>
        </is>
      </c>
      <c r="B3387" s="8" t="n">
        <v>157.103135658</v>
      </c>
      <c r="C3387" s="15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9" t="inlineStr">
        <is>
          <t>19/01/2017</t>
        </is>
      </c>
      <c r="B3388" s="8" t="n">
        <v>156.4084619289</v>
      </c>
      <c r="C3388" s="15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9" t="inlineStr">
        <is>
          <t>20/01/2017</t>
        </is>
      </c>
      <c r="B3389" s="8" t="n">
        <v>155.6247274653</v>
      </c>
      <c r="C3389" s="15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9" t="inlineStr">
        <is>
          <t>23/01/2017</t>
        </is>
      </c>
      <c r="B3390" s="8" t="n">
        <v>154.8588051486</v>
      </c>
      <c r="C3390" s="15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9" t="inlineStr">
        <is>
          <t>24/01/2017</t>
        </is>
      </c>
      <c r="B3391" s="8" t="n">
        <v>155.0013023238</v>
      </c>
      <c r="C3391" s="15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9" t="inlineStr">
        <is>
          <t>25/01/2017</t>
        </is>
      </c>
      <c r="B3392" s="8" t="n">
        <v>153.9681978036</v>
      </c>
      <c r="C3392" s="15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9" t="inlineStr">
        <is>
          <t>26/01/2017</t>
        </is>
      </c>
      <c r="B3393" s="8" t="n">
        <v>153.0241540179</v>
      </c>
      <c r="C3393" s="15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9" t="inlineStr">
        <is>
          <t>27/01/2017</t>
        </is>
      </c>
      <c r="B3394" s="8" t="n">
        <v>152.7213475206</v>
      </c>
      <c r="C3394" s="15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9" t="inlineStr">
        <is>
          <t>30/01/2017</t>
        </is>
      </c>
      <c r="B3395" s="8" t="n">
        <v>153.0954026055</v>
      </c>
      <c r="C3395" s="15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9" t="inlineStr">
        <is>
          <t>31/01/2017</t>
        </is>
      </c>
      <c r="B3396" s="8" t="n">
        <v>152.5610381985</v>
      </c>
      <c r="C3396" s="15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9" t="inlineStr">
        <is>
          <t>01/02/2017</t>
        </is>
      </c>
      <c r="B3397" s="8" t="n">
        <v>150.837275385</v>
      </c>
      <c r="C3397" s="15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9" t="inlineStr">
        <is>
          <t>02/02/2017</t>
        </is>
      </c>
      <c r="B3398" s="8" t="n">
        <v>150.9796586538</v>
      </c>
      <c r="C3398" s="15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9" t="inlineStr">
        <is>
          <t>03/02/2017</t>
        </is>
      </c>
      <c r="B3399" s="8" t="n">
        <v>150.2321464926</v>
      </c>
      <c r="C3399" s="15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9" t="inlineStr">
        <is>
          <t>06/02/2017</t>
        </is>
      </c>
      <c r="B3400" s="8" t="n">
        <v>150.6948921162</v>
      </c>
      <c r="C3400" s="15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9" t="inlineStr">
        <is>
          <t>07/02/2017</t>
        </is>
      </c>
      <c r="B3401" s="8" t="n">
        <v>149.7338050518</v>
      </c>
      <c r="C3401" s="15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9" t="inlineStr">
        <is>
          <t>08/02/2017</t>
        </is>
      </c>
      <c r="B3402" s="8" t="n">
        <v>149.235463611</v>
      </c>
      <c r="C3402" s="15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9" t="inlineStr">
        <is>
          <t>09/02/2017</t>
        </is>
      </c>
      <c r="B3403" s="8" t="n">
        <v>147.989610009</v>
      </c>
      <c r="C3403" s="15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9" t="inlineStr">
        <is>
          <t>10/02/2017</t>
        </is>
      </c>
      <c r="B3404" s="8" t="n">
        <v>148.6837284444</v>
      </c>
      <c r="C3404" s="15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9" t="inlineStr">
        <is>
          <t>13/02/2017</t>
        </is>
      </c>
      <c r="B3405" s="8" t="n">
        <v>148.3633660896</v>
      </c>
      <c r="C3405" s="15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9" t="inlineStr">
        <is>
          <t>14/02/2017</t>
        </is>
      </c>
      <c r="B3406" s="8" t="n">
        <v>148.1141953692</v>
      </c>
      <c r="C3406" s="15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9" t="inlineStr">
        <is>
          <t>15/02/2017</t>
        </is>
      </c>
      <c r="B3407" s="8" t="n">
        <v>148.3099723638</v>
      </c>
      <c r="C3407" s="15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9" t="inlineStr">
        <is>
          <t>16/02/2017</t>
        </is>
      </c>
      <c r="B3408" s="8" t="n">
        <v>147.188704122</v>
      </c>
      <c r="C3408" s="15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9" t="inlineStr">
        <is>
          <t>17/02/2017</t>
        </is>
      </c>
      <c r="B3409" s="8" t="n">
        <v>147.188704122</v>
      </c>
      <c r="C3409" s="15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9" t="inlineStr">
        <is>
          <t>20/02/2017</t>
        </is>
      </c>
      <c r="B3410" s="8" t="n">
        <v>146.1564254232</v>
      </c>
      <c r="C3410" s="15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9" t="inlineStr">
        <is>
          <t>21/02/2017</t>
        </is>
      </c>
      <c r="B3411" s="8" t="n">
        <v>145.6936797996</v>
      </c>
      <c r="C3411" s="15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9" t="inlineStr">
        <is>
          <t>22/02/2017</t>
        </is>
      </c>
      <c r="B3412" s="8" t="n">
        <v>145.8716588856</v>
      </c>
      <c r="C3412" s="15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9" t="inlineStr">
        <is>
          <t>23/02/2017</t>
        </is>
      </c>
      <c r="B3413" s="8" t="n">
        <v>145.9784463372</v>
      </c>
      <c r="C3413" s="15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9" t="inlineStr">
        <is>
          <t>24/02/2017</t>
        </is>
      </c>
      <c r="B3414" s="8" t="n">
        <v>144.7681885524</v>
      </c>
      <c r="C3414" s="15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9" t="inlineStr">
        <is>
          <t>01/03/2017</t>
        </is>
      </c>
      <c r="B3415" s="8" t="n">
        <v>143.721537804</v>
      </c>
      <c r="C3415" s="15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9" t="inlineStr">
        <is>
          <t>02/03/2017</t>
        </is>
      </c>
      <c r="B3416" s="8" t="n">
        <v>143.899499094</v>
      </c>
      <c r="C3416" s="15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9" t="inlineStr">
        <is>
          <t>03/03/2017</t>
        </is>
      </c>
      <c r="B3417" s="8" t="n">
        <v>143.027488773</v>
      </c>
      <c r="C3417" s="15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9" t="inlineStr">
        <is>
          <t>06/03/2017</t>
        </is>
      </c>
      <c r="B3418" s="8" t="n">
        <v>143.152061676</v>
      </c>
      <c r="C3418" s="15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9" t="inlineStr">
        <is>
          <t>07/03/2017</t>
        </is>
      </c>
      <c r="B3419" s="8" t="n">
        <v>142.048701678</v>
      </c>
      <c r="C3419" s="15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9" t="inlineStr">
        <is>
          <t>08/03/2017</t>
        </is>
      </c>
      <c r="B3420" s="8" t="n">
        <v>140.731788132</v>
      </c>
      <c r="C3420" s="15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9" t="inlineStr">
        <is>
          <t>09/03/2017</t>
        </is>
      </c>
      <c r="B3421" s="8" t="n">
        <v>140.162312004</v>
      </c>
      <c r="C3421" s="15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9" t="inlineStr">
        <is>
          <t>10/03/2017</t>
        </is>
      </c>
      <c r="B3422" s="8" t="n">
        <v>139.450466844</v>
      </c>
      <c r="C3422" s="15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9" t="inlineStr">
        <is>
          <t>13/03/2017</t>
        </is>
      </c>
      <c r="B3423" s="8" t="n">
        <v>138.436087491</v>
      </c>
      <c r="C3423" s="15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9" t="inlineStr">
        <is>
          <t>14/03/2017</t>
        </is>
      </c>
      <c r="B3424" s="8" t="n">
        <v>138.774213942</v>
      </c>
      <c r="C3424" s="15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9" t="inlineStr">
        <is>
          <t>15/03/2017</t>
        </is>
      </c>
      <c r="B3425" s="8" t="n">
        <v>138.685233297</v>
      </c>
      <c r="C3425" s="15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9" t="inlineStr">
        <is>
          <t>16/03/2017</t>
        </is>
      </c>
      <c r="B3426" s="8" t="n">
        <v>138.240330072</v>
      </c>
      <c r="C3426" s="15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9" t="inlineStr">
        <is>
          <t>17/03/2017</t>
        </is>
      </c>
      <c r="B3427" s="8" t="n">
        <v>137.065785558</v>
      </c>
      <c r="C3427" s="15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9" t="inlineStr">
        <is>
          <t>20/03/2017</t>
        </is>
      </c>
      <c r="B3428" s="8" t="n">
        <v>135.766668141</v>
      </c>
      <c r="C3428" s="15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9" t="inlineStr">
        <is>
          <t>21/03/2017</t>
        </is>
      </c>
      <c r="B3429" s="8" t="n">
        <v>135.855648786</v>
      </c>
      <c r="C3429" s="15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9" t="inlineStr">
        <is>
          <t>22/03/2017</t>
        </is>
      </c>
      <c r="B3430" s="8" t="n">
        <v>136.887824268</v>
      </c>
      <c r="C3430" s="15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9" t="inlineStr">
        <is>
          <t>23/03/2017</t>
        </is>
      </c>
      <c r="B3431" s="8" t="n">
        <v>136.870028139</v>
      </c>
      <c r="C3431" s="15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9" t="inlineStr">
        <is>
          <t>24/03/2017</t>
        </is>
      </c>
      <c r="B3432" s="8" t="n">
        <v>135.802260399</v>
      </c>
      <c r="C3432" s="15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9" t="inlineStr">
        <is>
          <t>27/03/2017</t>
        </is>
      </c>
      <c r="B3433" s="8" t="n">
        <v>134.431958466</v>
      </c>
      <c r="C3433" s="15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9" t="inlineStr">
        <is>
          <t>28/03/2017</t>
        </is>
      </c>
      <c r="B3434" s="8" t="n">
        <v>132.385403631</v>
      </c>
      <c r="C3434" s="15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9" t="inlineStr">
        <is>
          <t>29/03/2017</t>
        </is>
      </c>
      <c r="B3435" s="8" t="n">
        <v>133.026064275</v>
      </c>
      <c r="C3435" s="15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9" t="inlineStr">
        <is>
          <t>30/03/2017</t>
        </is>
      </c>
      <c r="B3436" s="8" t="n">
        <v>131.317635891</v>
      </c>
      <c r="C3436" s="15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9" t="inlineStr">
        <is>
          <t>31/03/2017</t>
        </is>
      </c>
      <c r="B3437" s="8" t="n">
        <v>131.6913546</v>
      </c>
      <c r="C3437" s="15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9" t="inlineStr">
        <is>
          <t>03/04/2017</t>
        </is>
      </c>
      <c r="B3438" s="8" t="n">
        <v>133.5519407814</v>
      </c>
      <c r="C3438" s="15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9" t="inlineStr">
        <is>
          <t>04/04/2017</t>
        </is>
      </c>
      <c r="B3439" s="8" t="n">
        <v>134.0197864376</v>
      </c>
      <c r="C3439" s="15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9" t="inlineStr">
        <is>
          <t>05/04/2017</t>
        </is>
      </c>
      <c r="B3440" s="8" t="n">
        <v>133.8578398643</v>
      </c>
      <c r="C3440" s="15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9" t="inlineStr">
        <is>
          <t>06/04/2017</t>
        </is>
      </c>
      <c r="B3441" s="8" t="n">
        <v>132.4003207046</v>
      </c>
      <c r="C3441" s="15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9" t="inlineStr">
        <is>
          <t>07/04/2017</t>
        </is>
      </c>
      <c r="B3442" s="8" t="n">
        <v>132.3643325772</v>
      </c>
      <c r="C3442" s="15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9" t="inlineStr">
        <is>
          <t>10/04/2017</t>
        </is>
      </c>
      <c r="B3443" s="8" t="n">
        <v>132.616249469</v>
      </c>
      <c r="C3443" s="15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9" t="inlineStr">
        <is>
          <t>11/04/2017</t>
        </is>
      </c>
      <c r="B3444" s="8" t="n">
        <v>132.8681663608</v>
      </c>
      <c r="C3444" s="15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9" t="inlineStr">
        <is>
          <t>12/04/2017</t>
        </is>
      </c>
      <c r="B3445" s="8" t="n">
        <v>133.0121188704</v>
      </c>
      <c r="C3445" s="15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9" t="inlineStr">
        <is>
          <t>13/04/2017</t>
        </is>
      </c>
      <c r="B3446" s="8" t="n">
        <v>132.7781960423</v>
      </c>
      <c r="C3446" s="15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9" t="inlineStr">
        <is>
          <t>17/04/2017</t>
        </is>
      </c>
      <c r="B3447" s="8" t="n">
        <v>132.4183147683</v>
      </c>
      <c r="C3447" s="15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9" t="inlineStr">
        <is>
          <t>18/04/2017</t>
        </is>
      </c>
      <c r="B3448" s="8" t="n">
        <v>131.9324750484</v>
      </c>
      <c r="C3448" s="15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9" t="inlineStr">
        <is>
          <t>19/04/2017</t>
        </is>
      </c>
      <c r="B3449" s="8" t="n">
        <v>132.4003207046</v>
      </c>
      <c r="C3449" s="15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9" t="inlineStr">
        <is>
          <t>20/04/2017</t>
        </is>
      </c>
      <c r="B3450" s="8" t="n">
        <v>132.9401426156</v>
      </c>
      <c r="C3450" s="15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9" t="inlineStr">
        <is>
          <t>24/04/2017</t>
        </is>
      </c>
      <c r="B3451" s="8" t="n">
        <v>134.2537092657</v>
      </c>
      <c r="C3451" s="15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9" t="inlineStr">
        <is>
          <t>25/04/2017</t>
        </is>
      </c>
      <c r="B3452" s="8" t="n">
        <v>134.595596476</v>
      </c>
      <c r="C3452" s="15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9" t="inlineStr">
        <is>
          <t>26/04/2017</t>
        </is>
      </c>
      <c r="B3453" s="8" t="n">
        <v>135.6572462343</v>
      </c>
      <c r="C3453" s="15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9" t="inlineStr">
        <is>
          <t>27/04/2017</t>
        </is>
      </c>
      <c r="B3454" s="8" t="n">
        <v>136.5029672282</v>
      </c>
      <c r="C3454" s="15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9" t="inlineStr">
        <is>
          <t>28/04/2017</t>
        </is>
      </c>
      <c r="B3455" s="8" t="n">
        <v>137.6905754324</v>
      </c>
      <c r="C3455" s="15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9" t="inlineStr">
        <is>
          <t>02/05/2017</t>
        </is>
      </c>
      <c r="B3456" s="8" t="n">
        <v>139.9275932976</v>
      </c>
      <c r="C3456" s="15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9" t="inlineStr">
        <is>
          <t>03/05/2017</t>
        </is>
      </c>
      <c r="B3457" s="8" t="n">
        <v>140.3816677826</v>
      </c>
      <c r="C3457" s="15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9" t="inlineStr">
        <is>
          <t>04/05/2017</t>
        </is>
      </c>
      <c r="B3458" s="8" t="n">
        <v>139.1102592246</v>
      </c>
      <c r="C3458" s="15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9" t="inlineStr">
        <is>
          <t>05/05/2017</t>
        </is>
      </c>
      <c r="B3459" s="8" t="n">
        <v>139.0194443276</v>
      </c>
      <c r="C3459" s="15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9" t="inlineStr">
        <is>
          <t>08/05/2017</t>
        </is>
      </c>
      <c r="B3460" s="8" t="n">
        <v>139.6188226478</v>
      </c>
      <c r="C3460" s="15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9" t="inlineStr">
        <is>
          <t>09/05/2017</t>
        </is>
      </c>
      <c r="B3461" s="8" t="n">
        <v>139.491681792</v>
      </c>
      <c r="C3461" s="15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9" t="inlineStr">
        <is>
          <t>10/05/2017</t>
        </is>
      </c>
      <c r="B3462" s="8" t="n">
        <v>139.4190298744</v>
      </c>
      <c r="C3462" s="15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9" t="inlineStr">
        <is>
          <t>11/05/2017</t>
        </is>
      </c>
      <c r="B3463" s="8" t="n">
        <v>138.5653698426</v>
      </c>
      <c r="C3463" s="15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9" t="inlineStr">
        <is>
          <t>12/05/2017</t>
        </is>
      </c>
      <c r="B3464" s="8" t="n">
        <v>138.6380217602</v>
      </c>
      <c r="C3464" s="15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9" t="inlineStr">
        <is>
          <t>15/05/2017</t>
        </is>
      </c>
      <c r="B3465" s="8" t="n">
        <v>138.2747621722</v>
      </c>
      <c r="C3465" s="15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9" t="inlineStr">
        <is>
          <t>16/05/2017</t>
        </is>
      </c>
      <c r="B3466" s="8" t="n">
        <v>138.4200660074</v>
      </c>
      <c r="C3466" s="15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9" t="inlineStr">
        <is>
          <t>17/05/2017</t>
        </is>
      </c>
      <c r="B3467" s="8" t="n">
        <v>138.8741404924</v>
      </c>
      <c r="C3467" s="15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9" t="inlineStr">
        <is>
          <t>18/05/2017</t>
        </is>
      </c>
      <c r="B3468" s="8" t="n">
        <v>138.8378145336</v>
      </c>
      <c r="C3468" s="15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9" t="inlineStr">
        <is>
          <t>19/05/2017</t>
        </is>
      </c>
      <c r="B3469" s="8" t="n">
        <v>138.9831183688</v>
      </c>
      <c r="C3469" s="15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9" t="inlineStr">
        <is>
          <t>22/05/2017</t>
        </is>
      </c>
      <c r="B3470" s="8" t="n">
        <v>139.6551486066</v>
      </c>
      <c r="C3470" s="15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9" t="inlineStr">
        <is>
          <t>23/05/2017</t>
        </is>
      </c>
      <c r="B3471" s="8" t="n">
        <v>140.7086014118</v>
      </c>
      <c r="C3471" s="15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9" t="inlineStr">
        <is>
          <t>24/05/2017</t>
        </is>
      </c>
      <c r="B3472" s="8" t="n">
        <v>141.8165431552</v>
      </c>
      <c r="C3472" s="15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9" t="inlineStr">
        <is>
          <t>25/05/2017</t>
        </is>
      </c>
      <c r="B3473" s="8" t="n">
        <v>141.0173720616</v>
      </c>
      <c r="C3473" s="15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9" t="inlineStr">
        <is>
          <t>26/05/2017</t>
        </is>
      </c>
      <c r="B3474" s="8" t="n">
        <v>140.7994163088</v>
      </c>
      <c r="C3474" s="15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9" t="inlineStr">
        <is>
          <t>29/05/2017</t>
        </is>
      </c>
      <c r="B3475" s="8" t="n">
        <v>141.5077725054</v>
      </c>
      <c r="C3475" s="15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9" t="inlineStr">
        <is>
          <t>30/05/2017</t>
        </is>
      </c>
      <c r="B3476" s="8" t="n">
        <v>141.1626758968</v>
      </c>
      <c r="C3476" s="15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9" t="inlineStr">
        <is>
          <t>31/05/2017</t>
        </is>
      </c>
      <c r="B3477" s="8" t="n">
        <v>141.1445129174</v>
      </c>
      <c r="C3477" s="15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9" t="inlineStr">
        <is>
          <t>01/06/2017</t>
        </is>
      </c>
      <c r="B3478" s="8" t="n">
        <v>141.5479951202</v>
      </c>
      <c r="C3478" s="15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9" t="inlineStr">
        <is>
          <t>02/06/2017</t>
        </is>
      </c>
      <c r="B3479" s="8" t="n">
        <v>140.1217267286</v>
      </c>
      <c r="C3479" s="15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9" t="inlineStr">
        <is>
          <t>05/06/2017</t>
        </is>
      </c>
      <c r="B3480" s="8" t="n">
        <v>139.2257376108</v>
      </c>
      <c r="C3480" s="15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9" t="inlineStr">
        <is>
          <t>06/06/2017</t>
        </is>
      </c>
      <c r="B3481" s="8" t="n">
        <v>139.0245971966</v>
      </c>
      <c r="C3481" s="15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9" t="inlineStr">
        <is>
          <t>07/06/2017</t>
        </is>
      </c>
      <c r="B3482" s="8" t="n">
        <v>137.7263272504</v>
      </c>
      <c r="C3482" s="15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9" t="inlineStr">
        <is>
          <t>08/06/2017</t>
        </is>
      </c>
      <c r="B3483" s="8" t="n">
        <v>137.3789028986</v>
      </c>
      <c r="C3483" s="15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9" t="inlineStr">
        <is>
          <t>09/06/2017</t>
        </is>
      </c>
      <c r="B3484" s="8" t="n">
        <v>136.5194847652</v>
      </c>
      <c r="C3484" s="15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9" t="inlineStr">
        <is>
          <t>12/06/2017</t>
        </is>
      </c>
      <c r="B3485" s="8" t="n">
        <v>136.8120526404</v>
      </c>
      <c r="C3485" s="15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9" t="inlineStr">
        <is>
          <t>13/06/2017</t>
        </is>
      </c>
      <c r="B3486" s="8" t="n">
        <v>136.0806329524</v>
      </c>
      <c r="C3486" s="15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9" t="inlineStr">
        <is>
          <t>14/06/2017</t>
        </is>
      </c>
      <c r="B3487" s="8" t="n">
        <v>134.2703692246</v>
      </c>
      <c r="C3487" s="15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9" t="inlineStr">
        <is>
          <t>16/06/2017</t>
        </is>
      </c>
      <c r="B3488" s="8" t="n">
        <v>134.2703692246</v>
      </c>
      <c r="C3488" s="15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9" t="inlineStr">
        <is>
          <t>19/06/2017</t>
        </is>
      </c>
      <c r="B3489" s="8" t="n">
        <v>133.7218044586</v>
      </c>
      <c r="C3489" s="15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9" t="inlineStr">
        <is>
          <t>20/06/2017</t>
        </is>
      </c>
      <c r="B3490" s="8" t="n">
        <v>131.4909744102</v>
      </c>
      <c r="C3490" s="15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9" t="inlineStr">
        <is>
          <t>21/06/2017</t>
        </is>
      </c>
      <c r="B3491" s="8" t="n">
        <v>129.644139698</v>
      </c>
      <c r="C3491" s="15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9" t="inlineStr">
        <is>
          <t>22/06/2017</t>
        </is>
      </c>
      <c r="B3492" s="8" t="n">
        <v>128.4372972128</v>
      </c>
      <c r="C3492" s="15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9" t="inlineStr">
        <is>
          <t>23/06/2017</t>
        </is>
      </c>
      <c r="B3493" s="8" t="n">
        <v>127.6875920326</v>
      </c>
      <c r="C3493" s="15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9" t="inlineStr">
        <is>
          <t>26/06/2017</t>
        </is>
      </c>
      <c r="B3494" s="8" t="n">
        <v>124.8167697572</v>
      </c>
      <c r="C3494" s="15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9" t="inlineStr">
        <is>
          <t>27/06/2017</t>
        </is>
      </c>
      <c r="B3495" s="8" t="n">
        <v>123.6282127642</v>
      </c>
      <c r="C3495" s="15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9" t="inlineStr">
        <is>
          <t>28/06/2017</t>
        </is>
      </c>
      <c r="B3496" s="8" t="n">
        <v>123.0065060294</v>
      </c>
      <c r="C3496" s="15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9" t="inlineStr">
        <is>
          <t>29/06/2017</t>
        </is>
      </c>
      <c r="B3497" s="8" t="n">
        <v>120.8305324576</v>
      </c>
      <c r="C3497" s="15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9" t="inlineStr">
        <is>
          <t>30/06/2017</t>
        </is>
      </c>
      <c r="B3498" s="8" t="n">
        <v>118.2339925652</v>
      </c>
      <c r="C3498" s="15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9" t="inlineStr">
        <is>
          <t>03/07/2017</t>
        </is>
      </c>
      <c r="B3499" s="8" t="n">
        <v>116.6418437658</v>
      </c>
      <c r="C3499" s="15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9" t="inlineStr">
        <is>
          <t>04/07/2017</t>
        </is>
      </c>
      <c r="B3500" s="8" t="n">
        <v>116.1813912008</v>
      </c>
      <c r="C3500" s="15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9" t="inlineStr">
        <is>
          <t>05/07/2017</t>
        </is>
      </c>
      <c r="B3501" s="8" t="n">
        <v>116.4576627398</v>
      </c>
      <c r="C3501" s="15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9" t="inlineStr">
        <is>
          <t>06/07/2017</t>
        </is>
      </c>
      <c r="B3502" s="8" t="n">
        <v>116.5681713554</v>
      </c>
      <c r="C3502" s="15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9" t="inlineStr">
        <is>
          <t>07/07/2017</t>
        </is>
      </c>
      <c r="B3503" s="8" t="n">
        <v>116.6234256632</v>
      </c>
      <c r="C3503" s="15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9" t="inlineStr">
        <is>
          <t>10/07/2017</t>
        </is>
      </c>
      <c r="B3504" s="8" t="n">
        <v>117.1759687412</v>
      </c>
      <c r="C3504" s="15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9" t="inlineStr">
        <is>
          <t>11/07/2017</t>
        </is>
      </c>
      <c r="B3505" s="8" t="n">
        <v>116.9181153048</v>
      </c>
      <c r="C3505" s="15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9" t="inlineStr">
        <is>
          <t>12/07/2017</t>
        </is>
      </c>
      <c r="B3506" s="8" t="n">
        <v>116.9917877152</v>
      </c>
      <c r="C3506" s="15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9" t="inlineStr">
        <is>
          <t>13/07/2017</t>
        </is>
      </c>
      <c r="B3507" s="8" t="n">
        <v>115.1315593526</v>
      </c>
      <c r="C3507" s="15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9" t="inlineStr">
        <is>
          <t>14/07/2017</t>
        </is>
      </c>
      <c r="B3508" s="8" t="n">
        <v>115.0394688396</v>
      </c>
      <c r="C3508" s="15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9" t="inlineStr">
        <is>
          <t>17/07/2017</t>
        </is>
      </c>
      <c r="B3509" s="8" t="n">
        <v>112.9213870406</v>
      </c>
      <c r="C3509" s="15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9" t="inlineStr">
        <is>
          <t>18/07/2017</t>
        </is>
      </c>
      <c r="B3510" s="8" t="n">
        <v>111.5584474482</v>
      </c>
      <c r="C3510" s="15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9" t="inlineStr">
        <is>
          <t>19/07/2017</t>
        </is>
      </c>
      <c r="B3511" s="8" t="n">
        <v>109.9192363168</v>
      </c>
      <c r="C3511" s="15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9" t="inlineStr">
        <is>
          <t>20/07/2017</t>
        </is>
      </c>
      <c r="B3512" s="8" t="n">
        <v>109.58771047</v>
      </c>
      <c r="C3512" s="15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9" t="inlineStr">
        <is>
          <t>21/07/2017</t>
        </is>
      </c>
      <c r="B3513" s="8" t="n">
        <v>109.2377665206</v>
      </c>
      <c r="C3513" s="15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9" t="inlineStr">
        <is>
          <t>24/07/2017</t>
        </is>
      </c>
      <c r="B3514" s="8" t="n">
        <v>108.9614949816</v>
      </c>
      <c r="C3514" s="15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9" t="inlineStr">
        <is>
          <t>25/07/2017</t>
        </is>
      </c>
      <c r="B3515" s="8" t="n">
        <v>108.9799130842</v>
      </c>
      <c r="C3515" s="15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9" t="inlineStr">
        <is>
          <t>26/07/2017</t>
        </is>
      </c>
      <c r="B3516" s="8" t="n">
        <v>108.2247708776</v>
      </c>
      <c r="C3516" s="15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9" t="inlineStr">
        <is>
          <t>27/07/2017</t>
        </is>
      </c>
      <c r="B3517" s="8" t="n">
        <v>107.930081236</v>
      </c>
      <c r="C3517" s="15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9" t="inlineStr">
        <is>
          <t>28/07/2017</t>
        </is>
      </c>
      <c r="B3518" s="8" t="n">
        <v>107.6169734918</v>
      </c>
      <c r="C3518" s="15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9" t="inlineStr">
        <is>
          <t>31/07/2017</t>
        </is>
      </c>
      <c r="B3519" s="8" t="n">
        <v>107.7090640048</v>
      </c>
      <c r="C3519" s="15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9" t="inlineStr">
        <is>
          <t>01/08/2017</t>
        </is>
      </c>
      <c r="B3520" s="8" t="n">
        <v>106.71827682</v>
      </c>
      <c r="C3520" s="15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9" t="inlineStr">
        <is>
          <t>02/08/2017</t>
        </is>
      </c>
      <c r="B3521" s="8" t="n">
        <v>105.9454892982</v>
      </c>
      <c r="C3521" s="15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9" t="inlineStr">
        <is>
          <t>03/08/2017</t>
        </is>
      </c>
      <c r="B3522" s="8" t="n">
        <v>105.2279008851</v>
      </c>
      <c r="C3522" s="15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9" t="inlineStr">
        <is>
          <t>04/08/2017</t>
        </is>
      </c>
      <c r="B3523" s="8" t="n">
        <v>105.7246928634</v>
      </c>
      <c r="C3523" s="15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9" t="inlineStr">
        <is>
          <t>07/08/2017</t>
        </is>
      </c>
      <c r="B3524" s="8" t="n">
        <v>105.1911014793</v>
      </c>
      <c r="C3524" s="15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9" t="inlineStr">
        <is>
          <t>08/08/2017</t>
        </is>
      </c>
      <c r="B3525" s="8" t="n">
        <v>102.7071415878</v>
      </c>
      <c r="C3525" s="15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9" t="inlineStr">
        <is>
          <t>09/08/2017</t>
        </is>
      </c>
      <c r="B3526" s="8" t="n">
        <v>101.2719647616</v>
      </c>
      <c r="C3526" s="15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9" t="inlineStr">
        <is>
          <t>10/08/2017</t>
        </is>
      </c>
      <c r="B3527" s="8" t="n">
        <v>100.5359766456</v>
      </c>
      <c r="C3527" s="15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9" t="inlineStr">
        <is>
          <t>11/08/2017</t>
        </is>
      </c>
      <c r="B3528" s="8" t="n">
        <v>100.9407701094</v>
      </c>
      <c r="C3528" s="15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9" t="inlineStr">
        <is>
          <t>14/08/2017</t>
        </is>
      </c>
      <c r="B3529" s="8" t="n">
        <v>99.91038674699999</v>
      </c>
      <c r="C3529" s="15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9" t="inlineStr">
        <is>
          <t>15/08/2017</t>
        </is>
      </c>
      <c r="B3530" s="8" t="n">
        <v>99.3399959571</v>
      </c>
      <c r="C3530" s="15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9" t="inlineStr">
        <is>
          <t>16/08/2017</t>
        </is>
      </c>
      <c r="B3531" s="8" t="n">
        <v>99.0088013049</v>
      </c>
      <c r="C3531" s="15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9" t="inlineStr">
        <is>
          <t>17/08/2017</t>
        </is>
      </c>
      <c r="B3532" s="8" t="n">
        <v>98.25441348599999</v>
      </c>
      <c r="C3532" s="15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9" t="inlineStr">
        <is>
          <t>18/08/2017</t>
        </is>
      </c>
      <c r="B3533" s="8" t="n">
        <v>98.10721586279999</v>
      </c>
      <c r="C3533" s="15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9" t="inlineStr">
        <is>
          <t>21/08/2017</t>
        </is>
      </c>
      <c r="B3534" s="8" t="n">
        <v>98.05201675409999</v>
      </c>
      <c r="C3534" s="15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9" t="inlineStr">
        <is>
          <t>22/08/2017</t>
        </is>
      </c>
      <c r="B3535" s="8" t="n">
        <v>97.1320316091</v>
      </c>
      <c r="C3535" s="15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9" t="inlineStr">
        <is>
          <t>23/08/2017</t>
        </is>
      </c>
      <c r="B3536" s="8" t="n">
        <v>97.20563042069999</v>
      </c>
      <c r="C3536" s="15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9" t="inlineStr">
        <is>
          <t>24/08/2017</t>
        </is>
      </c>
      <c r="B3537" s="8" t="n">
        <v>96.89283547139999</v>
      </c>
      <c r="C3537" s="15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9" t="inlineStr">
        <is>
          <t>25/08/2017</t>
        </is>
      </c>
      <c r="B3538" s="8" t="n">
        <v>96.8008369569</v>
      </c>
      <c r="C3538" s="15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9" t="inlineStr">
        <is>
          <t>28/08/2017</t>
        </is>
      </c>
      <c r="B3539" s="8" t="n">
        <v>97.3712277468</v>
      </c>
      <c r="C3539" s="15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9" t="inlineStr">
        <is>
          <t>29/08/2017</t>
        </is>
      </c>
      <c r="B3540" s="8" t="n">
        <v>97.51842536999999</v>
      </c>
      <c r="C3540" s="15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9" t="inlineStr">
        <is>
          <t>30/08/2017</t>
        </is>
      </c>
      <c r="B3541" s="8" t="n">
        <v>97.07683250039999</v>
      </c>
      <c r="C3541" s="15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9" t="inlineStr">
        <is>
          <t>31/08/2017</t>
        </is>
      </c>
      <c r="B3542" s="8" t="n">
        <v>96.28564527569999</v>
      </c>
      <c r="C3542" s="15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9" t="inlineStr">
        <is>
          <t>01/09/2017</t>
        </is>
      </c>
      <c r="B3543" s="8" t="n">
        <v>95.65208322239999</v>
      </c>
      <c r="C3543" s="15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9" t="inlineStr">
        <is>
          <t>04/09/2017</t>
        </is>
      </c>
      <c r="B3544" s="8" t="n">
        <v>95.7070241088</v>
      </c>
      <c r="C3544" s="15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9" t="inlineStr">
        <is>
          <t>05/09/2017</t>
        </is>
      </c>
      <c r="B3545" s="8" t="n">
        <v>95.1576152448</v>
      </c>
      <c r="C3545" s="15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9" t="inlineStr">
        <is>
          <t>06/09/2017</t>
        </is>
      </c>
      <c r="B3546" s="8" t="n">
        <v>95.3041242752</v>
      </c>
      <c r="C3546" s="15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9" t="inlineStr">
        <is>
          <t>08/09/2017</t>
        </is>
      </c>
      <c r="B3547" s="8" t="n">
        <v>95.3407515328</v>
      </c>
      <c r="C3547" s="15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9" t="inlineStr">
        <is>
          <t>11/09/2017</t>
        </is>
      </c>
      <c r="B3548" s="8" t="n">
        <v>95.597142336</v>
      </c>
      <c r="C3548" s="15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9" t="inlineStr">
        <is>
          <t>12/09/2017</t>
        </is>
      </c>
      <c r="B3549" s="8" t="n">
        <v>95.68871048</v>
      </c>
      <c r="C3549" s="15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9" t="inlineStr">
        <is>
          <t>13/09/2017</t>
        </is>
      </c>
      <c r="B3550" s="8" t="n">
        <v>96.62270554879998</v>
      </c>
      <c r="C3550" s="15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9" t="inlineStr">
        <is>
          <t>14/09/2017</t>
        </is>
      </c>
      <c r="B3551" s="8" t="n">
        <v>96.787528208</v>
      </c>
      <c r="C3551" s="15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9" t="inlineStr">
        <is>
          <t>15/09/2017</t>
        </is>
      </c>
      <c r="B3552" s="8" t="n">
        <v>96.329687488</v>
      </c>
      <c r="C3552" s="15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9" t="inlineStr">
        <is>
          <t>18/09/2017</t>
        </is>
      </c>
      <c r="B3553" s="8" t="n">
        <v>96.20149208639999</v>
      </c>
      <c r="C3553" s="15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9" t="inlineStr">
        <is>
          <t>19/09/2017</t>
        </is>
      </c>
      <c r="B3554" s="8" t="n">
        <v>96.00004216959999</v>
      </c>
      <c r="C3554" s="15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9" t="inlineStr">
        <is>
          <t>20/09/2017</t>
        </is>
      </c>
      <c r="B3555" s="8" t="n">
        <v>96.421255632</v>
      </c>
      <c r="C3555" s="15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9" t="inlineStr">
        <is>
          <t>21/09/2017</t>
        </is>
      </c>
      <c r="B3556" s="8" t="n">
        <v>96.2198057152</v>
      </c>
      <c r="C3556" s="15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9" t="inlineStr">
        <is>
          <t>22/09/2017</t>
        </is>
      </c>
      <c r="B3557" s="8" t="n">
        <v>96.512823776</v>
      </c>
      <c r="C3557" s="15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9" t="inlineStr">
        <is>
          <t>25/09/2017</t>
        </is>
      </c>
      <c r="B3558" s="8" t="n">
        <v>96.18317845760001</v>
      </c>
      <c r="C3558" s="15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9" t="inlineStr">
        <is>
          <t>26/09/2017</t>
        </is>
      </c>
      <c r="B3559" s="8" t="n">
        <v>95.3407515328</v>
      </c>
      <c r="C3559" s="15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9" t="inlineStr">
        <is>
          <t>27/09/2017</t>
        </is>
      </c>
      <c r="B3560" s="8" t="n">
        <v>95.90847402559999</v>
      </c>
      <c r="C3560" s="15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9" t="inlineStr">
        <is>
          <t>28/09/2017</t>
        </is>
      </c>
      <c r="B3561" s="8" t="n">
        <v>95.96341491199999</v>
      </c>
      <c r="C3561" s="15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9" t="inlineStr">
        <is>
          <t>29/09/2017</t>
        </is>
      </c>
      <c r="B3562" s="8" t="n">
        <v>96.6593328064</v>
      </c>
      <c r="C3562" s="15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9" t="inlineStr">
        <is>
          <t>02/10/2017</t>
        </is>
      </c>
      <c r="B3563" s="8" t="n">
        <v>96.2470748436</v>
      </c>
      <c r="C3563" s="15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9" t="inlineStr">
        <is>
          <t>03/10/2017</t>
        </is>
      </c>
      <c r="B3564" s="8" t="n">
        <v>96.7405558578</v>
      </c>
      <c r="C3564" s="15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9" t="inlineStr">
        <is>
          <t>04/10/2017</t>
        </is>
      </c>
      <c r="B3565" s="8" t="n">
        <v>97.2157597974</v>
      </c>
      <c r="C3565" s="15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9" t="inlineStr">
        <is>
          <t>05/10/2017</t>
        </is>
      </c>
      <c r="B3566" s="8" t="n">
        <v>97.48991591640001</v>
      </c>
      <c r="C3566" s="15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9" t="inlineStr">
        <is>
          <t>06/10/2017</t>
        </is>
      </c>
      <c r="B3567" s="8" t="n">
        <v>97.10609734980001</v>
      </c>
      <c r="C3567" s="15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9" t="inlineStr">
        <is>
          <t>09/10/2017</t>
        </is>
      </c>
      <c r="B3568" s="8" t="n">
        <v>97.03298905140001</v>
      </c>
      <c r="C3568" s="15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9" t="inlineStr">
        <is>
          <t>10/10/2017</t>
        </is>
      </c>
      <c r="B3569" s="8" t="n">
        <v>97.25231394660001</v>
      </c>
      <c r="C3569" s="15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9" t="inlineStr">
        <is>
          <t>11/10/2017</t>
        </is>
      </c>
      <c r="B3570" s="8" t="n">
        <v>97.48991591640001</v>
      </c>
      <c r="C3570" s="15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9" t="inlineStr">
        <is>
          <t>13/10/2017</t>
        </is>
      </c>
      <c r="B3571" s="8" t="n">
        <v>97.7457949608</v>
      </c>
      <c r="C3571" s="15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9" t="inlineStr">
        <is>
          <t>16/10/2017</t>
        </is>
      </c>
      <c r="B3572" s="8" t="n">
        <v>98.604817467</v>
      </c>
      <c r="C3572" s="15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9" t="inlineStr">
        <is>
          <t>17/10/2017</t>
        </is>
      </c>
      <c r="B3573" s="8" t="n">
        <v>99.08002140660001</v>
      </c>
      <c r="C3573" s="15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9" t="inlineStr">
        <is>
          <t>18/10/2017</t>
        </is>
      </c>
      <c r="B3574" s="8" t="n">
        <v>99.975598062</v>
      </c>
      <c r="C3574" s="15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9" t="inlineStr">
        <is>
          <t>19/10/2017</t>
        </is>
      </c>
      <c r="B3575" s="8" t="n">
        <v>100.158368808</v>
      </c>
      <c r="C3575" s="15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9" t="inlineStr">
        <is>
          <t>20/10/2017</t>
        </is>
      </c>
      <c r="B3576" s="8" t="n">
        <v>100.6518498222</v>
      </c>
      <c r="C3576" s="15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9" t="inlineStr">
        <is>
          <t>23/10/2017</t>
        </is>
      </c>
      <c r="B3577" s="8" t="n">
        <v>101.8398596712</v>
      </c>
      <c r="C3577" s="15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9" t="inlineStr">
        <is>
          <t>24/10/2017</t>
        </is>
      </c>
      <c r="B3578" s="8" t="n">
        <v>102.168847014</v>
      </c>
      <c r="C3578" s="15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9" t="inlineStr">
        <is>
          <t>25/10/2017</t>
        </is>
      </c>
      <c r="B3579" s="8" t="n">
        <v>102.4612802076</v>
      </c>
      <c r="C3579" s="15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9" t="inlineStr">
        <is>
          <t>26/10/2017</t>
        </is>
      </c>
      <c r="B3580" s="8" t="n">
        <v>103.2837485646</v>
      </c>
      <c r="C3580" s="15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9" t="inlineStr">
        <is>
          <t>27/10/2017</t>
        </is>
      </c>
      <c r="B3581" s="8" t="n">
        <v>104.3438188914</v>
      </c>
      <c r="C3581" s="15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9" t="inlineStr">
        <is>
          <t>30/10/2017</t>
        </is>
      </c>
      <c r="B3582" s="8" t="n">
        <v>104.4352042644</v>
      </c>
      <c r="C3582" s="15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9" t="inlineStr">
        <is>
          <t>31/10/2017</t>
        </is>
      </c>
      <c r="B3583" s="8" t="n">
        <v>105.7877077848</v>
      </c>
      <c r="C3583" s="15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9" t="inlineStr">
        <is>
          <t>01/11/2017</t>
        </is>
      </c>
      <c r="B3584" s="8" t="n">
        <v>106.1314013435</v>
      </c>
      <c r="C3584" s="15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9" t="inlineStr">
        <is>
          <t>03/11/2017</t>
        </is>
      </c>
      <c r="B3585" s="8" t="n">
        <v>106.8223373125</v>
      </c>
      <c r="C3585" s="15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9" t="inlineStr">
        <is>
          <t>06/11/2017</t>
        </is>
      </c>
      <c r="B3586" s="8" t="n">
        <v>109.5497161375</v>
      </c>
      <c r="C3586" s="15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9" t="inlineStr">
        <is>
          <t>07/11/2017</t>
        </is>
      </c>
      <c r="B3587" s="8" t="n">
        <v>111.0043181775</v>
      </c>
      <c r="C3587" s="15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9" t="inlineStr">
        <is>
          <t>08/11/2017</t>
        </is>
      </c>
      <c r="B3588" s="8" t="n">
        <v>111.9134444525</v>
      </c>
      <c r="C3588" s="15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9" t="inlineStr">
        <is>
          <t>09/11/2017</t>
        </is>
      </c>
      <c r="B3589" s="8" t="n">
        <v>113.4407765945</v>
      </c>
      <c r="C3589" s="15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9" t="inlineStr">
        <is>
          <t>10/11/2017</t>
        </is>
      </c>
      <c r="B3590" s="8" t="n">
        <v>115.6954097565</v>
      </c>
      <c r="C3590" s="15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9" t="inlineStr">
        <is>
          <t>13/11/2017</t>
        </is>
      </c>
      <c r="B3591" s="8" t="n">
        <v>116.4227107765</v>
      </c>
      <c r="C3591" s="15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9" t="inlineStr">
        <is>
          <t>14/11/2017</t>
        </is>
      </c>
      <c r="B3592" s="8" t="n">
        <v>118.259145852</v>
      </c>
      <c r="C3592" s="15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9" t="inlineStr">
        <is>
          <t>16/11/2017</t>
        </is>
      </c>
      <c r="B3593" s="8" t="n">
        <v>117.240924424</v>
      </c>
      <c r="C3593" s="15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9" t="inlineStr">
        <is>
          <t>17/11/2017</t>
        </is>
      </c>
      <c r="B3594" s="8" t="n">
        <v>118.91371677</v>
      </c>
      <c r="C3594" s="15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9" t="inlineStr">
        <is>
          <t>21/11/2017</t>
        </is>
      </c>
      <c r="B3595" s="8" t="n">
        <v>120.0955809275</v>
      </c>
      <c r="C3595" s="15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9" t="inlineStr">
        <is>
          <t>22/11/2017</t>
        </is>
      </c>
      <c r="B3596" s="8" t="n">
        <v>120.2046760805</v>
      </c>
      <c r="C3596" s="15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9" t="inlineStr">
        <is>
          <t>23/11/2017</t>
        </is>
      </c>
      <c r="B3597" s="8" t="n">
        <v>120.986524677</v>
      </c>
      <c r="C3597" s="15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9" t="inlineStr">
        <is>
          <t>24/11/2017</t>
        </is>
      </c>
      <c r="B3598" s="8" t="n">
        <v>121.4774528655</v>
      </c>
      <c r="C3598" s="15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9" t="inlineStr">
        <is>
          <t>27/11/2017</t>
        </is>
      </c>
      <c r="B3599" s="8" t="n">
        <v>122.659317023</v>
      </c>
      <c r="C3599" s="15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9" t="inlineStr">
        <is>
          <t>28/11/2017</t>
        </is>
      </c>
      <c r="B3600" s="8" t="n">
        <v>123.3320704665</v>
      </c>
      <c r="C3600" s="15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9" t="inlineStr">
        <is>
          <t>29/11/2017</t>
        </is>
      </c>
      <c r="B3601" s="8" t="n">
        <v>124.8594026085</v>
      </c>
      <c r="C3601" s="15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9" t="inlineStr">
        <is>
          <t>30/11/2017</t>
        </is>
      </c>
      <c r="B3602" s="8" t="n">
        <v>125.677616256</v>
      </c>
      <c r="C3602" s="15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9" t="inlineStr">
        <is>
          <t>01/12/2017</t>
        </is>
      </c>
      <c r="B3603" s="8" t="n">
        <v>124.9654397124</v>
      </c>
      <c r="C3603" s="15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9" t="inlineStr">
        <is>
          <t>04/12/2017</t>
        </is>
      </c>
      <c r="B3604" s="8" t="n">
        <v>125.6502805992</v>
      </c>
      <c r="C3604" s="15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9" t="inlineStr">
        <is>
          <t>05/12/2017</t>
        </is>
      </c>
      <c r="B3605" s="8" t="n">
        <v>124.6951077834</v>
      </c>
      <c r="C3605" s="15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9" t="inlineStr">
        <is>
          <t>06/12/2017</t>
        </is>
      </c>
      <c r="B3606" s="8" t="n">
        <v>124.6770856548</v>
      </c>
      <c r="C3606" s="15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9" t="inlineStr">
        <is>
          <t>07/12/2017</t>
        </is>
      </c>
      <c r="B3607" s="8" t="n">
        <v>125.343904413</v>
      </c>
      <c r="C3607" s="15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9" t="inlineStr">
        <is>
          <t>08/12/2017</t>
        </is>
      </c>
      <c r="B3608" s="8" t="n">
        <v>125.9566567854</v>
      </c>
      <c r="C3608" s="15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9" t="inlineStr">
        <is>
          <t>11/12/2017</t>
        </is>
      </c>
      <c r="B3609" s="8" t="n">
        <v>124.803240555</v>
      </c>
      <c r="C3609" s="15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9" t="inlineStr">
        <is>
          <t>12/12/2017</t>
        </is>
      </c>
      <c r="B3610" s="8" t="n">
        <v>123.7759792248</v>
      </c>
      <c r="C3610" s="15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9" t="inlineStr">
        <is>
          <t>13/12/2017</t>
        </is>
      </c>
      <c r="B3611" s="8" t="n">
        <v>123.902134125</v>
      </c>
      <c r="C3611" s="15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9" t="inlineStr">
        <is>
          <t>14/12/2017</t>
        </is>
      </c>
      <c r="B3612" s="8" t="n">
        <v>123.9562005108</v>
      </c>
      <c r="C3612" s="15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9" t="inlineStr">
        <is>
          <t>15/12/2017</t>
        </is>
      </c>
      <c r="B3613" s="8" t="n">
        <v>124.6590635262</v>
      </c>
      <c r="C3613" s="15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9" t="inlineStr">
        <is>
          <t>18/12/2017</t>
        </is>
      </c>
      <c r="B3614" s="8" t="n">
        <v>124.983461841</v>
      </c>
      <c r="C3614" s="15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9" t="inlineStr">
        <is>
          <t>19/12/2017</t>
        </is>
      </c>
      <c r="B3615" s="8" t="n">
        <v>124.2445545684</v>
      </c>
      <c r="C3615" s="15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9" t="inlineStr">
        <is>
          <t>20/12/2017</t>
        </is>
      </c>
      <c r="B3616" s="8" t="n">
        <v>122.009810622</v>
      </c>
      <c r="C3616" s="15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9" t="inlineStr">
        <is>
          <t>21/12/2017</t>
        </is>
      </c>
      <c r="B3617" s="8" t="n">
        <v>122.5144302228</v>
      </c>
      <c r="C3617" s="15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9" t="inlineStr">
        <is>
          <t>22/12/2017</t>
        </is>
      </c>
      <c r="B3618" s="8" t="n">
        <v>120.928482906</v>
      </c>
      <c r="C3618" s="15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9" t="inlineStr">
        <is>
          <t>26/12/2017</t>
        </is>
      </c>
      <c r="B3619" s="8" t="n">
        <v>120.7843058772</v>
      </c>
      <c r="C3619" s="15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9" t="inlineStr">
        <is>
          <t>27/12/2017</t>
        </is>
      </c>
      <c r="B3620" s="8" t="n">
        <v>121.7935450788</v>
      </c>
      <c r="C3620" s="15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9" t="inlineStr">
        <is>
          <t>28/12/2017</t>
        </is>
      </c>
      <c r="B3621" s="8" t="n">
        <v>120.658150977</v>
      </c>
      <c r="C3621" s="15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9" t="inlineStr">
        <is>
          <t>02/01/2018</t>
        </is>
      </c>
      <c r="B3622" s="8" t="n">
        <v>120.266765094</v>
      </c>
      <c r="C3622" s="15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9" t="inlineStr">
        <is>
          <t>03/01/2018</t>
        </is>
      </c>
      <c r="B3623" s="8" t="n">
        <v>119.8553826435</v>
      </c>
      <c r="C3623" s="15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9" t="inlineStr">
        <is>
          <t>04/01/2018</t>
        </is>
      </c>
      <c r="B3624" s="8" t="n">
        <v>120.016358385</v>
      </c>
      <c r="C3624" s="15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9" t="inlineStr">
        <is>
          <t>05/01/2018</t>
        </is>
      </c>
      <c r="B3625" s="8" t="n">
        <v>118.0667632935</v>
      </c>
      <c r="C3625" s="15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9" t="inlineStr">
        <is>
          <t>08/01/2018</t>
        </is>
      </c>
      <c r="B3626" s="8" t="n">
        <v>117.0293640705</v>
      </c>
      <c r="C3626" s="15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9" t="inlineStr">
        <is>
          <t>09/01/2018</t>
        </is>
      </c>
      <c r="B3627" s="8" t="n">
        <v>116.296030137</v>
      </c>
      <c r="C3627" s="15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9" t="inlineStr">
        <is>
          <t>10/01/2018</t>
        </is>
      </c>
      <c r="B3628" s="8" t="n">
        <v>115.0976551725</v>
      </c>
      <c r="C3628" s="15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9" t="inlineStr">
        <is>
          <t>11/01/2018</t>
        </is>
      </c>
      <c r="B3629" s="8" t="n">
        <v>113.5952149185</v>
      </c>
      <c r="C3629" s="15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9" t="inlineStr">
        <is>
          <t>12/01/2018</t>
        </is>
      </c>
      <c r="B3630" s="8" t="n">
        <v>112.1643194385</v>
      </c>
      <c r="C3630" s="15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9" t="inlineStr">
        <is>
          <t>15/01/2018</t>
        </is>
      </c>
      <c r="B3631" s="8" t="n">
        <v>110.5187896365</v>
      </c>
      <c r="C3631" s="15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9" t="inlineStr">
        <is>
          <t>16/01/2018</t>
        </is>
      </c>
      <c r="B3632" s="8" t="n">
        <v>107.996836353</v>
      </c>
      <c r="C3632" s="15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9" t="inlineStr">
        <is>
          <t>17/01/2018</t>
        </is>
      </c>
      <c r="B3633" s="8" t="n">
        <v>105.4391106825</v>
      </c>
      <c r="C3633" s="15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9" t="inlineStr">
        <is>
          <t>18/01/2018</t>
        </is>
      </c>
      <c r="B3634" s="8" t="n">
        <v>104.562687201</v>
      </c>
      <c r="C3634" s="15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9" t="inlineStr">
        <is>
          <t>19/01/2018</t>
        </is>
      </c>
      <c r="B3635" s="8" t="n">
        <v>104.312280492</v>
      </c>
      <c r="C3635" s="15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9" t="inlineStr">
        <is>
          <t>22/01/2018</t>
        </is>
      </c>
      <c r="B3636" s="8" t="n">
        <v>104.4017114595</v>
      </c>
      <c r="C3636" s="15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9" t="inlineStr">
        <is>
          <t>23/01/2018</t>
        </is>
      </c>
      <c r="B3637" s="8" t="n">
        <v>102.881385012</v>
      </c>
      <c r="C3637" s="15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9" t="inlineStr">
        <is>
          <t>24/01/2018</t>
        </is>
      </c>
      <c r="B3638" s="8" t="n">
        <v>101.1821966295</v>
      </c>
      <c r="C3638" s="15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9" t="inlineStr">
        <is>
          <t>25/01/2018</t>
        </is>
      </c>
      <c r="B3639" s="8" t="n">
        <v>101.772441015</v>
      </c>
      <c r="C3639" s="15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9" t="inlineStr">
        <is>
          <t>26/01/2018</t>
        </is>
      </c>
      <c r="B3640" s="8" t="n">
        <v>100.806586566</v>
      </c>
      <c r="C3640" s="15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9" t="inlineStr">
        <is>
          <t>29/01/2018</t>
        </is>
      </c>
      <c r="B3641" s="8" t="n">
        <v>99.7155287625</v>
      </c>
      <c r="C3641" s="15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9" t="inlineStr">
        <is>
          <t>30/01/2018</t>
        </is>
      </c>
      <c r="B3642" s="8" t="n">
        <v>100.484635083</v>
      </c>
      <c r="C3642" s="15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9" t="inlineStr">
        <is>
          <t>31/01/2018</t>
        </is>
      </c>
      <c r="B3643" s="8" t="n">
        <v>99.1431705705</v>
      </c>
      <c r="C3643" s="15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9" t="inlineStr">
        <is>
          <t>01/02/2018</t>
        </is>
      </c>
      <c r="B3644" s="8" t="n">
        <v>98.7520924975</v>
      </c>
      <c r="C3644" s="15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9" t="inlineStr">
        <is>
          <t>02/02/2018</t>
        </is>
      </c>
      <c r="B3645" s="8" t="n">
        <v>98.09076626720001</v>
      </c>
      <c r="C3645" s="15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9" t="inlineStr">
        <is>
          <t>05/02/2018</t>
        </is>
      </c>
      <c r="B3646" s="8" t="n">
        <v>97.78691367490001</v>
      </c>
      <c r="C3646" s="15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9" t="inlineStr">
        <is>
          <t>06/02/2018</t>
        </is>
      </c>
      <c r="B3647" s="8" t="n">
        <v>96.53575594189999</v>
      </c>
      <c r="C3647" s="15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9" t="inlineStr">
        <is>
          <t>07/02/2018</t>
        </is>
      </c>
      <c r="B3648" s="8" t="n">
        <v>96.57150330570001</v>
      </c>
      <c r="C3648" s="15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9" t="inlineStr">
        <is>
          <t>08/02/2018</t>
        </is>
      </c>
      <c r="B3649" s="8" t="n">
        <v>96.82173485230001</v>
      </c>
      <c r="C3649" s="15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9" t="inlineStr">
        <is>
          <t>09/02/2018</t>
        </is>
      </c>
      <c r="B3650" s="8" t="n">
        <v>97.2149558541</v>
      </c>
      <c r="C3650" s="15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9" t="inlineStr">
        <is>
          <t>14/02/2018</t>
        </is>
      </c>
      <c r="B3651" s="8" t="n">
        <v>97.4651874007</v>
      </c>
      <c r="C3651" s="15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9" t="inlineStr">
        <is>
          <t>15/02/2018</t>
        </is>
      </c>
      <c r="B3652" s="8" t="n">
        <v>94.89137720710001</v>
      </c>
      <c r="C3652" s="15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9" t="inlineStr">
        <is>
          <t>16/02/2018</t>
        </is>
      </c>
      <c r="B3653" s="8" t="n">
        <v>95.24885084509999</v>
      </c>
      <c r="C3653" s="15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9" t="inlineStr">
        <is>
          <t>19/02/2018</t>
        </is>
      </c>
      <c r="B3654" s="8" t="n">
        <v>94.7483877519</v>
      </c>
      <c r="C3654" s="15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9" t="inlineStr">
        <is>
          <t>20/02/2018</t>
        </is>
      </c>
      <c r="B3655" s="8" t="n">
        <v>94.6947667062</v>
      </c>
      <c r="C3655" s="15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9" t="inlineStr">
        <is>
          <t>21/02/2018</t>
        </is>
      </c>
      <c r="B3656" s="8" t="n">
        <v>93.4257352913</v>
      </c>
      <c r="C3656" s="15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9" t="inlineStr">
        <is>
          <t>22/02/2018</t>
        </is>
      </c>
      <c r="B3657" s="8" t="n">
        <v>93.17550374470001</v>
      </c>
      <c r="C3657" s="15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9" t="inlineStr">
        <is>
          <t>23/02/2018</t>
        </is>
      </c>
      <c r="B3658" s="8" t="n">
        <v>92.44268278680001</v>
      </c>
      <c r="C3658" s="15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9" t="inlineStr">
        <is>
          <t>26/02/2018</t>
        </is>
      </c>
      <c r="B3659" s="8" t="n">
        <v>92.21032492210001</v>
      </c>
      <c r="C3659" s="15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9" t="inlineStr">
        <is>
          <t>27/02/2018</t>
        </is>
      </c>
      <c r="B3660" s="8" t="n">
        <v>90.72680932439999</v>
      </c>
      <c r="C3660" s="15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9" t="inlineStr">
        <is>
          <t>28/02/2018</t>
        </is>
      </c>
      <c r="B3661" s="8" t="n">
        <v>91.7813565565</v>
      </c>
      <c r="C3661" s="15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9" t="inlineStr">
        <is>
          <t>01/03/2018</t>
        </is>
      </c>
      <c r="B3662" s="8" t="n">
        <v>90.9668111716</v>
      </c>
      <c r="C3662" s="15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9" t="inlineStr">
        <is>
          <t>02/03/2018</t>
        </is>
      </c>
      <c r="B3663" s="8" t="n">
        <v>90.220890424</v>
      </c>
      <c r="C3663" s="15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9" t="inlineStr">
        <is>
          <t>05/03/2018</t>
        </is>
      </c>
      <c r="B3664" s="8" t="n">
        <v>91.3575315632</v>
      </c>
      <c r="C3664" s="15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9" t="inlineStr">
        <is>
          <t>06/03/2018</t>
        </is>
      </c>
      <c r="B3665" s="8" t="n">
        <v>90.5938507978</v>
      </c>
      <c r="C3665" s="15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9" t="inlineStr">
        <is>
          <t>07/03/2018</t>
        </is>
      </c>
      <c r="B3666" s="8" t="n">
        <v>91.3397715454</v>
      </c>
      <c r="C3666" s="15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9" t="inlineStr">
        <is>
          <t>08/03/2018</t>
        </is>
      </c>
      <c r="B3667" s="8" t="n">
        <v>91.4285716344</v>
      </c>
      <c r="C3667" s="15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9" t="inlineStr">
        <is>
          <t>09/03/2018</t>
        </is>
      </c>
      <c r="B3668" s="8" t="n">
        <v>90.8957711004</v>
      </c>
      <c r="C3668" s="15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9" t="inlineStr">
        <is>
          <t>12/03/2018</t>
        </is>
      </c>
      <c r="B3669" s="8" t="n">
        <v>90.0965702994</v>
      </c>
      <c r="C3669" s="15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9" t="inlineStr">
        <is>
          <t>13/03/2018</t>
        </is>
      </c>
      <c r="B3670" s="8" t="n">
        <v>90.87801108260001</v>
      </c>
      <c r="C3670" s="15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9" t="inlineStr">
        <is>
          <t>14/03/2018</t>
        </is>
      </c>
      <c r="B3671" s="8" t="n">
        <v>90.5050507088</v>
      </c>
      <c r="C3671" s="15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9" t="inlineStr">
        <is>
          <t>15/03/2018</t>
        </is>
      </c>
      <c r="B3672" s="8" t="n">
        <v>89.40392960520001</v>
      </c>
      <c r="C3672" s="15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9" t="inlineStr">
        <is>
          <t>16/03/2018</t>
        </is>
      </c>
      <c r="B3673" s="8" t="n">
        <v>88.8178490178</v>
      </c>
      <c r="C3673" s="15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9" t="inlineStr">
        <is>
          <t>19/03/2018</t>
        </is>
      </c>
      <c r="B3674" s="8" t="n">
        <v>90.06105026380001</v>
      </c>
      <c r="C3674" s="15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9" t="inlineStr">
        <is>
          <t>20/03/2018</t>
        </is>
      </c>
      <c r="B3675" s="8" t="n">
        <v>89.59928980100001</v>
      </c>
      <c r="C3675" s="15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9" t="inlineStr">
        <is>
          <t>21/03/2018</t>
        </is>
      </c>
      <c r="B3676" s="8" t="n">
        <v>89.776889979</v>
      </c>
      <c r="C3676" s="15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9" t="inlineStr">
        <is>
          <t>22/03/2018</t>
        </is>
      </c>
      <c r="B3677" s="8" t="n">
        <v>91.19769140300001</v>
      </c>
      <c r="C3677" s="15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9" t="inlineStr">
        <is>
          <t>23/03/2018</t>
        </is>
      </c>
      <c r="B3678" s="8" t="n">
        <v>91.8370520438</v>
      </c>
      <c r="C3678" s="15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9" t="inlineStr">
        <is>
          <t>26/03/2018</t>
        </is>
      </c>
      <c r="B3679" s="8" t="n">
        <v>92.88489309400001</v>
      </c>
      <c r="C3679" s="15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9" t="inlineStr">
        <is>
          <t>27/03/2018</t>
        </is>
      </c>
      <c r="B3680" s="8" t="n">
        <v>92.93817314740001</v>
      </c>
      <c r="C3680" s="15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9" t="inlineStr">
        <is>
          <t>28/03/2018</t>
        </is>
      </c>
      <c r="B3681" s="8" t="n">
        <v>94.3412145536</v>
      </c>
      <c r="C3681" s="15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9" t="inlineStr">
        <is>
          <t>29/03/2018</t>
        </is>
      </c>
      <c r="B3682" s="8" t="n">
        <v>94.838495052</v>
      </c>
      <c r="C3682" s="15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9" t="inlineStr">
        <is>
          <t>02/04/2018</t>
        </is>
      </c>
      <c r="B3683" s="8" t="n">
        <v>94.44225460599999</v>
      </c>
      <c r="C3683" s="15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9" t="inlineStr">
        <is>
          <t>03/04/2018</t>
        </is>
      </c>
      <c r="B3684" s="8" t="n">
        <v>94.51289204400001</v>
      </c>
      <c r="C3684" s="15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9" t="inlineStr">
        <is>
          <t>04/04/2018</t>
        </is>
      </c>
      <c r="B3685" s="8" t="n">
        <v>95.16628834550001</v>
      </c>
      <c r="C3685" s="15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9" t="inlineStr">
        <is>
          <t>05/04/2018</t>
        </is>
      </c>
      <c r="B3686" s="8" t="n">
        <v>95.50181617600001</v>
      </c>
      <c r="C3686" s="15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9" t="inlineStr">
        <is>
          <t>06/04/2018</t>
        </is>
      </c>
      <c r="B3687" s="8" t="n">
        <v>95.643091052</v>
      </c>
      <c r="C3687" s="15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9" t="inlineStr">
        <is>
          <t>09/04/2018</t>
        </is>
      </c>
      <c r="B3688" s="8" t="n">
        <v>96.1552124775</v>
      </c>
      <c r="C3688" s="15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9" t="inlineStr">
        <is>
          <t>10/04/2018</t>
        </is>
      </c>
      <c r="B3689" s="8" t="n">
        <v>97.0734991715</v>
      </c>
      <c r="C3689" s="15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9" t="inlineStr">
        <is>
          <t>11/04/2018</t>
        </is>
      </c>
      <c r="B3690" s="8" t="n">
        <v>97.232433407</v>
      </c>
      <c r="C3690" s="15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9" t="inlineStr">
        <is>
          <t>12/04/2018</t>
        </is>
      </c>
      <c r="B3691" s="8" t="n">
        <v>97.6032799565</v>
      </c>
      <c r="C3691" s="15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9" t="inlineStr">
        <is>
          <t>13/04/2018</t>
        </is>
      </c>
      <c r="B3692" s="8" t="n">
        <v>96.79094941950001</v>
      </c>
      <c r="C3692" s="15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9" t="inlineStr">
        <is>
          <t>16/04/2018</t>
        </is>
      </c>
      <c r="B3693" s="8" t="n">
        <v>97.2500927665</v>
      </c>
      <c r="C3693" s="15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9" t="inlineStr">
        <is>
          <t>17/04/2018</t>
        </is>
      </c>
      <c r="B3694" s="8" t="n">
        <v>97.6032799565</v>
      </c>
      <c r="C3694" s="15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9" t="inlineStr">
        <is>
          <t>18/04/2018</t>
        </is>
      </c>
      <c r="B3695" s="8" t="n">
        <v>97.4266863615</v>
      </c>
      <c r="C3695" s="15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9" t="inlineStr">
        <is>
          <t>19/04/2018</t>
        </is>
      </c>
      <c r="B3696" s="8" t="n">
        <v>97.8858297085</v>
      </c>
      <c r="C3696" s="15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9" t="inlineStr">
        <is>
          <t>20/04/2018</t>
        </is>
      </c>
      <c r="B3697" s="8" t="n">
        <v>98.60986344800001</v>
      </c>
      <c r="C3697" s="15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9" t="inlineStr">
        <is>
          <t>23/04/2018</t>
        </is>
      </c>
      <c r="B3698" s="8" t="n">
        <v>98.85709448099999</v>
      </c>
      <c r="C3698" s="15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9" t="inlineStr">
        <is>
          <t>24/04/2018</t>
        </is>
      </c>
      <c r="B3699" s="8" t="n">
        <v>98.53922600999999</v>
      </c>
      <c r="C3699" s="15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9" t="inlineStr">
        <is>
          <t>25/04/2018</t>
        </is>
      </c>
      <c r="B3700" s="8" t="n">
        <v>97.938807787</v>
      </c>
      <c r="C3700" s="15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9" t="inlineStr">
        <is>
          <t>26/04/2018</t>
        </is>
      </c>
      <c r="B3701" s="8" t="n">
        <v>97.0381804525</v>
      </c>
      <c r="C3701" s="15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9" t="inlineStr">
        <is>
          <t>27/04/2018</t>
        </is>
      </c>
      <c r="B3702" s="8" t="n">
        <v>96.8969055765</v>
      </c>
      <c r="C3702" s="15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9" t="inlineStr">
        <is>
          <t>30/04/2018</t>
        </is>
      </c>
      <c r="B3703" s="8" t="n">
        <v>97.32073020449999</v>
      </c>
      <c r="C3703" s="15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9" t="inlineStr">
        <is>
          <t>02/05/2018</t>
        </is>
      </c>
      <c r="B3704" s="8" t="n">
        <v>96.5533928368</v>
      </c>
      <c r="C3704" s="15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9" t="inlineStr">
        <is>
          <t>03/05/2018</t>
        </is>
      </c>
      <c r="B3705" s="8" t="n">
        <v>96.39662203840001</v>
      </c>
      <c r="C3705" s="15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9" t="inlineStr">
        <is>
          <t>04/05/2018</t>
        </is>
      </c>
      <c r="B3706" s="8" t="n">
        <v>96.6927446576</v>
      </c>
      <c r="C3706" s="15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9" t="inlineStr">
        <is>
          <t>07/05/2018</t>
        </is>
      </c>
      <c r="B3707" s="8" t="n">
        <v>97.0062862544</v>
      </c>
      <c r="C3707" s="15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9" t="inlineStr">
        <is>
          <t>08/05/2018</t>
        </is>
      </c>
      <c r="B3708" s="8" t="n">
        <v>96.1875943072</v>
      </c>
      <c r="C3708" s="15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9" t="inlineStr">
        <is>
          <t>09/05/2018</t>
        </is>
      </c>
      <c r="B3709" s="8" t="n">
        <v>95.73470088960001</v>
      </c>
      <c r="C3709" s="15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9" t="inlineStr">
        <is>
          <t>10/05/2018</t>
        </is>
      </c>
      <c r="B3710" s="8" t="n">
        <v>93.6966805104</v>
      </c>
      <c r="C3710" s="15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9" t="inlineStr">
        <is>
          <t>11/05/2018</t>
        </is>
      </c>
      <c r="B3711" s="8" t="n">
        <v>93.29604402560001</v>
      </c>
      <c r="C3711" s="15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9" t="inlineStr">
        <is>
          <t>14/05/2018</t>
        </is>
      </c>
      <c r="B3712" s="8" t="n">
        <v>91.76317399680001</v>
      </c>
      <c r="C3712" s="15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9" t="inlineStr">
        <is>
          <t>15/05/2018</t>
        </is>
      </c>
      <c r="B3713" s="8" t="n">
        <v>92.581865944</v>
      </c>
      <c r="C3713" s="15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9" t="inlineStr">
        <is>
          <t>16/05/2018</t>
        </is>
      </c>
      <c r="B3714" s="8" t="n">
        <v>92.4425141232</v>
      </c>
      <c r="C3714" s="15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9" t="inlineStr">
        <is>
          <t>17/05/2018</t>
        </is>
      </c>
      <c r="B3715" s="8" t="n">
        <v>93.66184255520001</v>
      </c>
      <c r="C3715" s="15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9" t="inlineStr">
        <is>
          <t>18/05/2018</t>
        </is>
      </c>
      <c r="B3716" s="8" t="n">
        <v>93.38313891360001</v>
      </c>
      <c r="C3716" s="15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9" t="inlineStr">
        <is>
          <t>21/05/2018</t>
        </is>
      </c>
      <c r="B3717" s="8" t="n">
        <v>92.3380002576</v>
      </c>
      <c r="C3717" s="15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9" t="inlineStr">
        <is>
          <t>22/05/2018</t>
        </is>
      </c>
      <c r="B3718" s="8" t="n">
        <v>92.05929661600001</v>
      </c>
      <c r="C3718" s="15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9" t="inlineStr">
        <is>
          <t>23/05/2018</t>
        </is>
      </c>
      <c r="B3719" s="8" t="n">
        <v>93.53990971200001</v>
      </c>
      <c r="C3719" s="15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9" t="inlineStr">
        <is>
          <t>24/05/2018</t>
        </is>
      </c>
      <c r="B3720" s="8" t="n">
        <v>94.75923814400001</v>
      </c>
      <c r="C3720" s="15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9" t="inlineStr">
        <is>
          <t>25/05/2018</t>
        </is>
      </c>
      <c r="B3721" s="8" t="n">
        <v>94.8114950768</v>
      </c>
      <c r="C3721" s="15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9" t="inlineStr">
        <is>
          <t>28/05/2018</t>
        </is>
      </c>
      <c r="B3722" s="8" t="n">
        <v>94.8114950768</v>
      </c>
      <c r="C3722" s="15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9" t="inlineStr">
        <is>
          <t>29/05/2018</t>
        </is>
      </c>
      <c r="B3723" s="8" t="n">
        <v>96.5533928368</v>
      </c>
      <c r="C3723" s="15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9" t="inlineStr">
        <is>
          <t>30/05/2018</t>
        </is>
      </c>
      <c r="B3724" s="8" t="n">
        <v>97.0759621648</v>
      </c>
      <c r="C3724" s="15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9" t="inlineStr">
        <is>
          <t>01/06/2018</t>
        </is>
      </c>
      <c r="B3725" s="8" t="n">
        <v>96.09762820200001</v>
      </c>
      <c r="C3725" s="15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9" t="inlineStr">
        <is>
          <t>04/06/2018</t>
        </is>
      </c>
      <c r="B3726" s="8" t="n">
        <v>98.02984029929999</v>
      </c>
      <c r="C3726" s="15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9" t="inlineStr">
        <is>
          <t>05/06/2018</t>
        </is>
      </c>
      <c r="B3727" s="8" t="n">
        <v>97.4826651921</v>
      </c>
      <c r="C3727" s="15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9" t="inlineStr">
        <is>
          <t>06/06/2018</t>
        </is>
      </c>
      <c r="B3728" s="8" t="n">
        <v>96.5764064208</v>
      </c>
      <c r="C3728" s="15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9" t="inlineStr">
        <is>
          <t>07/06/2018</t>
        </is>
      </c>
      <c r="B3729" s="8" t="n">
        <v>97.5339628584</v>
      </c>
      <c r="C3729" s="15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9" t="inlineStr">
        <is>
          <t>08/06/2018</t>
        </is>
      </c>
      <c r="B3730" s="8" t="n">
        <v>98.2863286308</v>
      </c>
      <c r="C3730" s="15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9" t="inlineStr">
        <is>
          <t>11/06/2018</t>
        </is>
      </c>
      <c r="B3731" s="8" t="n">
        <v>99.9278539524</v>
      </c>
      <c r="C3731" s="15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9" t="inlineStr">
        <is>
          <t>12/06/2018</t>
        </is>
      </c>
      <c r="B3732" s="8" t="n">
        <v>98.6283130728</v>
      </c>
      <c r="C3732" s="15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9" t="inlineStr">
        <is>
          <t>13/06/2018</t>
        </is>
      </c>
      <c r="B3733" s="8" t="n">
        <v>99.17548818</v>
      </c>
      <c r="C3733" s="15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9" t="inlineStr">
        <is>
          <t>14/06/2018</t>
        </is>
      </c>
      <c r="B3734" s="8" t="n">
        <v>98.7480076275</v>
      </c>
      <c r="C3734" s="15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9" t="inlineStr">
        <is>
          <t>15/06/2018</t>
        </is>
      </c>
      <c r="B3735" s="8" t="n">
        <v>99.17548818</v>
      </c>
      <c r="C3735" s="15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9" t="inlineStr">
        <is>
          <t>18/06/2018</t>
        </is>
      </c>
      <c r="B3736" s="8" t="n">
        <v>100.030449285</v>
      </c>
      <c r="C3736" s="15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9" t="inlineStr">
        <is>
          <t>19/06/2018</t>
        </is>
      </c>
      <c r="B3737" s="8" t="n">
        <v>99.70556406510001</v>
      </c>
      <c r="C3737" s="15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9" t="inlineStr">
        <is>
          <t>20/06/2018</t>
        </is>
      </c>
      <c r="B3738" s="8" t="n">
        <v>98.13243563189999</v>
      </c>
      <c r="C3738" s="15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9" t="inlineStr">
        <is>
          <t>21/06/2018</t>
        </is>
      </c>
      <c r="B3739" s="8" t="n">
        <v>97.9956418551</v>
      </c>
      <c r="C3739" s="15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9" t="inlineStr">
        <is>
          <t>22/06/2018</t>
        </is>
      </c>
      <c r="B3740" s="8" t="n">
        <v>99.5003733999</v>
      </c>
      <c r="C3740" s="15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9" t="inlineStr">
        <is>
          <t>25/06/2018</t>
        </is>
      </c>
      <c r="B3741" s="8" t="n">
        <v>100.7828150574</v>
      </c>
      <c r="C3741" s="15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9" t="inlineStr">
        <is>
          <t>26/06/2018</t>
        </is>
      </c>
      <c r="B3742" s="8" t="n">
        <v>99.73976250929999</v>
      </c>
      <c r="C3742" s="15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9" t="inlineStr">
        <is>
          <t>27/06/2018</t>
        </is>
      </c>
      <c r="B3743" s="8" t="n">
        <v>100.5263267259</v>
      </c>
      <c r="C3743" s="15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9" t="inlineStr">
        <is>
          <t>28/06/2018</t>
        </is>
      </c>
      <c r="B3744" s="8" t="n">
        <v>99.6200679546</v>
      </c>
      <c r="C3744" s="15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9" t="inlineStr">
        <is>
          <t>29/06/2018</t>
        </is>
      </c>
      <c r="B3745" s="8" t="n">
        <v>99.859457064</v>
      </c>
      <c r="C3745" s="15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9" t="inlineStr">
        <is>
          <t>02/07/2018</t>
        </is>
      </c>
      <c r="B3746" s="8" t="n">
        <v>99.5909326444</v>
      </c>
      <c r="C3746" s="15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9" t="inlineStr">
        <is>
          <t>03/07/2018</t>
        </is>
      </c>
      <c r="B3747" s="8" t="n">
        <v>99.06354642779999</v>
      </c>
      <c r="C3747" s="15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9" t="inlineStr">
        <is>
          <t>04/07/2018</t>
        </is>
      </c>
      <c r="B3748" s="8" t="n">
        <v>98.41707300100001</v>
      </c>
      <c r="C3748" s="15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9" t="inlineStr">
        <is>
          <t>05/07/2018</t>
        </is>
      </c>
      <c r="B3749" s="8" t="n">
        <v>98.502135294</v>
      </c>
      <c r="C3749" s="15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9" t="inlineStr">
        <is>
          <t>06/07/2018</t>
        </is>
      </c>
      <c r="B3750" s="8" t="n">
        <v>97.1071136888</v>
      </c>
      <c r="C3750" s="15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9" t="inlineStr">
        <is>
          <t>10/07/2018</t>
        </is>
      </c>
      <c r="B3751" s="8" t="n">
        <v>96.4266153448</v>
      </c>
      <c r="C3751" s="15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9" t="inlineStr">
        <is>
          <t>11/07/2018</t>
        </is>
      </c>
      <c r="B3752" s="8" t="n">
        <v>95.55897995620001</v>
      </c>
      <c r="C3752" s="15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9" t="inlineStr">
        <is>
          <t>12/07/2018</t>
        </is>
      </c>
      <c r="B3753" s="8" t="n">
        <v>94.6573196504</v>
      </c>
      <c r="C3753" s="15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9" t="inlineStr">
        <is>
          <t>13/07/2018</t>
        </is>
      </c>
      <c r="B3754" s="8" t="n">
        <v>94.12993343379999</v>
      </c>
      <c r="C3754" s="15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9" t="inlineStr">
        <is>
          <t>16/07/2018</t>
        </is>
      </c>
      <c r="B3755" s="8" t="n">
        <v>92.4797249496</v>
      </c>
      <c r="C3755" s="15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9" t="inlineStr">
        <is>
          <t>17/07/2018</t>
        </is>
      </c>
      <c r="B3756" s="8" t="n">
        <v>92.632837077</v>
      </c>
      <c r="C3756" s="15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9" t="inlineStr">
        <is>
          <t>18/07/2018</t>
        </is>
      </c>
      <c r="B3757" s="8" t="n">
        <v>92.80296166299999</v>
      </c>
      <c r="C3757" s="15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9" t="inlineStr">
        <is>
          <t>19/07/2018</t>
        </is>
      </c>
      <c r="B3758" s="8" t="n">
        <v>91.5610521852</v>
      </c>
      <c r="C3758" s="15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9" t="inlineStr">
        <is>
          <t>20/07/2018</t>
        </is>
      </c>
      <c r="B3759" s="8" t="n">
        <v>91.59507710240001</v>
      </c>
      <c r="C3759" s="15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9" t="inlineStr">
        <is>
          <t>23/07/2018</t>
        </is>
      </c>
      <c r="B3760" s="8" t="n">
        <v>90.8975662998</v>
      </c>
      <c r="C3760" s="15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9" t="inlineStr">
        <is>
          <t>24/07/2018</t>
        </is>
      </c>
      <c r="B3761" s="8" t="n">
        <v>91.10171580299999</v>
      </c>
      <c r="C3761" s="15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9" t="inlineStr">
        <is>
          <t>25/07/2018</t>
        </is>
      </c>
      <c r="B3762" s="8" t="n">
        <v>91.6801393954</v>
      </c>
      <c r="C3762" s="15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9" t="inlineStr">
        <is>
          <t>26/07/2018</t>
        </is>
      </c>
      <c r="B3763" s="8" t="n">
        <v>92.25856298779999</v>
      </c>
      <c r="C3763" s="15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9" t="inlineStr">
        <is>
          <t>27/07/2018</t>
        </is>
      </c>
      <c r="B3764" s="8" t="n">
        <v>89.65565682200001</v>
      </c>
      <c r="C3764" s="15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9" t="inlineStr">
        <is>
          <t>30/07/2018</t>
        </is>
      </c>
      <c r="B3765" s="8" t="n">
        <v>89.8087689494</v>
      </c>
      <c r="C3765" s="15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9" t="inlineStr">
        <is>
          <t>31/07/2018</t>
        </is>
      </c>
      <c r="B3766" s="8" t="n">
        <v>88.9921709366</v>
      </c>
      <c r="C3766" s="15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9" t="inlineStr">
        <is>
          <t>01/08/2018</t>
        </is>
      </c>
      <c r="B3767" s="8" t="n">
        <v>86.6503476968</v>
      </c>
      <c r="C3767" s="15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9" t="inlineStr">
        <is>
          <t>02/08/2018</t>
        </is>
      </c>
      <c r="B3768" s="8" t="n">
        <v>85.400176956</v>
      </c>
      <c r="C3768" s="15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9" t="inlineStr">
        <is>
          <t>03/08/2018</t>
        </is>
      </c>
      <c r="B3769" s="8" t="n">
        <v>85.7718493384</v>
      </c>
      <c r="C3769" s="15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9" t="inlineStr">
        <is>
          <t>06/08/2018</t>
        </is>
      </c>
      <c r="B3770" s="8" t="n">
        <v>87.08959687599999</v>
      </c>
      <c r="C3770" s="15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9" t="inlineStr">
        <is>
          <t>07/08/2018</t>
        </is>
      </c>
      <c r="B3771" s="8" t="n">
        <v>85.3832827568</v>
      </c>
      <c r="C3771" s="15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9" t="inlineStr">
        <is>
          <t>08/08/2018</t>
        </is>
      </c>
      <c r="B3772" s="8" t="n">
        <v>84.639937992</v>
      </c>
      <c r="C3772" s="15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9" t="inlineStr">
        <is>
          <t>09/08/2018</t>
        </is>
      </c>
      <c r="B3773" s="8" t="n">
        <v>85.7718493384</v>
      </c>
      <c r="C3773" s="15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9" t="inlineStr">
        <is>
          <t>10/08/2018</t>
        </is>
      </c>
      <c r="B3774" s="8" t="n">
        <v>85.80563773679999</v>
      </c>
      <c r="C3774" s="15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9" t="inlineStr">
        <is>
          <t>13/08/2018</t>
        </is>
      </c>
      <c r="B3775" s="8" t="n">
        <v>85.41707115520001</v>
      </c>
      <c r="C3775" s="15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9" t="inlineStr">
        <is>
          <t>14/08/2018</t>
        </is>
      </c>
      <c r="B3776" s="8" t="n">
        <v>84.470996</v>
      </c>
      <c r="C3776" s="15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9" t="inlineStr">
        <is>
          <t>15/08/2018</t>
        </is>
      </c>
      <c r="B3777" s="8" t="n">
        <v>84.89335097999999</v>
      </c>
      <c r="C3777" s="15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9" t="inlineStr">
        <is>
          <t>16/08/2018</t>
        </is>
      </c>
      <c r="B3778" s="8" t="n">
        <v>84.20068881280001</v>
      </c>
      <c r="C3778" s="15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9" t="inlineStr">
        <is>
          <t>17/08/2018</t>
        </is>
      </c>
      <c r="B3779" s="8" t="n">
        <v>84.133112016</v>
      </c>
      <c r="C3779" s="15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9" t="inlineStr">
        <is>
          <t>20/08/2018</t>
        </is>
      </c>
      <c r="B3780" s="8" t="n">
        <v>85.3832827568</v>
      </c>
      <c r="C3780" s="15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9" t="inlineStr">
        <is>
          <t>21/08/2018</t>
        </is>
      </c>
      <c r="B3781" s="8" t="n">
        <v>84.7581973864</v>
      </c>
      <c r="C3781" s="15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9" t="inlineStr">
        <is>
          <t>22/08/2018</t>
        </is>
      </c>
      <c r="B3782" s="8" t="n">
        <v>86.16041591999999</v>
      </c>
      <c r="C3782" s="15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9" t="inlineStr">
        <is>
          <t>23/08/2018</t>
        </is>
      </c>
      <c r="B3783" s="8" t="n">
        <v>87.46126925840001</v>
      </c>
      <c r="C3783" s="15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9" t="inlineStr">
        <is>
          <t>24/08/2018</t>
        </is>
      </c>
      <c r="B3784" s="8" t="n">
        <v>88.61007480400001</v>
      </c>
      <c r="C3784" s="15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9" t="inlineStr">
        <is>
          <t>27/08/2018</t>
        </is>
      </c>
      <c r="B3785" s="8" t="n">
        <v>89.6575151544</v>
      </c>
      <c r="C3785" s="15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9" t="inlineStr">
        <is>
          <t>28/08/2018</t>
        </is>
      </c>
      <c r="B3786" s="8" t="n">
        <v>90.8570032976</v>
      </c>
      <c r="C3786" s="15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9" t="inlineStr">
        <is>
          <t>29/08/2018</t>
        </is>
      </c>
      <c r="B3787" s="8" t="n">
        <v>92.32679862799999</v>
      </c>
      <c r="C3787" s="15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9" t="inlineStr">
        <is>
          <t>30/08/2018</t>
        </is>
      </c>
      <c r="B3788" s="8" t="n">
        <v>92.2254334328</v>
      </c>
      <c r="C3788" s="15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9" t="inlineStr">
        <is>
          <t>31/08/2018</t>
        </is>
      </c>
      <c r="B3789" s="8" t="n">
        <v>93.7121229624</v>
      </c>
      <c r="C3789" s="15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9" t="inlineStr">
        <is>
          <t>03/09/2018</t>
        </is>
      </c>
      <c r="B3790" s="8" t="n">
        <v>93.357424842</v>
      </c>
      <c r="C3790" s="15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9" t="inlineStr">
        <is>
          <t>04/09/2018</t>
        </is>
      </c>
      <c r="B3791" s="8" t="n">
        <v>94.17284619980001</v>
      </c>
      <c r="C3791" s="15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9" t="inlineStr">
        <is>
          <t>05/09/2018</t>
        </is>
      </c>
      <c r="B3792" s="8" t="n">
        <v>95.5707113846</v>
      </c>
      <c r="C3792" s="15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9" t="inlineStr">
        <is>
          <t>06/09/2018</t>
        </is>
      </c>
      <c r="B3793" s="8" t="n">
        <v>95.936818933</v>
      </c>
      <c r="C3793" s="15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9" t="inlineStr">
        <is>
          <t>10/09/2018</t>
        </is>
      </c>
      <c r="B3794" s="8" t="n">
        <v>97.9004866926</v>
      </c>
      <c r="C3794" s="15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9" t="inlineStr">
        <is>
          <t>11/09/2018</t>
        </is>
      </c>
      <c r="B3795" s="8" t="n">
        <v>98.89896182460001</v>
      </c>
      <c r="C3795" s="15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9" t="inlineStr">
        <is>
          <t>12/09/2018</t>
        </is>
      </c>
      <c r="B3796" s="8" t="n">
        <v>99.01545059</v>
      </c>
      <c r="C3796" s="15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9" t="inlineStr">
        <is>
          <t>13/09/2018</t>
        </is>
      </c>
      <c r="B3797" s="8" t="n">
        <v>101.0290421062</v>
      </c>
      <c r="C3797" s="15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9" t="inlineStr">
        <is>
          <t>14/09/2018</t>
        </is>
      </c>
      <c r="B3798" s="8" t="n">
        <v>102.5267548042</v>
      </c>
      <c r="C3798" s="15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9" t="inlineStr">
        <is>
          <t>17/09/2018</t>
        </is>
      </c>
      <c r="B3799" s="8" t="n">
        <v>105.1560726518</v>
      </c>
      <c r="C3799" s="15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9" t="inlineStr">
        <is>
          <t>18/09/2018</t>
        </is>
      </c>
      <c r="B3800" s="8" t="n">
        <v>104.9064538688</v>
      </c>
      <c r="C3800" s="15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9" t="inlineStr">
        <is>
          <t>19/09/2018</t>
        </is>
      </c>
      <c r="B3801" s="8" t="n">
        <v>105.0229426342</v>
      </c>
      <c r="C3801" s="15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9" t="inlineStr">
        <is>
          <t>20/09/2018</t>
        </is>
      </c>
      <c r="B3802" s="8" t="n">
        <v>104.2907275374</v>
      </c>
      <c r="C3802" s="15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9" t="inlineStr">
        <is>
          <t>21/09/2018</t>
        </is>
      </c>
      <c r="B3803" s="8" t="n">
        <v>103.4586649274</v>
      </c>
      <c r="C3803" s="15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9" t="inlineStr">
        <is>
          <t>24/09/2018</t>
        </is>
      </c>
      <c r="B3804" s="8" t="n">
        <v>102.9427861092</v>
      </c>
      <c r="C3804" s="15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9" t="inlineStr">
        <is>
          <t>25/09/2018</t>
        </is>
      </c>
      <c r="B3805" s="8" t="n">
        <v>103.0259923702</v>
      </c>
      <c r="C3805" s="15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9" t="inlineStr">
        <is>
          <t>26/09/2018</t>
        </is>
      </c>
      <c r="B3806" s="8" t="n">
        <v>103.675001206</v>
      </c>
      <c r="C3806" s="15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9" t="inlineStr">
        <is>
          <t>27/09/2018</t>
        </is>
      </c>
      <c r="B3807" s="8" t="n">
        <v>103.758207467</v>
      </c>
      <c r="C3807" s="15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9" t="inlineStr">
        <is>
          <t>28/09/2018</t>
        </is>
      </c>
      <c r="B3808" s="8" t="n">
        <v>104.2241625286</v>
      </c>
      <c r="C3808" s="15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9" t="inlineStr">
        <is>
          <t>01/10/2018</t>
        </is>
      </c>
      <c r="B3809" s="8" t="n">
        <v>101.9192158185</v>
      </c>
      <c r="C3809" s="15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9" t="inlineStr">
        <is>
          <t>02/10/2018</t>
        </is>
      </c>
      <c r="B3810" s="8" t="n">
        <v>101.506854531</v>
      </c>
      <c r="C3810" s="15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9" t="inlineStr">
        <is>
          <t>03/10/2018</t>
        </is>
      </c>
      <c r="B3811" s="8" t="n">
        <v>101.7542713035</v>
      </c>
      <c r="C3811" s="15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9" t="inlineStr">
        <is>
          <t>04/10/2018</t>
        </is>
      </c>
      <c r="B3812" s="8" t="n">
        <v>102.7109494905</v>
      </c>
      <c r="C3812" s="15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9" t="inlineStr">
        <is>
          <t>05/10/2018</t>
        </is>
      </c>
      <c r="B3813" s="8" t="n">
        <v>104.0964834165</v>
      </c>
      <c r="C3813" s="15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9" t="inlineStr">
        <is>
          <t>08/10/2018</t>
        </is>
      </c>
      <c r="B3814" s="8" t="n">
        <v>104.112977868</v>
      </c>
      <c r="C3814" s="15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9" t="inlineStr">
        <is>
          <t>09/10/2018</t>
        </is>
      </c>
      <c r="B3815" s="8" t="n">
        <v>104.3603946405</v>
      </c>
      <c r="C3815" s="15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9" t="inlineStr">
        <is>
          <t>10/10/2018</t>
        </is>
      </c>
      <c r="B3816" s="8" t="n">
        <v>104.90471154</v>
      </c>
      <c r="C3816" s="15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9" t="inlineStr">
        <is>
          <t>11/10/2018</t>
        </is>
      </c>
      <c r="B3817" s="8" t="n">
        <v>104.9541948945</v>
      </c>
      <c r="C3817" s="15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9" t="inlineStr">
        <is>
          <t>15/10/2018</t>
        </is>
      </c>
      <c r="B3818" s="8" t="n">
        <v>106.3397288205</v>
      </c>
      <c r="C3818" s="15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9" t="inlineStr">
        <is>
          <t>16/10/2018</t>
        </is>
      </c>
      <c r="B3819" s="8" t="n">
        <v>105.9438619845</v>
      </c>
      <c r="C3819" s="15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9" t="inlineStr">
        <is>
          <t>17/10/2018</t>
        </is>
      </c>
      <c r="B3820" s="8" t="n">
        <v>105.6799507605</v>
      </c>
      <c r="C3820" s="15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9" t="inlineStr">
        <is>
          <t>18/10/2018</t>
        </is>
      </c>
      <c r="B3821" s="8" t="n">
        <v>108.0551517765</v>
      </c>
      <c r="C3821" s="15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9" t="inlineStr">
        <is>
          <t>19/10/2018</t>
        </is>
      </c>
      <c r="B3822" s="8" t="n">
        <v>108.698435385</v>
      </c>
      <c r="C3822" s="15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9" t="inlineStr">
        <is>
          <t>22/10/2018</t>
        </is>
      </c>
      <c r="B3823" s="8" t="n">
        <v>108.3850408065</v>
      </c>
      <c r="C3823" s="15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9" t="inlineStr">
        <is>
          <t>23/10/2018</t>
        </is>
      </c>
      <c r="B3824" s="8" t="n">
        <v>106.5376622385</v>
      </c>
      <c r="C3824" s="15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9" t="inlineStr">
        <is>
          <t>24/10/2018</t>
        </is>
      </c>
      <c r="B3825" s="8" t="n">
        <v>108.3190630005</v>
      </c>
      <c r="C3825" s="15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9" t="inlineStr">
        <is>
          <t>25/10/2018</t>
        </is>
      </c>
      <c r="B3826" s="8" t="n">
        <v>110.050980408</v>
      </c>
      <c r="C3826" s="15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9" t="inlineStr">
        <is>
          <t>26/10/2018</t>
        </is>
      </c>
      <c r="B3827" s="8" t="n">
        <v>110.0014970535</v>
      </c>
      <c r="C3827" s="15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9" t="inlineStr">
        <is>
          <t>29/10/2018</t>
        </is>
      </c>
      <c r="B3828" s="8" t="n">
        <v>109.952013699</v>
      </c>
      <c r="C3828" s="15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9" t="inlineStr">
        <is>
          <t>30/10/2018</t>
        </is>
      </c>
      <c r="B3829" s="8" t="n">
        <v>108.830390997</v>
      </c>
      <c r="C3829" s="15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9" t="inlineStr">
        <is>
          <t>31/10/2018</t>
        </is>
      </c>
      <c r="B3830" s="8" t="n">
        <v>108.6819409335</v>
      </c>
      <c r="C3830" s="15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9" t="inlineStr">
        <is>
          <t>01/11/2018</t>
        </is>
      </c>
      <c r="B3831" s="8" t="n">
        <v>109.9464343659</v>
      </c>
      <c r="C3831" s="15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9" t="inlineStr">
        <is>
          <t>05/11/2018</t>
        </is>
      </c>
      <c r="B3832" s="8" t="n">
        <v>109.9298586936</v>
      </c>
      <c r="C3832" s="15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9" t="inlineStr">
        <is>
          <t>06/11/2018</t>
        </is>
      </c>
      <c r="B3833" s="8" t="n">
        <v>110.3442505011</v>
      </c>
      <c r="C3833" s="15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9" t="inlineStr">
        <is>
          <t>07/11/2018</t>
        </is>
      </c>
      <c r="B3834" s="8" t="n">
        <v>111.6205772682</v>
      </c>
      <c r="C3834" s="15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9" t="inlineStr">
        <is>
          <t>08/11/2018</t>
        </is>
      </c>
      <c r="B3835" s="8" t="n">
        <v>112.2504528156</v>
      </c>
      <c r="C3835" s="15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9" t="inlineStr">
        <is>
          <t>09/11/2018</t>
        </is>
      </c>
      <c r="B3836" s="8" t="n">
        <v>112.6482689508</v>
      </c>
      <c r="C3836" s="15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9" t="inlineStr">
        <is>
          <t>12/11/2018</t>
        </is>
      </c>
      <c r="B3837" s="8" t="n">
        <v>111.05700441</v>
      </c>
      <c r="C3837" s="15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9" t="inlineStr">
        <is>
          <t>13/11/2018</t>
        </is>
      </c>
      <c r="B3838" s="8" t="n">
        <v>111.0901557546</v>
      </c>
      <c r="C3838" s="15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9" t="inlineStr">
        <is>
          <t>14/11/2018</t>
        </is>
      </c>
      <c r="B3839" s="8" t="n">
        <v>111.4879718898</v>
      </c>
      <c r="C3839" s="15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9" t="inlineStr">
        <is>
          <t>16/11/2018</t>
        </is>
      </c>
      <c r="B3840" s="8" t="n">
        <v>111.2393368053</v>
      </c>
      <c r="C3840" s="15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9" t="inlineStr">
        <is>
          <t>19/11/2018</t>
        </is>
      </c>
      <c r="B3841" s="8" t="n">
        <v>112.3001798325</v>
      </c>
      <c r="C3841" s="15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9" t="inlineStr">
        <is>
          <t>21/11/2018</t>
        </is>
      </c>
      <c r="B3842" s="8" t="n">
        <v>112.3664825217</v>
      </c>
      <c r="C3842" s="15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9" t="inlineStr">
        <is>
          <t>22/11/2018</t>
        </is>
      </c>
      <c r="B3843" s="8" t="n">
        <v>113.0792364306</v>
      </c>
      <c r="C3843" s="15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9" t="inlineStr">
        <is>
          <t>23/11/2018</t>
        </is>
      </c>
      <c r="B3844" s="8" t="n">
        <v>112.9134797076</v>
      </c>
      <c r="C3844" s="15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9" t="inlineStr">
        <is>
          <t>26/11/2018</t>
        </is>
      </c>
      <c r="B3845" s="8" t="n">
        <v>114.6207739545</v>
      </c>
      <c r="C3845" s="15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9" t="inlineStr">
        <is>
          <t>27/11/2018</t>
        </is>
      </c>
      <c r="B3846" s="8" t="n">
        <v>114.2561091639</v>
      </c>
      <c r="C3846" s="15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9" t="inlineStr">
        <is>
          <t>28/11/2018</t>
        </is>
      </c>
      <c r="B3847" s="8" t="n">
        <v>114.37213887</v>
      </c>
      <c r="C3847" s="15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9" t="inlineStr">
        <is>
          <t>29/11/2018</t>
        </is>
      </c>
      <c r="B3848" s="8" t="n">
        <v>114.2229578193</v>
      </c>
      <c r="C3848" s="15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9" t="inlineStr">
        <is>
          <t>30/11/2018</t>
        </is>
      </c>
      <c r="B3849" s="8" t="n">
        <v>113.5930822719</v>
      </c>
      <c r="C3849" s="15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9" t="inlineStr">
        <is>
          <t>03/12/2018</t>
        </is>
      </c>
      <c r="B3850" s="8" t="n">
        <v>116.2073268335</v>
      </c>
      <c r="C3850" s="15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9" t="inlineStr">
        <is>
          <t>04/12/2018</t>
        </is>
      </c>
      <c r="B3851" s="8" t="n">
        <v>115.2689547639</v>
      </c>
      <c r="C3851" s="15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9" t="inlineStr">
        <is>
          <t>05/12/2018</t>
        </is>
      </c>
      <c r="B3852" s="8" t="n">
        <v>114.8500386614</v>
      </c>
      <c r="C3852" s="15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9" t="inlineStr">
        <is>
          <t>06/12/2018</t>
        </is>
      </c>
      <c r="B3853" s="8" t="n">
        <v>114.5149057794</v>
      </c>
      <c r="C3853" s="15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9" t="inlineStr">
        <is>
          <t>07/12/2018</t>
        </is>
      </c>
      <c r="B3854" s="8" t="n">
        <v>114.7159855086</v>
      </c>
      <c r="C3854" s="15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9" t="inlineStr">
        <is>
          <t>10/12/2018</t>
        </is>
      </c>
      <c r="B3855" s="8" t="n">
        <v>114.615445644</v>
      </c>
      <c r="C3855" s="15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9" t="inlineStr">
        <is>
          <t>11/12/2018</t>
        </is>
      </c>
      <c r="B3856" s="8" t="n">
        <v>114.3305826943</v>
      </c>
      <c r="C3856" s="15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9" t="inlineStr">
        <is>
          <t>12/12/2018</t>
        </is>
      </c>
      <c r="B3857" s="8" t="n">
        <v>115.2186848316</v>
      </c>
      <c r="C3857" s="15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9" t="inlineStr">
        <is>
          <t>13/12/2018</t>
        </is>
      </c>
      <c r="B3858" s="8" t="n">
        <v>114.7997687291</v>
      </c>
      <c r="C3858" s="15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9" t="inlineStr">
        <is>
          <t>14/12/2018</t>
        </is>
      </c>
      <c r="B3859" s="8" t="n">
        <v>115.2019281875</v>
      </c>
      <c r="C3859" s="15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9" t="inlineStr">
        <is>
          <t>17/12/2018</t>
        </is>
      </c>
      <c r="B3860" s="8" t="n">
        <v>115.285711408</v>
      </c>
      <c r="C3860" s="15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9" t="inlineStr">
        <is>
          <t>18/12/2018</t>
        </is>
      </c>
      <c r="B3861" s="8" t="n">
        <v>114.3640959825</v>
      </c>
      <c r="C3861" s="15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9" t="inlineStr">
        <is>
          <t>19/12/2018</t>
        </is>
      </c>
      <c r="B3862" s="8" t="n">
        <v>114.9673351701</v>
      </c>
      <c r="C3862" s="15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9" t="inlineStr">
        <is>
          <t>20/12/2018</t>
        </is>
      </c>
      <c r="B3863" s="8" t="n">
        <v>115.3192246962</v>
      </c>
      <c r="C3863" s="15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9" t="inlineStr">
        <is>
          <t>21/12/2018</t>
        </is>
      </c>
      <c r="B3864" s="8" t="n">
        <v>114.9840918142</v>
      </c>
      <c r="C3864" s="15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9" t="inlineStr">
        <is>
          <t>26/12/2018</t>
        </is>
      </c>
      <c r="B3865" s="8" t="n">
        <v>114.9338218819</v>
      </c>
      <c r="C3865" s="15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9" t="inlineStr">
        <is>
          <t>27/12/2018</t>
        </is>
      </c>
      <c r="B3866" s="8" t="n">
        <v>114.2970694061</v>
      </c>
      <c r="C3866" s="15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9" t="inlineStr">
        <is>
          <t>28/12/2018</t>
        </is>
      </c>
      <c r="B3867" s="8" t="n">
        <v>114.280312762</v>
      </c>
      <c r="C3867" s="15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9" t="inlineStr">
        <is>
          <t>02/01/2019</t>
        </is>
      </c>
      <c r="B3868" s="8" t="n">
        <v>114.2353759148</v>
      </c>
      <c r="C3868" s="15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9" t="inlineStr">
        <is>
          <t>03/01/2019</t>
        </is>
      </c>
      <c r="B3869" s="8" t="n">
        <v>114.77153491</v>
      </c>
      <c r="C3869" s="15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9" t="inlineStr">
        <is>
          <t>04/01/2019</t>
        </is>
      </c>
      <c r="B3870" s="8" t="n">
        <v>114.687760067</v>
      </c>
      <c r="C3870" s="15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9" t="inlineStr">
        <is>
          <t>07/01/2019</t>
        </is>
      </c>
      <c r="B3871" s="8" t="n">
        <v>115.3412038424</v>
      </c>
      <c r="C3871" s="15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9" t="inlineStr">
        <is>
          <t>08/01/2019</t>
        </is>
      </c>
      <c r="B3872" s="8" t="n">
        <v>115.2406740308</v>
      </c>
      <c r="C3872" s="15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9" t="inlineStr">
        <is>
          <t>09/01/2019</t>
        </is>
      </c>
      <c r="B3873" s="8" t="n">
        <v>115.1401442192</v>
      </c>
      <c r="C3873" s="15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9" t="inlineStr">
        <is>
          <t>10/01/2019</t>
        </is>
      </c>
      <c r="B3874" s="8" t="n">
        <v>114.77153491</v>
      </c>
      <c r="C3874" s="15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9" t="inlineStr">
        <is>
          <t>11/01/2019</t>
        </is>
      </c>
      <c r="B3875" s="8" t="n">
        <v>114.9893495018</v>
      </c>
      <c r="C3875" s="15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9" t="inlineStr">
        <is>
          <t>14/01/2019</t>
        </is>
      </c>
      <c r="B3876" s="8" t="n">
        <v>114.9725945332</v>
      </c>
      <c r="C3876" s="15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9" t="inlineStr">
        <is>
          <t>15/01/2019</t>
        </is>
      </c>
      <c r="B3877" s="8" t="n">
        <v>115.3747137796</v>
      </c>
      <c r="C3877" s="15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9" t="inlineStr">
        <is>
          <t>16/01/2019</t>
        </is>
      </c>
      <c r="B3878" s="8" t="n">
        <v>115.693058183</v>
      </c>
      <c r="C3878" s="15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9" t="inlineStr">
        <is>
          <t>17/01/2019</t>
        </is>
      </c>
      <c r="B3879" s="8" t="n">
        <v>114.4867004438</v>
      </c>
      <c r="C3879" s="15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9" t="inlineStr">
        <is>
          <t>18/01/2019</t>
        </is>
      </c>
      <c r="B3880" s="8" t="n">
        <v>115.6763032144</v>
      </c>
      <c r="C3880" s="15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9" t="inlineStr">
        <is>
          <t>21/01/2019</t>
        </is>
      </c>
      <c r="B3881" s="8" t="n">
        <v>115.5590184342</v>
      </c>
      <c r="C3881" s="15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9" t="inlineStr">
        <is>
          <t>22/01/2019</t>
        </is>
      </c>
      <c r="B3882" s="8" t="n">
        <v>115.5925283714</v>
      </c>
      <c r="C3882" s="15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9" t="inlineStr">
        <is>
          <t>23/01/2019</t>
        </is>
      </c>
      <c r="B3883" s="8" t="n">
        <v>115.693058183</v>
      </c>
      <c r="C3883" s="15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9" t="inlineStr">
        <is>
          <t>24/01/2019</t>
        </is>
      </c>
      <c r="B3884" s="8" t="n">
        <v>115.0396144076</v>
      </c>
      <c r="C3884" s="15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9" t="inlineStr">
        <is>
          <t>25/01/2019</t>
        </is>
      </c>
      <c r="B3885" s="8" t="n">
        <v>116.2962370526</v>
      </c>
      <c r="C3885" s="15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9" t="inlineStr">
        <is>
          <t>28/01/2019</t>
        </is>
      </c>
      <c r="B3886" s="8" t="n">
        <v>115.7265681202</v>
      </c>
      <c r="C3886" s="15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9" t="inlineStr">
        <is>
          <t>29/01/2019</t>
        </is>
      </c>
      <c r="B3887" s="8" t="n">
        <v>115.860607869</v>
      </c>
      <c r="C3887" s="15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9" t="inlineStr">
        <is>
          <t>30/01/2019</t>
        </is>
      </c>
      <c r="B3888" s="8" t="n">
        <v>116.1621973038</v>
      </c>
      <c r="C3888" s="15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9" t="inlineStr">
        <is>
          <t>31/01/2019</t>
        </is>
      </c>
      <c r="B3889" s="8" t="n">
        <v>115.9108727748</v>
      </c>
      <c r="C3889" s="15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9" t="inlineStr">
        <is>
          <t>01/02/2019</t>
        </is>
      </c>
      <c r="B3890" s="8" t="n">
        <v>115.813239103</v>
      </c>
      <c r="C3890" s="15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9" t="inlineStr">
        <is>
          <t>04/02/2019</t>
        </is>
      </c>
      <c r="B3891" s="8" t="n">
        <v>116.128806512</v>
      </c>
      <c r="C3891" s="15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9" t="inlineStr">
        <is>
          <t>05/02/2019</t>
        </is>
      </c>
      <c r="B3892" s="8" t="n">
        <v>116.710114897</v>
      </c>
      <c r="C3892" s="15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9" t="inlineStr">
        <is>
          <t>06/02/2019</t>
        </is>
      </c>
      <c r="B3893" s="8" t="n">
        <v>115.76341267</v>
      </c>
      <c r="C3893" s="15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9" t="inlineStr">
        <is>
          <t>07/02/2019</t>
        </is>
      </c>
      <c r="B3894" s="8" t="n">
        <v>116.195241756</v>
      </c>
      <c r="C3894" s="15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9" t="inlineStr">
        <is>
          <t>08/02/2019</t>
        </is>
      </c>
      <c r="B3895" s="8" t="n">
        <v>116.062371268</v>
      </c>
      <c r="C3895" s="15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9" t="inlineStr">
        <is>
          <t>11/02/2019</t>
        </is>
      </c>
      <c r="B3896" s="8" t="n">
        <v>115.879674347</v>
      </c>
      <c r="C3896" s="15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9" t="inlineStr">
        <is>
          <t>12/02/2019</t>
        </is>
      </c>
      <c r="B3897" s="8" t="n">
        <v>116.59385322</v>
      </c>
      <c r="C3897" s="15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9" t="inlineStr">
        <is>
          <t>13/02/2019</t>
        </is>
      </c>
      <c r="B3898" s="8" t="n">
        <v>116.062371268</v>
      </c>
      <c r="C3898" s="15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9" t="inlineStr">
        <is>
          <t>14/02/2019</t>
        </is>
      </c>
      <c r="B3899" s="8" t="n">
        <v>115.198713096</v>
      </c>
      <c r="C3899" s="15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9" t="inlineStr">
        <is>
          <t>15/02/2019</t>
        </is>
      </c>
      <c r="B3900" s="8" t="n">
        <v>113.620876051</v>
      </c>
      <c r="C3900" s="15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9" t="inlineStr">
        <is>
          <t>18/02/2019</t>
        </is>
      </c>
      <c r="B3901" s="8" t="n">
        <v>114.351663735</v>
      </c>
      <c r="C3901" s="15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9" t="inlineStr">
        <is>
          <t>19/02/2019</t>
        </is>
      </c>
      <c r="B3902" s="8" t="n">
        <v>112.026430195</v>
      </c>
      <c r="C3902" s="15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9" t="inlineStr">
        <is>
          <t>20/02/2019</t>
        </is>
      </c>
      <c r="B3903" s="8" t="n">
        <v>111.760689219</v>
      </c>
      <c r="C3903" s="15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9" t="inlineStr">
        <is>
          <t>21/02/2019</t>
        </is>
      </c>
      <c r="B3904" s="8" t="n">
        <v>111.063119157</v>
      </c>
      <c r="C3904" s="15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9" t="inlineStr">
        <is>
          <t>22/02/2019</t>
        </is>
      </c>
      <c r="B3905" s="8" t="n">
        <v>112.209127116</v>
      </c>
      <c r="C3905" s="15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9" t="inlineStr">
        <is>
          <t>25/02/2019</t>
        </is>
      </c>
      <c r="B3906" s="8" t="n">
        <v>111.129554401</v>
      </c>
      <c r="C3906" s="15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9" t="inlineStr">
        <is>
          <t>26/02/2019</t>
        </is>
      </c>
      <c r="B3907" s="8" t="n">
        <v>111.229207267</v>
      </c>
      <c r="C3907" s="15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9" t="inlineStr">
        <is>
          <t>27/02/2019</t>
        </is>
      </c>
      <c r="B3908" s="8" t="n">
        <v>107.409180737</v>
      </c>
      <c r="C3908" s="15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9" t="inlineStr">
        <is>
          <t>28/02/2019</t>
        </is>
      </c>
      <c r="B3909" s="8" t="n">
        <v>109.751023088</v>
      </c>
      <c r="C3909" s="15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9" t="inlineStr">
        <is>
          <t>01/03/2019</t>
        </is>
      </c>
      <c r="B3910" s="8" t="n">
        <v>109.025051168</v>
      </c>
      <c r="C3910" s="15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9" t="inlineStr">
        <is>
          <t>06/03/2019</t>
        </is>
      </c>
      <c r="B3911" s="8" t="n">
        <v>109.582724064</v>
      </c>
      <c r="C3911" s="15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9" t="inlineStr">
        <is>
          <t>07/03/2019</t>
        </is>
      </c>
      <c r="B3912" s="8" t="n">
        <v>110.435635552</v>
      </c>
      <c r="C3912" s="15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9" t="inlineStr">
        <is>
          <t>08/03/2019</t>
        </is>
      </c>
      <c r="B3913" s="8" t="n">
        <v>111.075319168</v>
      </c>
      <c r="C3913" s="15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9" t="inlineStr">
        <is>
          <t>11/03/2019</t>
        </is>
      </c>
      <c r="B3914" s="8" t="n">
        <v>111.5345792</v>
      </c>
      <c r="C3914" s="15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9" t="inlineStr">
        <is>
          <t>12/03/2019</t>
        </is>
      </c>
      <c r="B3915" s="8" t="n">
        <v>112.125056384</v>
      </c>
      <c r="C3915" s="15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9" t="inlineStr">
        <is>
          <t>13/03/2019</t>
        </is>
      </c>
      <c r="B3916" s="8" t="n">
        <v>110.87849344</v>
      </c>
      <c r="C3916" s="15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9" t="inlineStr">
        <is>
          <t>14/03/2019</t>
        </is>
      </c>
      <c r="B3917" s="8" t="n">
        <v>112.387490688</v>
      </c>
      <c r="C3917" s="15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9" t="inlineStr">
        <is>
          <t>15/03/2019</t>
        </is>
      </c>
      <c r="B3918" s="8" t="n">
        <v>113.33881504</v>
      </c>
      <c r="C3918" s="15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9" t="inlineStr">
        <is>
          <t>18/03/2019</t>
        </is>
      </c>
      <c r="B3919" s="8" t="n">
        <v>113.33881504</v>
      </c>
      <c r="C3919" s="15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9" t="inlineStr">
        <is>
          <t>19/03/2019</t>
        </is>
      </c>
      <c r="B3920" s="8" t="n">
        <v>111.69860064</v>
      </c>
      <c r="C3920" s="15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9" t="inlineStr">
        <is>
          <t>20/03/2019</t>
        </is>
      </c>
      <c r="B3921" s="8" t="n">
        <v>110.894895584</v>
      </c>
      <c r="C3921" s="15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9" t="inlineStr">
        <is>
          <t>21/03/2019</t>
        </is>
      </c>
      <c r="B3922" s="8" t="n">
        <v>110.452037696</v>
      </c>
      <c r="C3922" s="15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9" t="inlineStr">
        <is>
          <t>22/03/2019</t>
        </is>
      </c>
      <c r="B3923" s="8" t="n">
        <v>111.37055776</v>
      </c>
      <c r="C3923" s="15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9" t="inlineStr">
        <is>
          <t>25/03/2019</t>
        </is>
      </c>
      <c r="B3924" s="8" t="n">
        <v>110.402831264</v>
      </c>
      <c r="C3924" s="15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9" t="inlineStr">
        <is>
          <t>26/03/2019</t>
        </is>
      </c>
      <c r="B3925" s="8" t="n">
        <v>111.829817792</v>
      </c>
      <c r="C3925" s="15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9" t="inlineStr">
        <is>
          <t>27/03/2019</t>
        </is>
      </c>
      <c r="B3926" s="8" t="n">
        <v>111.61658992</v>
      </c>
      <c r="C3926" s="15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9" t="inlineStr">
        <is>
          <t>28/03/2019</t>
        </is>
      </c>
      <c r="B3927" s="8" t="n">
        <v>111.993839232</v>
      </c>
      <c r="C3927" s="15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9" t="inlineStr">
        <is>
          <t>29/03/2019</t>
        </is>
      </c>
      <c r="B3928" s="8" t="n">
        <v>112.912359296</v>
      </c>
      <c r="C3928" s="15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9" t="inlineStr">
        <is>
          <t>01/04/2019</t>
        </is>
      </c>
      <c r="B3929" s="8" t="n">
        <v>112.4518770881</v>
      </c>
      <c r="C3929" s="15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9" t="inlineStr">
        <is>
          <t>02/04/2019</t>
        </is>
      </c>
      <c r="B3930" s="8" t="n">
        <v>111.3792041747</v>
      </c>
      <c r="C3930" s="15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9" t="inlineStr">
        <is>
          <t>03/04/2019</t>
        </is>
      </c>
      <c r="B3931" s="8" t="n">
        <v>110.7128467588</v>
      </c>
      <c r="C3931" s="15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9" t="inlineStr">
        <is>
          <t>04/04/2019</t>
        </is>
      </c>
      <c r="B3932" s="8" t="n">
        <v>109.9164683837</v>
      </c>
      <c r="C3932" s="15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9" t="inlineStr">
        <is>
          <t>05/04/2019</t>
        </is>
      </c>
      <c r="B3933" s="8" t="n">
        <v>107.104765141</v>
      </c>
      <c r="C3933" s="15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9" t="inlineStr">
        <is>
          <t>08/04/2019</t>
        </is>
      </c>
      <c r="B3934" s="8" t="n">
        <v>107.592343738</v>
      </c>
      <c r="C3934" s="15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9" t="inlineStr">
        <is>
          <t>09/04/2019</t>
        </is>
      </c>
      <c r="B3935" s="8" t="n">
        <v>108.5512483121</v>
      </c>
      <c r="C3935" s="15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9" t="inlineStr">
        <is>
          <t>10/04/2019</t>
        </is>
      </c>
      <c r="B3936" s="8" t="n">
        <v>108.6812692713</v>
      </c>
      <c r="C3936" s="15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9" t="inlineStr">
        <is>
          <t>11/04/2019</t>
        </is>
      </c>
      <c r="B3937" s="8" t="n">
        <v>109.5589107459</v>
      </c>
      <c r="C3937" s="15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9" t="inlineStr">
        <is>
          <t>12/04/2019</t>
        </is>
      </c>
      <c r="B3938" s="8" t="n">
        <v>110.2252681618</v>
      </c>
      <c r="C3938" s="15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9" t="inlineStr">
        <is>
          <t>15/04/2019</t>
        </is>
      </c>
      <c r="B3939" s="8" t="n">
        <v>110.5503205598</v>
      </c>
      <c r="C3939" s="15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9" t="inlineStr">
        <is>
          <t>16/04/2019</t>
        </is>
      </c>
      <c r="B3940" s="8" t="n">
        <v>111.2979410752</v>
      </c>
      <c r="C3940" s="15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9" t="inlineStr">
        <is>
          <t>17/04/2019</t>
        </is>
      </c>
      <c r="B3941" s="8" t="n">
        <v>112.305603509</v>
      </c>
      <c r="C3941" s="15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9" t="inlineStr">
        <is>
          <t>18/04/2019</t>
        </is>
      </c>
      <c r="B3942" s="8" t="n">
        <v>113.4270342821</v>
      </c>
      <c r="C3942" s="15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9" t="inlineStr">
        <is>
          <t>22/04/2019</t>
        </is>
      </c>
      <c r="B3943" s="8" t="n">
        <v>113.0532240244</v>
      </c>
      <c r="C3943" s="15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9" t="inlineStr">
        <is>
          <t>23/04/2019</t>
        </is>
      </c>
      <c r="B3944" s="8" t="n">
        <v>112.7281716264</v>
      </c>
      <c r="C3944" s="15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9" t="inlineStr">
        <is>
          <t>24/04/2019</t>
        </is>
      </c>
      <c r="B3945" s="8" t="n">
        <v>112.6469085269</v>
      </c>
      <c r="C3945" s="15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9" t="inlineStr">
        <is>
          <t>25/04/2019</t>
        </is>
      </c>
      <c r="B3946" s="8" t="n">
        <v>113.5408026214</v>
      </c>
      <c r="C3946" s="15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9" t="inlineStr">
        <is>
          <t>26/04/2019</t>
        </is>
      </c>
      <c r="B3947" s="8" t="n">
        <v>113.0369714045</v>
      </c>
      <c r="C3947" s="15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9" t="inlineStr">
        <is>
          <t>29/04/2019</t>
        </is>
      </c>
      <c r="B3948" s="8" t="n">
        <v>114.1746547975</v>
      </c>
      <c r="C3948" s="15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9" t="inlineStr">
        <is>
          <t>30/04/2019</t>
        </is>
      </c>
      <c r="B3949" s="8" t="n">
        <v>113.5408026214</v>
      </c>
      <c r="C3949" s="15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9" t="inlineStr">
        <is>
          <t>02/05/2019</t>
        </is>
      </c>
      <c r="B3950" s="8" t="n">
        <v>112.9997986272</v>
      </c>
      <c r="C3950" s="15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9" t="inlineStr">
        <is>
          <t>03/05/2019</t>
        </is>
      </c>
      <c r="B3951" s="8" t="n">
        <v>113.744069924</v>
      </c>
      <c r="C3951" s="15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9" t="inlineStr">
        <is>
          <t>06/05/2019</t>
        </is>
      </c>
      <c r="B3952" s="8" t="n">
        <v>114.3427229236</v>
      </c>
      <c r="C3952" s="15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9" t="inlineStr">
        <is>
          <t>07/05/2019</t>
        </is>
      </c>
      <c r="B3953" s="8" t="n">
        <v>114.4236219776</v>
      </c>
      <c r="C3953" s="15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9" t="inlineStr">
        <is>
          <t>08/05/2019</t>
        </is>
      </c>
      <c r="B3954" s="8" t="n">
        <v>114.2780036804</v>
      </c>
      <c r="C3954" s="15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9" t="inlineStr">
        <is>
          <t>09/05/2019</t>
        </is>
      </c>
      <c r="B3955" s="8" t="n">
        <v>113.6955304916</v>
      </c>
      <c r="C3955" s="15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9" t="inlineStr">
        <is>
          <t>10/05/2019</t>
        </is>
      </c>
      <c r="B3956" s="8" t="n">
        <v>114.0029468968</v>
      </c>
      <c r="C3956" s="15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9" t="inlineStr">
        <is>
          <t>13/05/2019</t>
        </is>
      </c>
      <c r="B3957" s="8" t="n">
        <v>115.4753096796</v>
      </c>
      <c r="C3957" s="15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9" t="inlineStr">
        <is>
          <t>14/05/2019</t>
        </is>
      </c>
      <c r="B3958" s="8" t="n">
        <v>115.0060951664</v>
      </c>
      <c r="C3958" s="15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9" t="inlineStr">
        <is>
          <t>15/05/2019</t>
        </is>
      </c>
      <c r="B3959" s="8" t="n">
        <v>114.47216141</v>
      </c>
      <c r="C3959" s="15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9" t="inlineStr">
        <is>
          <t>16/05/2019</t>
        </is>
      </c>
      <c r="B3960" s="8" t="n">
        <v>113.420473708</v>
      </c>
      <c r="C3960" s="15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9" t="inlineStr">
        <is>
          <t>17/05/2019</t>
        </is>
      </c>
      <c r="B3961" s="8" t="n">
        <v>112.5629437356</v>
      </c>
      <c r="C3961" s="15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9" t="inlineStr">
        <is>
          <t>20/05/2019</t>
        </is>
      </c>
      <c r="B3962" s="8" t="n">
        <v>112.8865399516</v>
      </c>
      <c r="C3962" s="15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9" t="inlineStr">
        <is>
          <t>21/05/2019</t>
        </is>
      </c>
      <c r="B3963" s="8" t="n">
        <v>113.2101361676</v>
      </c>
      <c r="C3963" s="15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9" t="inlineStr">
        <is>
          <t>22/05/2019</t>
        </is>
      </c>
      <c r="B3964" s="8" t="n">
        <v>110.6213664396</v>
      </c>
      <c r="C3964" s="15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9" t="inlineStr">
        <is>
          <t>23/05/2019</t>
        </is>
      </c>
      <c r="B3965" s="8" t="n">
        <v>110.4433885208</v>
      </c>
      <c r="C3965" s="15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9" t="inlineStr">
        <is>
          <t>24/05/2019</t>
        </is>
      </c>
      <c r="B3966" s="8" t="n">
        <v>109.3431613864</v>
      </c>
      <c r="C3966" s="15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9" t="inlineStr">
        <is>
          <t>27/05/2019</t>
        </is>
      </c>
      <c r="B3967" s="8" t="n">
        <v>111.155300196</v>
      </c>
      <c r="C3967" s="15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9" t="inlineStr">
        <is>
          <t>28/05/2019</t>
        </is>
      </c>
      <c r="B3968" s="8" t="n">
        <v>108.3400131168</v>
      </c>
      <c r="C3968" s="15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9" t="inlineStr">
        <is>
          <t>29/05/2019</t>
        </is>
      </c>
      <c r="B3969" s="8" t="n">
        <v>105.411467362</v>
      </c>
      <c r="C3969" s="15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9" t="inlineStr">
        <is>
          <t>30/05/2019</t>
        </is>
      </c>
      <c r="B3970" s="8" t="n">
        <v>106.4469752532</v>
      </c>
      <c r="C3970" s="15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9" t="inlineStr">
        <is>
          <t>31/05/2019</t>
        </is>
      </c>
      <c r="B3971" s="8" t="n">
        <v>103.3242717688</v>
      </c>
      <c r="C3971" s="15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9" t="inlineStr">
        <is>
          <t>03/06/2019</t>
        </is>
      </c>
      <c r="B3972" s="8" t="n">
        <v>101.9424388596</v>
      </c>
      <c r="C3972" s="15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9" t="inlineStr">
        <is>
          <t>04/06/2019</t>
        </is>
      </c>
      <c r="B3973" s="8" t="n">
        <v>101.4929996708</v>
      </c>
      <c r="C3973" s="15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9" t="inlineStr">
        <is>
          <t>05/06/2019</t>
        </is>
      </c>
      <c r="B3974" s="8" t="n">
        <v>101.0114576828</v>
      </c>
      <c r="C3974" s="15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9" t="inlineStr">
        <is>
          <t>06/06/2019</t>
        </is>
      </c>
      <c r="B3975" s="8" t="n">
        <v>101.7819248636</v>
      </c>
      <c r="C3975" s="15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9" t="inlineStr">
        <is>
          <t>07/06/2019</t>
        </is>
      </c>
      <c r="B3976" s="8" t="n">
        <v>101.8621818616</v>
      </c>
      <c r="C3976" s="15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9" t="inlineStr">
        <is>
          <t>10/06/2019</t>
        </is>
      </c>
      <c r="B3977" s="8" t="n">
        <v>101.3164342752</v>
      </c>
      <c r="C3977" s="15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9" t="inlineStr">
        <is>
          <t>11/06/2019</t>
        </is>
      </c>
      <c r="B3978" s="8" t="n">
        <v>100.3212475</v>
      </c>
      <c r="C3978" s="15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9" t="inlineStr">
        <is>
          <t>12/06/2019</t>
        </is>
      </c>
      <c r="B3979" s="8" t="n">
        <v>99.3421121244</v>
      </c>
      <c r="C3979" s="15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9" t="inlineStr">
        <is>
          <t>13/06/2019</t>
        </is>
      </c>
      <c r="B3980" s="8" t="n">
        <v>100.1928363032</v>
      </c>
      <c r="C3980" s="15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9" t="inlineStr">
        <is>
          <t>14/06/2019</t>
        </is>
      </c>
      <c r="B3981" s="8" t="n">
        <v>100.1928363032</v>
      </c>
      <c r="C3981" s="15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9" t="inlineStr">
        <is>
          <t>17/06/2019</t>
        </is>
      </c>
      <c r="B3982" s="8" t="n">
        <v>100.9954062832</v>
      </c>
      <c r="C3982" s="15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9" t="inlineStr">
        <is>
          <t>18/06/2019</t>
        </is>
      </c>
      <c r="B3983" s="8" t="n">
        <v>101.4127426728</v>
      </c>
      <c r="C3983" s="15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9" t="inlineStr">
        <is>
          <t>19/06/2019</t>
        </is>
      </c>
      <c r="B3984" s="8" t="n">
        <v>101.2522286768</v>
      </c>
      <c r="C3984" s="15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9" t="inlineStr">
        <is>
          <t>21/06/2019</t>
        </is>
      </c>
      <c r="B3985" s="8" t="n">
        <v>99.4063177228</v>
      </c>
      <c r="C3985" s="15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9" t="inlineStr">
        <is>
          <t>24/06/2019</t>
        </is>
      </c>
      <c r="B3986" s="8" t="n">
        <v>100.7064810904</v>
      </c>
      <c r="C3986" s="15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9" t="inlineStr">
        <is>
          <t>25/06/2019</t>
        </is>
      </c>
      <c r="B3987" s="8" t="n">
        <v>98.8445187368</v>
      </c>
      <c r="C3987" s="15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9" t="inlineStr">
        <is>
          <t>26/06/2019</t>
        </is>
      </c>
      <c r="B3988" s="8" t="n">
        <v>98.2666683512</v>
      </c>
      <c r="C3988" s="15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9" t="inlineStr">
        <is>
          <t>27/06/2019</t>
        </is>
      </c>
      <c r="B3989" s="8" t="n">
        <v>98.68400474079999</v>
      </c>
      <c r="C3989" s="15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9" t="inlineStr">
        <is>
          <t>28/06/2019</t>
        </is>
      </c>
      <c r="B3990" s="8" t="n">
        <v>98.635850542</v>
      </c>
      <c r="C3990" s="15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9" t="inlineStr">
        <is>
          <t>01/07/2019</t>
        </is>
      </c>
      <c r="B3991" s="8" t="n">
        <v>97.6513433784</v>
      </c>
      <c r="C3991" s="15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9" t="inlineStr">
        <is>
          <t>02/07/2019</t>
        </is>
      </c>
      <c r="B3992" s="8" t="n">
        <v>97.98707982419999</v>
      </c>
      <c r="C3992" s="15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9" t="inlineStr">
        <is>
          <t>03/07/2019</t>
        </is>
      </c>
      <c r="B3993" s="8" t="n">
        <v>97.4754814306</v>
      </c>
      <c r="C3993" s="15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9" t="inlineStr">
        <is>
          <t>04/07/2019</t>
        </is>
      </c>
      <c r="B3994" s="8" t="n">
        <v>97.13974498479999</v>
      </c>
      <c r="C3994" s="15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9" t="inlineStr">
        <is>
          <t>05/07/2019</t>
        </is>
      </c>
      <c r="B3995" s="8" t="n">
        <v>96.2284603462</v>
      </c>
      <c r="C3995" s="15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9" t="inlineStr">
        <is>
          <t>08/07/2019</t>
        </is>
      </c>
      <c r="B3996" s="8" t="n">
        <v>95.87673645059999</v>
      </c>
      <c r="C3996" s="15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9" t="inlineStr">
        <is>
          <t>10/07/2019</t>
        </is>
      </c>
      <c r="B3997" s="8" t="n">
        <v>96.2924101454</v>
      </c>
      <c r="C3997" s="15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9" t="inlineStr">
        <is>
          <t>11/07/2019</t>
        </is>
      </c>
      <c r="B3998" s="8" t="n">
        <v>96.66012149079999</v>
      </c>
      <c r="C3998" s="15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9" t="inlineStr">
        <is>
          <t>12/07/2019</t>
        </is>
      </c>
      <c r="B3999" s="8" t="n">
        <v>96.74005873979999</v>
      </c>
      <c r="C3999" s="15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9" t="inlineStr">
        <is>
          <t>15/07/2019</t>
        </is>
      </c>
      <c r="B4000" s="8" t="n">
        <v>96.77203363940001</v>
      </c>
      <c r="C4000" s="15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9" t="inlineStr">
        <is>
          <t>16/07/2019</t>
        </is>
      </c>
      <c r="B4001" s="8" t="n">
        <v>96.3563599446</v>
      </c>
      <c r="C4001" s="15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9" t="inlineStr">
        <is>
          <t>17/07/2019</t>
        </is>
      </c>
      <c r="B4002" s="8" t="n">
        <v>96.1165481976</v>
      </c>
      <c r="C4002" s="15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9" t="inlineStr">
        <is>
          <t>18/07/2019</t>
        </is>
      </c>
      <c r="B4003" s="8" t="n">
        <v>95.9406862498</v>
      </c>
      <c r="C4003" s="15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9" t="inlineStr">
        <is>
          <t>19/07/2019</t>
        </is>
      </c>
      <c r="B4004" s="8" t="n">
        <v>95.4290878562</v>
      </c>
      <c r="C4004" s="15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9" t="inlineStr">
        <is>
          <t>22/07/2019</t>
        </is>
      </c>
      <c r="B4005" s="8" t="n">
        <v>94.3739161694</v>
      </c>
      <c r="C4005" s="15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9" t="inlineStr">
        <is>
          <t>23/07/2019</t>
        </is>
      </c>
      <c r="B4006" s="8" t="n">
        <v>93.65448092839999</v>
      </c>
      <c r="C4006" s="15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9" t="inlineStr">
        <is>
          <t>24/07/2019</t>
        </is>
      </c>
      <c r="B4007" s="8" t="n">
        <v>92.69523394039999</v>
      </c>
      <c r="C4007" s="15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9" t="inlineStr">
        <is>
          <t>25/07/2019</t>
        </is>
      </c>
      <c r="B4008" s="8" t="n">
        <v>92.07172339820001</v>
      </c>
      <c r="C4008" s="15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9" t="inlineStr">
        <is>
          <t>26/07/2019</t>
        </is>
      </c>
      <c r="B4009" s="8" t="n">
        <v>93.28676958299999</v>
      </c>
      <c r="C4009" s="15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9" t="inlineStr">
        <is>
          <t>29/07/2019</t>
        </is>
      </c>
      <c r="B4010" s="8" t="n">
        <v>94.0221922738</v>
      </c>
      <c r="C4010" s="15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9" t="inlineStr">
        <is>
          <t>30/07/2019</t>
        </is>
      </c>
      <c r="B4011" s="8" t="n">
        <v>93.2388072336</v>
      </c>
      <c r="C4011" s="15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9" t="inlineStr">
        <is>
          <t>31/07/2019</t>
        </is>
      </c>
      <c r="B4012" s="8" t="n">
        <v>93.7823805268</v>
      </c>
      <c r="C4012" s="15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9" t="inlineStr">
        <is>
          <t>01/08/2019</t>
        </is>
      </c>
      <c r="B4013" s="8" t="n">
        <v>93.73895847680001</v>
      </c>
      <c r="C4013" s="15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9" t="inlineStr">
        <is>
          <t>02/08/2019</t>
        </is>
      </c>
      <c r="B4014" s="8" t="n">
        <v>94.1735312582</v>
      </c>
      <c r="C4014" s="15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9" t="inlineStr">
        <is>
          <t>05/08/2019</t>
        </is>
      </c>
      <c r="B4015" s="8" t="n">
        <v>95.606011908</v>
      </c>
      <c r="C4015" s="15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9" t="inlineStr">
        <is>
          <t>06/08/2019</t>
        </is>
      </c>
      <c r="B4016" s="8" t="n">
        <v>95.6703930608</v>
      </c>
      <c r="C4016" s="15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9" t="inlineStr">
        <is>
          <t>07/08/2019</t>
        </is>
      </c>
      <c r="B4017" s="8" t="n">
        <v>96.169346995</v>
      </c>
      <c r="C4017" s="15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9" t="inlineStr">
        <is>
          <t>08/08/2019</t>
        </is>
      </c>
      <c r="B4018" s="8" t="n">
        <v>96.00839411299999</v>
      </c>
      <c r="C4018" s="15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9" t="inlineStr">
        <is>
          <t>09/08/2019</t>
        </is>
      </c>
      <c r="B4019" s="8" t="n">
        <v>95.76696479</v>
      </c>
      <c r="C4019" s="15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9" t="inlineStr">
        <is>
          <t>12/08/2019</t>
        </is>
      </c>
      <c r="B4020" s="8" t="n">
        <v>97.32820774539999</v>
      </c>
      <c r="C4020" s="15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9" t="inlineStr">
        <is>
          <t>13/08/2019</t>
        </is>
      </c>
      <c r="B4021" s="8" t="n">
        <v>96.5234433354</v>
      </c>
      <c r="C4021" s="15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9" t="inlineStr">
        <is>
          <t>14/08/2019</t>
        </is>
      </c>
      <c r="B4022" s="8" t="n">
        <v>97.0706831342</v>
      </c>
      <c r="C4022" s="15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9" t="inlineStr">
        <is>
          <t>15/08/2019</t>
        </is>
      </c>
      <c r="B4023" s="8" t="n">
        <v>96.5073480472</v>
      </c>
      <c r="C4023" s="15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9" t="inlineStr">
        <is>
          <t>16/08/2019</t>
        </is>
      </c>
      <c r="B4024" s="8" t="n">
        <v>96.3624904534</v>
      </c>
      <c r="C4024" s="15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9" t="inlineStr">
        <is>
          <t>19/08/2019</t>
        </is>
      </c>
      <c r="B4025" s="8" t="n">
        <v>96.974111405</v>
      </c>
      <c r="C4025" s="15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9" t="inlineStr">
        <is>
          <t>20/08/2019</t>
        </is>
      </c>
      <c r="B4026" s="8" t="n">
        <v>97.0384925578</v>
      </c>
      <c r="C4026" s="15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9" t="inlineStr">
        <is>
          <t>21/08/2019</t>
        </is>
      </c>
      <c r="B4027" s="8" t="n">
        <v>97.1511595752</v>
      </c>
      <c r="C4027" s="15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9" t="inlineStr">
        <is>
          <t>22/08/2019</t>
        </is>
      </c>
      <c r="B4028" s="8" t="n">
        <v>96.330299877</v>
      </c>
      <c r="C4028" s="15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9" t="inlineStr">
        <is>
          <t>23/08/2019</t>
        </is>
      </c>
      <c r="B4029" s="8" t="n">
        <v>97.13506428700001</v>
      </c>
      <c r="C4029" s="15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9" t="inlineStr">
        <is>
          <t>26/08/2019</t>
        </is>
      </c>
      <c r="B4030" s="8" t="n">
        <v>97.939828697</v>
      </c>
      <c r="C4030" s="15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9" t="inlineStr">
        <is>
          <t>27/08/2019</t>
        </is>
      </c>
      <c r="B4031" s="8" t="n">
        <v>97.97201927339999</v>
      </c>
      <c r="C4031" s="15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9" t="inlineStr">
        <is>
          <t>28/08/2019</t>
        </is>
      </c>
      <c r="B4032" s="8" t="n">
        <v>98.100781579</v>
      </c>
      <c r="C4032" s="15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9" t="inlineStr">
        <is>
          <t>29/08/2019</t>
        </is>
      </c>
      <c r="B4033" s="8" t="n">
        <v>98.76068839519999</v>
      </c>
      <c r="C4033" s="15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9" t="inlineStr">
        <is>
          <t>30/08/2019</t>
        </is>
      </c>
      <c r="B4034" s="8" t="n">
        <v>98.59973551319999</v>
      </c>
      <c r="C4034" s="15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9" t="inlineStr">
        <is>
          <t>02/09/2019</t>
        </is>
      </c>
      <c r="B4035" s="8" t="n">
        <v>99.3017631451</v>
      </c>
      <c r="C4035" s="15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9" t="inlineStr">
        <is>
          <t>03/09/2019</t>
        </is>
      </c>
      <c r="B4036" s="8" t="n">
        <v>98.75446861650001</v>
      </c>
      <c r="C4036" s="15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9" t="inlineStr">
        <is>
          <t>04/09/2019</t>
        </is>
      </c>
      <c r="B4037" s="8" t="n">
        <v>98.2393678837</v>
      </c>
      <c r="C4037" s="15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9" t="inlineStr">
        <is>
          <t>05/09/2019</t>
        </is>
      </c>
      <c r="B4038" s="8" t="n">
        <v>96.5813874</v>
      </c>
      <c r="C4038" s="15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9" t="inlineStr">
        <is>
          <t>06/09/2019</t>
        </is>
      </c>
      <c r="B4039" s="8" t="n">
        <v>96.38822462520001</v>
      </c>
      <c r="C4039" s="15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9" t="inlineStr">
        <is>
          <t>09/09/2019</t>
        </is>
      </c>
      <c r="B4040" s="8" t="n">
        <v>97.25745711180001</v>
      </c>
      <c r="C4040" s="15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9" t="inlineStr">
        <is>
          <t>10/09/2019</t>
        </is>
      </c>
      <c r="B4041" s="8" t="n">
        <v>96.83893776639999</v>
      </c>
      <c r="C4041" s="15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9" t="inlineStr">
        <is>
          <t>11/09/2019</t>
        </is>
      </c>
      <c r="B4042" s="8" t="n">
        <v>96.7745501748</v>
      </c>
      <c r="C4042" s="15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9" t="inlineStr">
        <is>
          <t>12/09/2019</t>
        </is>
      </c>
      <c r="B4043" s="8" t="n">
        <v>97.1769726223</v>
      </c>
      <c r="C4043" s="15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9" t="inlineStr">
        <is>
          <t>13/09/2019</t>
        </is>
      </c>
      <c r="B4044" s="8" t="n">
        <v>96.5652905021</v>
      </c>
      <c r="C4044" s="15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9" t="inlineStr">
        <is>
          <t>16/09/2019</t>
        </is>
      </c>
      <c r="B4045" s="8" t="n">
        <v>96.8067439706</v>
      </c>
      <c r="C4045" s="15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9" t="inlineStr">
        <is>
          <t>17/09/2019</t>
        </is>
      </c>
      <c r="B4046" s="8" t="n">
        <v>97.90133302780001</v>
      </c>
      <c r="C4046" s="15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9" t="inlineStr">
        <is>
          <t>18/09/2019</t>
        </is>
      </c>
      <c r="B4047" s="8" t="n">
        <v>98.0140113131</v>
      </c>
      <c r="C4047" s="15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9" t="inlineStr">
        <is>
          <t>19/09/2019</t>
        </is>
      </c>
      <c r="B4048" s="8" t="n">
        <v>97.3540384992</v>
      </c>
      <c r="C4048" s="15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9" t="inlineStr">
        <is>
          <t>20/09/2019</t>
        </is>
      </c>
      <c r="B4049" s="8" t="n">
        <v>98.49691825009999</v>
      </c>
      <c r="C4049" s="15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9" t="inlineStr">
        <is>
          <t>23/09/2019</t>
        </is>
      </c>
      <c r="B4050" s="8" t="n">
        <v>98.52911204590001</v>
      </c>
      <c r="C4050" s="15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9" t="inlineStr">
        <is>
          <t>24/09/2019</t>
        </is>
      </c>
      <c r="B4051" s="8" t="n">
        <v>99.478829022</v>
      </c>
      <c r="C4051" s="15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9" t="inlineStr">
        <is>
          <t>25/09/2019</t>
        </is>
      </c>
      <c r="B4052" s="8" t="n">
        <v>100.0100266527</v>
      </c>
      <c r="C4052" s="15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9" t="inlineStr">
        <is>
          <t>26/09/2019</t>
        </is>
      </c>
      <c r="B4053" s="8" t="n">
        <v>100.7021932624</v>
      </c>
      <c r="C4053" s="15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9" t="inlineStr">
        <is>
          <t>27/09/2019</t>
        </is>
      </c>
      <c r="B4054" s="8" t="n">
        <v>100.8953560372</v>
      </c>
      <c r="C4054" s="15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9" t="inlineStr">
        <is>
          <t>30/09/2019</t>
        </is>
      </c>
      <c r="B4055" s="8" t="n">
        <v>101.41045677</v>
      </c>
      <c r="C4055" s="15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9" t="inlineStr">
        <is>
          <t>01/10/2019</t>
        </is>
      </c>
      <c r="B4056" s="8" t="n">
        <v>101.9406248408</v>
      </c>
      <c r="C4056" s="15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9" t="inlineStr">
        <is>
          <t>02/10/2019</t>
        </is>
      </c>
      <c r="B4057" s="8" t="n">
        <v>102.7560219341</v>
      </c>
      <c r="C4057" s="15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9" t="inlineStr">
        <is>
          <t>03/10/2019</t>
        </is>
      </c>
      <c r="B4058" s="8" t="n">
        <v>103.123750035</v>
      </c>
      <c r="C4058" s="15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9" t="inlineStr">
        <is>
          <t>04/10/2019</t>
        </is>
      </c>
      <c r="B4059" s="8" t="n">
        <v>103.3475845312</v>
      </c>
      <c r="C4059" s="15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9" t="inlineStr">
        <is>
          <t>07/10/2019</t>
        </is>
      </c>
      <c r="B4060" s="8" t="n">
        <v>103.3955490661</v>
      </c>
      <c r="C4060" s="15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9" t="inlineStr">
        <is>
          <t>08/10/2019</t>
        </is>
      </c>
      <c r="B4061" s="8" t="n">
        <v>103.6193835623</v>
      </c>
      <c r="C4061" s="15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9" t="inlineStr">
        <is>
          <t>09/10/2019</t>
        </is>
      </c>
      <c r="B4062" s="8" t="n">
        <v>103.7313008104</v>
      </c>
      <c r="C4062" s="15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9" t="inlineStr">
        <is>
          <t>10/10/2019</t>
        </is>
      </c>
      <c r="B4063" s="8" t="n">
        <v>103.3475845312</v>
      </c>
      <c r="C4063" s="15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9" t="inlineStr">
        <is>
          <t>11/10/2019</t>
        </is>
      </c>
      <c r="B4064" s="8" t="n">
        <v>103.8592062368</v>
      </c>
      <c r="C4064" s="15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9" t="inlineStr">
        <is>
          <t>14/10/2019</t>
        </is>
      </c>
      <c r="B4065" s="8" t="n">
        <v>103.9711234849</v>
      </c>
      <c r="C4065" s="15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9" t="inlineStr">
        <is>
          <t>15/10/2019</t>
        </is>
      </c>
      <c r="B4066" s="8" t="n">
        <v>104.3228634075</v>
      </c>
      <c r="C4066" s="15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9" t="inlineStr">
        <is>
          <t>16/10/2019</t>
        </is>
      </c>
      <c r="B4067" s="8" t="n">
        <v>103.3795608878</v>
      </c>
      <c r="C4067" s="15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9" t="inlineStr">
        <is>
          <t>17/10/2019</t>
        </is>
      </c>
      <c r="B4068" s="8" t="n">
        <v>104.3548397641</v>
      </c>
      <c r="C4068" s="15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9" t="inlineStr">
        <is>
          <t>18/10/2019</t>
        </is>
      </c>
      <c r="B4069" s="8" t="n">
        <v>104.3388515858</v>
      </c>
      <c r="C4069" s="15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9" t="inlineStr">
        <is>
          <t>21/10/2019</t>
        </is>
      </c>
      <c r="B4070" s="8" t="n">
        <v>105.1382605008</v>
      </c>
      <c r="C4070" s="15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9" t="inlineStr">
        <is>
          <t>22/10/2019</t>
        </is>
      </c>
      <c r="B4071" s="8" t="n">
        <v>105.4420358885</v>
      </c>
      <c r="C4071" s="15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9" t="inlineStr">
        <is>
          <t>23/10/2019</t>
        </is>
      </c>
      <c r="B4072" s="8" t="n">
        <v>104.7705323999</v>
      </c>
      <c r="C4072" s="15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9" t="inlineStr">
        <is>
          <t>24/10/2019</t>
        </is>
      </c>
      <c r="B4073" s="8" t="n">
        <v>104.1789698028</v>
      </c>
      <c r="C4073" s="15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9" t="inlineStr">
        <is>
          <t>25/10/2019</t>
        </is>
      </c>
      <c r="B4074" s="8" t="n">
        <v>105.202213214</v>
      </c>
      <c r="C4074" s="15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9" t="inlineStr">
        <is>
          <t>28/10/2019</t>
        </is>
      </c>
      <c r="B4075" s="8" t="n">
        <v>104.9464023612</v>
      </c>
      <c r="C4075" s="15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9" t="inlineStr">
        <is>
          <t>29/10/2019</t>
        </is>
      </c>
      <c r="B4076" s="8" t="n">
        <v>103.9711234849</v>
      </c>
      <c r="C4076" s="15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9" t="inlineStr">
        <is>
          <t>30/10/2019</t>
        </is>
      </c>
      <c r="B4077" s="8" t="n">
        <v>104.242922516</v>
      </c>
      <c r="C4077" s="15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9" t="inlineStr">
        <is>
          <t>31/10/2019</t>
        </is>
      </c>
      <c r="B4078" s="8" t="n">
        <v>104.2589106943</v>
      </c>
      <c r="C4078" s="15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9" t="inlineStr">
        <is>
          <t>01/11/2019</t>
        </is>
      </c>
      <c r="B4079" s="8" t="n">
        <v>104.1064728732</v>
      </c>
      <c r="C4079" s="15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9" t="inlineStr">
        <is>
          <t>04/11/2019</t>
        </is>
      </c>
      <c r="B4080" s="8" t="n">
        <v>104.568743232</v>
      </c>
      <c r="C4080" s="15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9" t="inlineStr">
        <is>
          <t>05/11/2019</t>
        </is>
      </c>
      <c r="B4081" s="8" t="n">
        <v>104.170234302</v>
      </c>
      <c r="C4081" s="15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9" t="inlineStr">
        <is>
          <t>06/11/2019</t>
        </is>
      </c>
      <c r="B4082" s="8" t="n">
        <v>104.8397293044</v>
      </c>
      <c r="C4082" s="15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9" t="inlineStr">
        <is>
          <t>07/11/2019</t>
        </is>
      </c>
      <c r="B4083" s="8" t="n">
        <v>105.126655734</v>
      </c>
      <c r="C4083" s="15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9" t="inlineStr">
        <is>
          <t>08/11/2019</t>
        </is>
      </c>
      <c r="B4084" s="8" t="n">
        <v>105.3817014492</v>
      </c>
      <c r="C4084" s="15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9" t="inlineStr">
        <is>
          <t>11/11/2019</t>
        </is>
      </c>
      <c r="B4085" s="8" t="n">
        <v>104.8397293044</v>
      </c>
      <c r="C4085" s="15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9" t="inlineStr">
        <is>
          <t>12/11/2019</t>
        </is>
      </c>
      <c r="B4086" s="8" t="n">
        <v>105.126655734</v>
      </c>
      <c r="C4086" s="15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9" t="inlineStr">
        <is>
          <t>13/11/2019</t>
        </is>
      </c>
      <c r="B4087" s="8" t="n">
        <v>104.4412203744</v>
      </c>
      <c r="C4087" s="15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9" t="inlineStr">
        <is>
          <t>14/11/2019</t>
        </is>
      </c>
      <c r="B4088" s="8" t="n">
        <v>104.6803257324</v>
      </c>
      <c r="C4088" s="15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9" t="inlineStr">
        <is>
          <t>18/11/2019</t>
        </is>
      </c>
      <c r="B4089" s="8" t="n">
        <v>104.4731010888</v>
      </c>
      <c r="C4089" s="15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9" t="inlineStr">
        <is>
          <t>19/11/2019</t>
        </is>
      </c>
      <c r="B4090" s="8" t="n">
        <v>104.8237889472</v>
      </c>
      <c r="C4090" s="15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9" t="inlineStr">
        <is>
          <t>21/11/2019</t>
        </is>
      </c>
      <c r="B4091" s="8" t="n">
        <v>104.0586518016</v>
      </c>
      <c r="C4091" s="15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9" t="inlineStr">
        <is>
          <t>22/11/2019</t>
        </is>
      </c>
      <c r="B4092" s="8" t="n">
        <v>104.8397293044</v>
      </c>
      <c r="C4092" s="15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9" t="inlineStr">
        <is>
          <t>25/11/2019</t>
        </is>
      </c>
      <c r="B4093" s="8" t="n">
        <v>104.6962660896</v>
      </c>
      <c r="C4093" s="15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9" t="inlineStr">
        <is>
          <t>26/11/2019</t>
        </is>
      </c>
      <c r="B4094" s="8" t="n">
        <v>104.9194310904</v>
      </c>
      <c r="C4094" s="15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9" t="inlineStr">
        <is>
          <t>27/11/2019</t>
        </is>
      </c>
      <c r="B4095" s="8" t="n">
        <v>103.8036060864</v>
      </c>
      <c r="C4095" s="15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9" t="inlineStr">
        <is>
          <t>28/11/2019</t>
        </is>
      </c>
      <c r="B4096" s="8" t="n">
        <v>105.0310135908</v>
      </c>
      <c r="C4096" s="15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9" t="inlineStr">
        <is>
          <t>29/11/2019</t>
        </is>
      </c>
      <c r="B4097" s="8" t="n">
        <v>104.5049818032</v>
      </c>
      <c r="C4097" s="15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9" t="inlineStr">
        <is>
          <t>02/12/2019</t>
        </is>
      </c>
      <c r="B4098" s="8" t="n">
        <v>103.1150151564</v>
      </c>
      <c r="C4098" s="15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9" t="inlineStr">
        <is>
          <t>03/12/2019</t>
        </is>
      </c>
      <c r="B4099" s="8" t="n">
        <v>103.8488742891</v>
      </c>
      <c r="C4099" s="15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9" t="inlineStr">
        <is>
          <t>04/12/2019</t>
        </is>
      </c>
      <c r="B4100" s="8" t="n">
        <v>104.8481718315</v>
      </c>
      <c r="C4100" s="15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9" t="inlineStr">
        <is>
          <t>05/12/2019</t>
        </is>
      </c>
      <c r="B4101" s="8" t="n">
        <v>105.2229084099</v>
      </c>
      <c r="C4101" s="15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9" t="inlineStr">
        <is>
          <t>06/12/2019</t>
        </is>
      </c>
      <c r="B4102" s="8" t="n">
        <v>106.331504121</v>
      </c>
      <c r="C4102" s="15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9" t="inlineStr">
        <is>
          <t>09/12/2019</t>
        </is>
      </c>
      <c r="B4103" s="8" t="n">
        <v>107.3308016634</v>
      </c>
      <c r="C4103" s="15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9" t="inlineStr">
        <is>
          <t>10/12/2019</t>
        </is>
      </c>
      <c r="B4104" s="8" t="n">
        <v>106.4251882656</v>
      </c>
      <c r="C4104" s="15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9" t="inlineStr">
        <is>
          <t>11/12/2019</t>
        </is>
      </c>
      <c r="B4105" s="8" t="n">
        <v>107.7211522659</v>
      </c>
      <c r="C4105" s="15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9" t="inlineStr">
        <is>
          <t>12/12/2019</t>
        </is>
      </c>
      <c r="B4106" s="8" t="n">
        <v>109.9383436881</v>
      </c>
      <c r="C4106" s="15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9" t="inlineStr">
        <is>
          <t>13/12/2019</t>
        </is>
      </c>
      <c r="B4107" s="8" t="n">
        <v>108.8141339529</v>
      </c>
      <c r="C4107" s="15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9" t="inlineStr">
        <is>
          <t>16/12/2019</t>
        </is>
      </c>
      <c r="B4108" s="8" t="n">
        <v>110.2818522183</v>
      </c>
      <c r="C4108" s="15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9" t="inlineStr">
        <is>
          <t>17/12/2019</t>
        </is>
      </c>
      <c r="B4109" s="8" t="n">
        <v>111.0000973269</v>
      </c>
      <c r="C4109" s="15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9" t="inlineStr">
        <is>
          <t>18/12/2019</t>
        </is>
      </c>
      <c r="B4110" s="8" t="n">
        <v>112.6239558333</v>
      </c>
      <c r="C4110" s="15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9" t="inlineStr">
        <is>
          <t>19/12/2019</t>
        </is>
      </c>
      <c r="B4111" s="8" t="n">
        <v>111.8276406042</v>
      </c>
      <c r="C4111" s="15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9" t="inlineStr">
        <is>
          <t>20/12/2019</t>
        </is>
      </c>
      <c r="B4112" s="8" t="n">
        <v>112.8737802189</v>
      </c>
      <c r="C4112" s="15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9" t="inlineStr">
        <is>
          <t>23/12/2019</t>
        </is>
      </c>
      <c r="B4113" s="8" t="n">
        <v>113.826235689</v>
      </c>
      <c r="C4113" s="15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9" t="inlineStr">
        <is>
          <t>26/12/2019</t>
        </is>
      </c>
      <c r="B4114" s="8" t="n">
        <v>115.6374624846</v>
      </c>
      <c r="C4114" s="15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9" t="inlineStr">
        <is>
          <t>27/12/2019</t>
        </is>
      </c>
      <c r="B4115" s="8" t="n">
        <v>115.9809710148</v>
      </c>
      <c r="C4115" s="15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9" t="inlineStr">
        <is>
          <t>30/12/2019</t>
        </is>
      </c>
      <c r="B4116" s="8" t="n">
        <v>114.4039545807</v>
      </c>
      <c r="C4116" s="15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9" t="inlineStr">
        <is>
          <t>02/01/2020</t>
        </is>
      </c>
      <c r="B4117" s="8" t="n">
        <v>112.9872304308</v>
      </c>
      <c r="C4117" s="15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9" t="inlineStr">
        <is>
          <t>03/01/2020</t>
        </is>
      </c>
      <c r="B4118" s="8" t="n">
        <v>114.2770035192</v>
      </c>
      <c r="C4118" s="15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9" t="inlineStr">
        <is>
          <t>06/01/2020</t>
        </is>
      </c>
      <c r="B4119" s="8" t="n">
        <v>114.5411739108</v>
      </c>
      <c r="C4119" s="15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9" t="inlineStr">
        <is>
          <t>07/01/2020</t>
        </is>
      </c>
      <c r="B4120" s="8" t="n">
        <v>114.7742654328</v>
      </c>
      <c r="C4120" s="15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9" t="inlineStr">
        <is>
          <t>08/01/2020</t>
        </is>
      </c>
      <c r="B4121" s="8" t="n">
        <v>113.9662148232</v>
      </c>
      <c r="C4121" s="15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9" t="inlineStr">
        <is>
          <t>09/01/2020</t>
        </is>
      </c>
      <c r="B4122" s="8" t="n">
        <v>112.7075206044</v>
      </c>
      <c r="C4122" s="15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9" t="inlineStr">
        <is>
          <t>10/01/2020</t>
        </is>
      </c>
      <c r="B4123" s="8" t="n">
        <v>112.1481009516</v>
      </c>
      <c r="C4123" s="15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9" t="inlineStr">
        <is>
          <t>13/01/2020</t>
        </is>
      </c>
      <c r="B4124" s="8" t="n">
        <v>112.9250726916</v>
      </c>
      <c r="C4124" s="15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9" t="inlineStr">
        <is>
          <t>14/01/2020</t>
        </is>
      </c>
      <c r="B4125" s="8" t="n">
        <v>113.4689529096</v>
      </c>
      <c r="C4125" s="15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9" t="inlineStr">
        <is>
          <t>15/01/2020</t>
        </is>
      </c>
      <c r="B4126" s="8" t="n">
        <v>114.1216091712</v>
      </c>
      <c r="C4126" s="15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9" t="inlineStr">
        <is>
          <t>16/01/2020</t>
        </is>
      </c>
      <c r="B4127" s="8" t="n">
        <v>113.748662736</v>
      </c>
      <c r="C4127" s="15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9" t="inlineStr">
        <is>
          <t>17/01/2020</t>
        </is>
      </c>
      <c r="B4128" s="8" t="n">
        <v>114.1837669104</v>
      </c>
      <c r="C4128" s="15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9" t="inlineStr">
        <is>
          <t>20/01/2020</t>
        </is>
      </c>
      <c r="B4129" s="8" t="n">
        <v>116.1728145648</v>
      </c>
      <c r="C4129" s="15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9" t="inlineStr">
        <is>
          <t>21/01/2020</t>
        </is>
      </c>
      <c r="B4130" s="8" t="n">
        <v>116.1261962604</v>
      </c>
      <c r="C4130" s="15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9" t="inlineStr">
        <is>
          <t>22/01/2020</t>
        </is>
      </c>
      <c r="B4131" s="8" t="n">
        <v>116.9497863048</v>
      </c>
      <c r="C4131" s="15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9" t="inlineStr">
        <is>
          <t>23/01/2020</t>
        </is>
      </c>
      <c r="B4132" s="8" t="n">
        <v>117.8199946536</v>
      </c>
      <c r="C4132" s="15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9" t="inlineStr">
        <is>
          <t>24/01/2020</t>
        </is>
      </c>
      <c r="B4133" s="8" t="n">
        <v>118.2706382628</v>
      </c>
      <c r="C4133" s="15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9" t="inlineStr">
        <is>
          <t>27/01/2020</t>
        </is>
      </c>
      <c r="B4134" s="8" t="n">
        <v>118.7834396112</v>
      </c>
      <c r="C4134" s="15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9" t="inlineStr">
        <is>
          <t>28/01/2020</t>
        </is>
      </c>
      <c r="B4135" s="8" t="n">
        <v>118.48819035</v>
      </c>
      <c r="C4135" s="15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9" t="inlineStr">
        <is>
          <t>29/01/2020</t>
        </is>
      </c>
      <c r="B4136" s="8" t="n">
        <v>118.4260326108</v>
      </c>
      <c r="C4136" s="15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9" t="inlineStr">
        <is>
          <t>30/01/2020</t>
        </is>
      </c>
      <c r="B4137" s="8" t="n">
        <v>118.565887524</v>
      </c>
      <c r="C4137" s="15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9" t="inlineStr">
        <is>
          <t>31/01/2020</t>
        </is>
      </c>
      <c r="B4138" s="8" t="n">
        <v>117.7422974796</v>
      </c>
      <c r="C4138" s="15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9" t="inlineStr">
        <is>
          <t>03/02/2020</t>
        </is>
      </c>
      <c r="B4139" s="8" t="n">
        <v>117.4163178643</v>
      </c>
      <c r="C4139" s="15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9" t="inlineStr">
        <is>
          <t>04/02/2020</t>
        </is>
      </c>
      <c r="B4140" s="8" t="n">
        <v>118.3179657441</v>
      </c>
      <c r="C4140" s="15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9" t="inlineStr">
        <is>
          <t>05/02/2020</t>
        </is>
      </c>
      <c r="B4141" s="8" t="n">
        <v>119.2507049301</v>
      </c>
      <c r="C4141" s="15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9" t="inlineStr">
        <is>
          <t>06/02/2020</t>
        </is>
      </c>
      <c r="B4142" s="8" t="n">
        <v>119.8103484417</v>
      </c>
      <c r="C4142" s="15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9" t="inlineStr">
        <is>
          <t>07/02/2020</t>
        </is>
      </c>
      <c r="B4143" s="8" t="n">
        <v>119.9813506258</v>
      </c>
      <c r="C4143" s="15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9" t="inlineStr">
        <is>
          <t>10/02/2020</t>
        </is>
      </c>
      <c r="B4144" s="8" t="n">
        <v>120.1989897692</v>
      </c>
      <c r="C4144" s="15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9" t="inlineStr">
        <is>
          <t>11/02/2020</t>
        </is>
      </c>
      <c r="B4145" s="8" t="n">
        <v>119.7948027886</v>
      </c>
      <c r="C4145" s="15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9" t="inlineStr">
        <is>
          <t>12/02/2020</t>
        </is>
      </c>
      <c r="B4146" s="8" t="n">
        <v>119.2973418894</v>
      </c>
      <c r="C4146" s="15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9" t="inlineStr">
        <is>
          <t>13/02/2020</t>
        </is>
      </c>
      <c r="B4147" s="8" t="n">
        <v>119.6393462576</v>
      </c>
      <c r="C4147" s="15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9" t="inlineStr">
        <is>
          <t>14/02/2020</t>
        </is>
      </c>
      <c r="B4148" s="8" t="n">
        <v>121.7846463854</v>
      </c>
      <c r="C4148" s="15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9" t="inlineStr">
        <is>
          <t>17/02/2020</t>
        </is>
      </c>
      <c r="B4149" s="8" t="n">
        <v>121.9245572633</v>
      </c>
      <c r="C4149" s="15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9" t="inlineStr">
        <is>
          <t>18/02/2020</t>
        </is>
      </c>
      <c r="B4150" s="8" t="n">
        <v>123.0127529803</v>
      </c>
      <c r="C4150" s="15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9" t="inlineStr">
        <is>
          <t>19/02/2020</t>
        </is>
      </c>
      <c r="B4151" s="8" t="n">
        <v>124.2564052283</v>
      </c>
      <c r="C4151" s="15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9" t="inlineStr">
        <is>
          <t>20/02/2020</t>
        </is>
      </c>
      <c r="B4152" s="8" t="n">
        <v>125.0336878833</v>
      </c>
      <c r="C4152" s="15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9" t="inlineStr">
        <is>
          <t>21/02/2020</t>
        </is>
      </c>
      <c r="B4153" s="8" t="n">
        <v>125.3756922515</v>
      </c>
      <c r="C4153" s="15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9" t="inlineStr">
        <is>
          <t>26/02/2020</t>
        </is>
      </c>
      <c r="B4154" s="8" t="n">
        <v>126.0597009879</v>
      </c>
      <c r="C4154" s="15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9" t="inlineStr">
        <is>
          <t>27/02/2020</t>
        </is>
      </c>
      <c r="B4155" s="8" t="n">
        <v>125.5622400887</v>
      </c>
      <c r="C4155" s="15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9" t="inlineStr">
        <is>
          <t>28/02/2020</t>
        </is>
      </c>
      <c r="B4156" s="8" t="n">
        <v>125.764333579</v>
      </c>
      <c r="C4156" s="15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9" t="inlineStr">
        <is>
          <t>02/03/2020</t>
        </is>
      </c>
      <c r="B4157" s="8" t="n">
        <v>123.870785616</v>
      </c>
      <c r="C4157" s="15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9" t="inlineStr">
        <is>
          <t>03/03/2020</t>
        </is>
      </c>
      <c r="B4158" s="8" t="n">
        <v>124.853521488</v>
      </c>
      <c r="C4158" s="15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9" t="inlineStr">
        <is>
          <t>04/03/2020</t>
        </is>
      </c>
      <c r="B4159" s="8" t="n">
        <v>124.162535328</v>
      </c>
      <c r="C4159" s="15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9" t="inlineStr">
        <is>
          <t>05/03/2020</t>
        </is>
      </c>
      <c r="B4160" s="8" t="n">
        <v>123.348707184</v>
      </c>
      <c r="C4160" s="15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9" t="inlineStr">
        <is>
          <t>06/03/2020</t>
        </is>
      </c>
      <c r="B4161" s="8" t="n">
        <v>124.239311568</v>
      </c>
      <c r="C4161" s="15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9" t="inlineStr">
        <is>
          <t>09/03/2020</t>
        </is>
      </c>
      <c r="B4162" s="8" t="n">
        <v>123.041602224</v>
      </c>
      <c r="C4162" s="15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9" t="inlineStr">
        <is>
          <t>10/03/2020</t>
        </is>
      </c>
      <c r="B4163" s="8" t="n">
        <v>121.183617216</v>
      </c>
      <c r="C4163" s="15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9" t="inlineStr">
        <is>
          <t>11/03/2020</t>
        </is>
      </c>
      <c r="B4164" s="8" t="n">
        <v>121.84389288</v>
      </c>
      <c r="C4164" s="15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9" t="inlineStr">
        <is>
          <t>12/03/2020</t>
        </is>
      </c>
      <c r="B4165" s="8" t="n">
        <v>122.519523792</v>
      </c>
      <c r="C4165" s="15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9" t="inlineStr">
        <is>
          <t>13/03/2020</t>
        </is>
      </c>
      <c r="B4166" s="8" t="n">
        <v>123.14908896</v>
      </c>
      <c r="C4166" s="15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9" t="inlineStr">
        <is>
          <t>16/03/2020</t>
        </is>
      </c>
      <c r="B4167" s="8" t="n">
        <v>120.369789072</v>
      </c>
      <c r="C4167" s="15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9" t="inlineStr">
        <is>
          <t>17/03/2020</t>
        </is>
      </c>
      <c r="B4168" s="8" t="n">
        <v>119.003172</v>
      </c>
      <c r="C4168" s="15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9" t="inlineStr">
        <is>
          <t>18/03/2020</t>
        </is>
      </c>
      <c r="B4169" s="8" t="n">
        <v>117.62119968</v>
      </c>
      <c r="C4169" s="15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9" t="inlineStr">
        <is>
          <t>19/03/2020</t>
        </is>
      </c>
      <c r="B4170" s="8" t="n">
        <v>118.358251584</v>
      </c>
      <c r="C4170" s="15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9" t="inlineStr">
        <is>
          <t>20/03/2020</t>
        </is>
      </c>
      <c r="B4171" s="8" t="n">
        <v>118.92639576</v>
      </c>
      <c r="C4171" s="15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9" t="inlineStr">
        <is>
          <t>23/03/2020</t>
        </is>
      </c>
      <c r="B4172" s="8" t="n">
        <v>119.340987456</v>
      </c>
      <c r="C4172" s="15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9" t="inlineStr">
        <is>
          <t>24/03/2020</t>
        </is>
      </c>
      <c r="B4173" s="8" t="n">
        <v>119.248855968</v>
      </c>
      <c r="C4173" s="15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9" t="inlineStr">
        <is>
          <t>25/03/2020</t>
        </is>
      </c>
      <c r="B4174" s="8" t="n">
        <v>117.912949392</v>
      </c>
      <c r="C4174" s="15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9" t="inlineStr">
        <is>
          <t>26/03/2020</t>
        </is>
      </c>
      <c r="B4175" s="8" t="n">
        <v>118.450383072</v>
      </c>
      <c r="C4175" s="15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9" t="inlineStr">
        <is>
          <t>27/03/2020</t>
        </is>
      </c>
      <c r="B4176" s="8" t="n">
        <v>117.23731848</v>
      </c>
      <c r="C4176" s="15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9" t="inlineStr">
        <is>
          <t>30/03/2020</t>
        </is>
      </c>
      <c r="B4177" s="8" t="n">
        <v>115.363978224</v>
      </c>
      <c r="C4177" s="15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9" t="inlineStr">
        <is>
          <t>31/03/2020</t>
        </is>
      </c>
      <c r="B4178" s="8" t="n">
        <v>116.147095872</v>
      </c>
      <c r="C4178" s="15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9" t="inlineStr">
        <is>
          <t>01/04/2020</t>
        </is>
      </c>
      <c r="B4179" s="8" t="n">
        <v>116.352564078</v>
      </c>
      <c r="C4179" s="15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9" t="inlineStr">
        <is>
          <t>02/04/2020</t>
        </is>
      </c>
      <c r="B4180" s="8" t="n">
        <v>117.007599461</v>
      </c>
      <c r="C4180" s="15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9" t="inlineStr">
        <is>
          <t>03/04/2020</t>
        </is>
      </c>
      <c r="B4181" s="8" t="n">
        <v>118.439537275</v>
      </c>
      <c r="C4181" s="15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9" t="inlineStr">
        <is>
          <t>06/04/2020</t>
        </is>
      </c>
      <c r="B4182" s="8" t="n">
        <v>120.03904228</v>
      </c>
      <c r="C4182" s="15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9" t="inlineStr">
        <is>
          <t>07/04/2020</t>
        </is>
      </c>
      <c r="B4183" s="8" t="n">
        <v>118.622337847</v>
      </c>
      <c r="C4183" s="15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9" t="inlineStr">
        <is>
          <t>08/04/2020</t>
        </is>
      </c>
      <c r="B4184" s="8" t="n">
        <v>119.947641994</v>
      </c>
      <c r="C4184" s="15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9" t="inlineStr">
        <is>
          <t>09/04/2020</t>
        </is>
      </c>
      <c r="B4185" s="8" t="n">
        <v>119.978108756</v>
      </c>
      <c r="C4185" s="15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9" t="inlineStr">
        <is>
          <t>13/04/2020</t>
        </is>
      </c>
      <c r="B4186" s="8" t="n">
        <v>120.617910758</v>
      </c>
      <c r="C4186" s="15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9" t="inlineStr">
        <is>
          <t>14/04/2020</t>
        </is>
      </c>
      <c r="B4187" s="8" t="n">
        <v>120.663610901</v>
      </c>
      <c r="C4187" s="15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9" t="inlineStr">
        <is>
          <t>15/04/2020</t>
        </is>
      </c>
      <c r="B4188" s="8" t="n">
        <v>119.12503942</v>
      </c>
      <c r="C4188" s="15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9" t="inlineStr">
        <is>
          <t>16/04/2020</t>
        </is>
      </c>
      <c r="B4189" s="8" t="n">
        <v>118.744204895</v>
      </c>
      <c r="C4189" s="15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9" t="inlineStr">
        <is>
          <t>17/04/2020</t>
        </is>
      </c>
      <c r="B4190" s="8" t="n">
        <v>118.744204895</v>
      </c>
      <c r="C4190" s="15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9" t="inlineStr">
        <is>
          <t>20/04/2020</t>
        </is>
      </c>
      <c r="B4191" s="8" t="n">
        <v>117.75403513</v>
      </c>
      <c r="C4191" s="15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9" t="inlineStr">
        <is>
          <t>22/04/2020</t>
        </is>
      </c>
      <c r="B4192" s="8" t="n">
        <v>117.586467939</v>
      </c>
      <c r="C4192" s="15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9" t="inlineStr">
        <is>
          <t>23/04/2020</t>
        </is>
      </c>
      <c r="B4193" s="8" t="n">
        <v>117.2970337</v>
      </c>
      <c r="C4193" s="15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9" t="inlineStr">
        <is>
          <t>24/04/2020</t>
        </is>
      </c>
      <c r="B4194" s="8" t="n">
        <v>116.657231698</v>
      </c>
      <c r="C4194" s="15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9" t="inlineStr">
        <is>
          <t>27/04/2020</t>
        </is>
      </c>
      <c r="B4195" s="8" t="n">
        <v>114.70735893</v>
      </c>
      <c r="C4195" s="15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9" t="inlineStr">
        <is>
          <t>28/04/2020</t>
        </is>
      </c>
      <c r="B4196" s="8" t="n">
        <v>114.646425406</v>
      </c>
      <c r="C4196" s="15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9" t="inlineStr">
        <is>
          <t>29/04/2020</t>
        </is>
      </c>
      <c r="B4197" s="8" t="n">
        <v>115.01202655</v>
      </c>
      <c r="C4197" s="15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9" t="inlineStr">
        <is>
          <t>30/04/2020</t>
        </is>
      </c>
      <c r="B4198" s="8" t="n">
        <v>115.682295314</v>
      </c>
      <c r="C4198" s="15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9" t="inlineStr">
        <is>
          <t>04/05/2020</t>
        </is>
      </c>
      <c r="B4199" s="8" t="n">
        <v>114.7820369096</v>
      </c>
      <c r="C4199" s="15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9" t="inlineStr">
        <is>
          <t>05/05/2020</t>
        </is>
      </c>
      <c r="B4200" s="8" t="n">
        <v>113.5060057952</v>
      </c>
      <c r="C4200" s="15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9" t="inlineStr">
        <is>
          <t>06/05/2020</t>
        </is>
      </c>
      <c r="B4201" s="8" t="n">
        <v>113.7946318806</v>
      </c>
      <c r="C4201" s="15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9" t="inlineStr">
        <is>
          <t>07/05/2020</t>
        </is>
      </c>
      <c r="B4202" s="8" t="n">
        <v>112.3211197604</v>
      </c>
      <c r="C4202" s="15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9" t="inlineStr">
        <is>
          <t>08/05/2020</t>
        </is>
      </c>
      <c r="B4203" s="8" t="n">
        <v>113.4452424088</v>
      </c>
      <c r="C4203" s="15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9" t="inlineStr">
        <is>
          <t>11/05/2020</t>
        </is>
      </c>
      <c r="B4204" s="8" t="n">
        <v>114.0376854262</v>
      </c>
      <c r="C4204" s="15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9" t="inlineStr">
        <is>
          <t>12/05/2020</t>
        </is>
      </c>
      <c r="B4205" s="8" t="n">
        <v>113.5971508748</v>
      </c>
      <c r="C4205" s="15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9" t="inlineStr">
        <is>
          <t>13/05/2020</t>
        </is>
      </c>
      <c r="B4206" s="8" t="n">
        <v>113.17180717</v>
      </c>
      <c r="C4206" s="15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9" t="inlineStr">
        <is>
          <t>14/05/2020</t>
        </is>
      </c>
      <c r="B4207" s="8" t="n">
        <v>112.5793641526</v>
      </c>
      <c r="C4207" s="15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9" t="inlineStr">
        <is>
          <t>15/05/2020</t>
        </is>
      </c>
      <c r="B4208" s="8" t="n">
        <v>112.1388296012</v>
      </c>
      <c r="C4208" s="15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9" t="inlineStr">
        <is>
          <t>18/05/2020</t>
        </is>
      </c>
      <c r="B4209" s="8" t="n">
        <v>111.9261577488</v>
      </c>
      <c r="C4209" s="15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9" t="inlineStr">
        <is>
          <t>19/05/2020</t>
        </is>
      </c>
      <c r="B4210" s="8" t="n">
        <v>111.8502035158</v>
      </c>
      <c r="C4210" s="15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9" t="inlineStr">
        <is>
          <t>20/05/2020</t>
        </is>
      </c>
      <c r="B4211" s="8" t="n">
        <v>113.9009678068</v>
      </c>
      <c r="C4211" s="15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9" t="inlineStr">
        <is>
          <t>21/05/2020</t>
        </is>
      </c>
      <c r="B4212" s="8" t="n">
        <v>114.4326474378</v>
      </c>
      <c r="C4212" s="15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9" t="inlineStr">
        <is>
          <t>22/05/2020</t>
        </is>
      </c>
      <c r="B4213" s="8" t="n">
        <v>113.5363874884</v>
      </c>
      <c r="C4213" s="15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9" t="inlineStr">
        <is>
          <t>25/05/2020</t>
        </is>
      </c>
      <c r="B4214" s="8" t="n">
        <v>113.5363874884</v>
      </c>
      <c r="C4214" s="15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9" t="inlineStr">
        <is>
          <t>26/05/2020</t>
        </is>
      </c>
      <c r="B4215" s="8" t="n">
        <v>113.0654712438</v>
      </c>
      <c r="C4215" s="15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9" t="inlineStr">
        <is>
          <t>27/05/2020</t>
        </is>
      </c>
      <c r="B4216" s="8" t="n">
        <v>114.3415023582</v>
      </c>
      <c r="C4216" s="15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9" t="inlineStr">
        <is>
          <t>28/05/2020</t>
        </is>
      </c>
      <c r="B4217" s="8" t="n">
        <v>115.5415792396</v>
      </c>
      <c r="C4217" s="15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9" t="inlineStr">
        <is>
          <t>29/05/2020</t>
        </is>
      </c>
      <c r="B4218" s="8" t="n">
        <v>116.6505110414</v>
      </c>
      <c r="C4218" s="15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9" t="inlineStr">
        <is>
          <t>01/06/2020</t>
        </is>
      </c>
      <c r="B4219" s="8" t="n">
        <v>114.87367296</v>
      </c>
      <c r="C4219" s="15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9" t="inlineStr">
        <is>
          <t>02/06/2020</t>
        </is>
      </c>
      <c r="B4220" s="8" t="n">
        <v>113.9911798995</v>
      </c>
      <c r="C4220" s="15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9" t="inlineStr">
        <is>
          <t>03/06/2020</t>
        </is>
      </c>
      <c r="B4221" s="8" t="n">
        <v>113.2133894055</v>
      </c>
      <c r="C4221" s="15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9" t="inlineStr">
        <is>
          <t>04/06/2020</t>
        </is>
      </c>
      <c r="B4222" s="8" t="n">
        <v>113.8416048045</v>
      </c>
      <c r="C4222" s="15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9" t="inlineStr">
        <is>
          <t>05/06/2020</t>
        </is>
      </c>
      <c r="B4223" s="8" t="n">
        <v>115.6664209635</v>
      </c>
      <c r="C4223" s="15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9" t="inlineStr">
        <is>
          <t>08/06/2020</t>
        </is>
      </c>
      <c r="B4224" s="8" t="n">
        <v>113.706987219</v>
      </c>
      <c r="C4224" s="15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9" t="inlineStr">
        <is>
          <t>09/06/2020</t>
        </is>
      </c>
      <c r="B4225" s="8" t="n">
        <v>115.0681205835</v>
      </c>
      <c r="C4225" s="15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9" t="inlineStr">
        <is>
          <t>10/06/2020</t>
        </is>
      </c>
      <c r="B4226" s="8" t="n">
        <v>114.57452277</v>
      </c>
      <c r="C4226" s="15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9" t="inlineStr">
        <is>
          <t>12/06/2020</t>
        </is>
      </c>
      <c r="B4227" s="8" t="n">
        <v>114.155712504</v>
      </c>
      <c r="C4227" s="15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9" t="inlineStr">
        <is>
          <t>15/06/2020</t>
        </is>
      </c>
      <c r="B4228" s="8" t="n">
        <v>113.2433044245</v>
      </c>
      <c r="C4228" s="15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9" t="inlineStr">
        <is>
          <t>16/06/2020</t>
        </is>
      </c>
      <c r="B4229" s="8" t="n">
        <v>113.5424546145</v>
      </c>
      <c r="C4229" s="15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9" t="inlineStr">
        <is>
          <t>17/06/2020</t>
        </is>
      </c>
      <c r="B4230" s="8" t="n">
        <v>114.1108399755</v>
      </c>
      <c r="C4230" s="15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9" t="inlineStr">
        <is>
          <t>18/06/2020</t>
        </is>
      </c>
      <c r="B4231" s="8" t="n">
        <v>114.395032656</v>
      </c>
      <c r="C4231" s="15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9" t="inlineStr">
        <is>
          <t>19/06/2020</t>
        </is>
      </c>
      <c r="B4232" s="8" t="n">
        <v>114.2305000515</v>
      </c>
      <c r="C4232" s="15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9" t="inlineStr">
        <is>
          <t>22/06/2020</t>
        </is>
      </c>
      <c r="B4233" s="8" t="n">
        <v>114.3202451085</v>
      </c>
      <c r="C4233" s="15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9" t="inlineStr">
        <is>
          <t>23/06/2020</t>
        </is>
      </c>
      <c r="B4234" s="8" t="n">
        <v>114.933502998</v>
      </c>
      <c r="C4234" s="15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9" t="inlineStr">
        <is>
          <t>24/06/2020</t>
        </is>
      </c>
      <c r="B4235" s="8" t="n">
        <v>113.198431896</v>
      </c>
      <c r="C4235" s="15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9" t="inlineStr">
        <is>
          <t>25/06/2020</t>
        </is>
      </c>
      <c r="B4236" s="8" t="n">
        <v>111.8073835125</v>
      </c>
      <c r="C4236" s="15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9" t="inlineStr">
        <is>
          <t>26/06/2020</t>
        </is>
      </c>
      <c r="B4237" s="8" t="n">
        <v>113.7219447285</v>
      </c>
      <c r="C4237" s="15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9" t="inlineStr">
        <is>
          <t>29/06/2020</t>
        </is>
      </c>
      <c r="B4238" s="8" t="n">
        <v>114.245457561</v>
      </c>
      <c r="C4238" s="15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9" t="inlineStr">
        <is>
          <t>30/06/2020</t>
        </is>
      </c>
      <c r="B4239" s="8" t="n">
        <v>113.856562314</v>
      </c>
      <c r="C4239" s="15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9" t="inlineStr">
        <is>
          <t>01/07/2020</t>
        </is>
      </c>
      <c r="B4240" s="8" t="n">
        <v>111.255895732</v>
      </c>
      <c r="C4240" s="15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9" t="inlineStr">
        <is>
          <t>02/07/2020</t>
        </is>
      </c>
      <c r="B4241" s="8" t="n">
        <v>111.914301217</v>
      </c>
      <c r="C4241" s="15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9" t="inlineStr">
        <is>
          <t>03/07/2020</t>
        </is>
      </c>
      <c r="B4242" s="8" t="n">
        <v>111.1973708</v>
      </c>
      <c r="C4242" s="15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9" t="inlineStr">
        <is>
          <t>06/07/2020</t>
        </is>
      </c>
      <c r="B4243" s="8" t="n">
        <v>112.104507246</v>
      </c>
      <c r="C4243" s="15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9" t="inlineStr">
        <is>
          <t>07/07/2020</t>
        </is>
      </c>
      <c r="B4244" s="8" t="n">
        <v>110.846221208</v>
      </c>
      <c r="C4244" s="15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9" t="inlineStr">
        <is>
          <t>08/07/2020</t>
        </is>
      </c>
      <c r="B4245" s="8" t="n">
        <v>112.572706702</v>
      </c>
      <c r="C4245" s="15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9" t="inlineStr">
        <is>
          <t>09/07/2020</t>
        </is>
      </c>
      <c r="B4246" s="8" t="n">
        <v>112.80680643</v>
      </c>
      <c r="C4246" s="15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9" t="inlineStr">
        <is>
          <t>10/07/2020</t>
        </is>
      </c>
      <c r="B4247" s="8" t="n">
        <v>113.040906158</v>
      </c>
      <c r="C4247" s="15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9" t="inlineStr">
        <is>
          <t>13/07/2020</t>
        </is>
      </c>
      <c r="B4248" s="8" t="n">
        <v>113.435949449</v>
      </c>
      <c r="C4248" s="15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9" t="inlineStr">
        <is>
          <t>14/07/2020</t>
        </is>
      </c>
      <c r="B4249" s="8" t="n">
        <v>113.333530818</v>
      </c>
      <c r="C4249" s="15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9" t="inlineStr">
        <is>
          <t>15/07/2020</t>
        </is>
      </c>
      <c r="B4250" s="8" t="n">
        <v>113.084799857</v>
      </c>
      <c r="C4250" s="15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9" t="inlineStr">
        <is>
          <t>16/07/2020</t>
        </is>
      </c>
      <c r="B4251" s="8" t="n">
        <v>113.860255206</v>
      </c>
      <c r="C4251" s="15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9" t="inlineStr">
        <is>
          <t>17/07/2020</t>
        </is>
      </c>
      <c r="B4252" s="8" t="n">
        <v>112.997012459</v>
      </c>
      <c r="C4252" s="15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9" t="inlineStr">
        <is>
          <t>20/07/2020</t>
        </is>
      </c>
      <c r="B4253" s="8" t="n">
        <v>112.719019032</v>
      </c>
      <c r="C4253" s="15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9" t="inlineStr">
        <is>
          <t>21/07/2020</t>
        </is>
      </c>
      <c r="B4254" s="8" t="n">
        <v>112.95311876</v>
      </c>
      <c r="C4254" s="15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9" t="inlineStr">
        <is>
          <t>22/07/2020</t>
        </is>
      </c>
      <c r="B4255" s="8" t="n">
        <v>113.83099274</v>
      </c>
      <c r="C4255" s="15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9" t="inlineStr">
        <is>
          <t>23/07/2020</t>
        </is>
      </c>
      <c r="B4256" s="8" t="n">
        <v>114.035830002</v>
      </c>
      <c r="C4256" s="15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9" t="inlineStr">
        <is>
          <t>24/07/2020</t>
        </is>
      </c>
      <c r="B4257" s="8" t="n">
        <v>114.840547817</v>
      </c>
      <c r="C4257" s="15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9" t="inlineStr">
        <is>
          <t>27/07/2020</t>
        </is>
      </c>
      <c r="B4258" s="8" t="n">
        <v>114.635710555</v>
      </c>
      <c r="C4258" s="15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9" t="inlineStr">
        <is>
          <t>28/07/2020</t>
        </is>
      </c>
      <c r="B4259" s="8" t="n">
        <v>114.211404798</v>
      </c>
      <c r="C4259" s="15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9" t="inlineStr">
        <is>
          <t>29/07/2020</t>
        </is>
      </c>
      <c r="B4260" s="8" t="n">
        <v>114.884441516</v>
      </c>
      <c r="C4260" s="15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9" t="inlineStr">
        <is>
          <t>30/07/2020</t>
        </is>
      </c>
      <c r="B4261" s="8" t="n">
        <v>114.108986167</v>
      </c>
      <c r="C4261" s="15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9" t="inlineStr">
        <is>
          <t>31/07/2020</t>
        </is>
      </c>
      <c r="B4262" s="8" t="n">
        <v>114.796654118</v>
      </c>
      <c r="C4262" s="15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9" t="inlineStr">
        <is>
          <t>03/08/2020</t>
        </is>
      </c>
      <c r="B4263" s="8" t="n">
        <v>112.4756454624</v>
      </c>
      <c r="C4263" s="15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9" t="inlineStr">
        <is>
          <t>04/08/2020</t>
        </is>
      </c>
      <c r="B4264" s="8" t="n">
        <v>113.3870713056</v>
      </c>
      <c r="C4264" s="15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9" t="inlineStr">
        <is>
          <t>05/08/2020</t>
        </is>
      </c>
      <c r="B4265" s="8" t="n">
        <v>112.1338607712</v>
      </c>
      <c r="C4265" s="15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9" t="inlineStr">
        <is>
          <t>06/08/2020</t>
        </is>
      </c>
      <c r="B4266" s="8" t="n">
        <v>112.7604660384</v>
      </c>
      <c r="C4266" s="15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9" t="inlineStr">
        <is>
          <t>07/08/2020</t>
        </is>
      </c>
      <c r="B4267" s="8" t="n">
        <v>112.7604660384</v>
      </c>
      <c r="C4267" s="15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9" t="inlineStr">
        <is>
          <t>10/08/2020</t>
        </is>
      </c>
      <c r="B4268" s="8" t="n">
        <v>113.2589020464</v>
      </c>
      <c r="C4268" s="15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9" t="inlineStr">
        <is>
          <t>11/08/2020</t>
        </is>
      </c>
      <c r="B4269" s="8" t="n">
        <v>112.8459122112</v>
      </c>
      <c r="C4269" s="15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9" t="inlineStr">
        <is>
          <t>12/08/2020</t>
        </is>
      </c>
      <c r="B4270" s="8" t="n">
        <v>113.8427842272</v>
      </c>
      <c r="C4270" s="15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9" t="inlineStr">
        <is>
          <t>13/08/2020</t>
        </is>
      </c>
      <c r="B4271" s="8" t="n">
        <v>114.5121125808</v>
      </c>
      <c r="C4271" s="15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9" t="inlineStr">
        <is>
          <t>14/08/2020</t>
        </is>
      </c>
      <c r="B4272" s="8" t="n">
        <v>115.9646975184</v>
      </c>
      <c r="C4272" s="15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9" t="inlineStr">
        <is>
          <t>17/08/2020</t>
        </is>
      </c>
      <c r="B4273" s="8" t="n">
        <v>115.138717848</v>
      </c>
      <c r="C4273" s="15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9" t="inlineStr">
        <is>
          <t>18/08/2020</t>
        </is>
      </c>
      <c r="B4274" s="8" t="n">
        <v>116.0928667776</v>
      </c>
      <c r="C4274" s="15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9" t="inlineStr">
        <is>
          <t>19/08/2020</t>
        </is>
      </c>
      <c r="B4275" s="8" t="n">
        <v>116.4631335264</v>
      </c>
      <c r="C4275" s="15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9" t="inlineStr">
        <is>
          <t>20/08/2020</t>
        </is>
      </c>
      <c r="B4276" s="8" t="n">
        <v>117.203667024</v>
      </c>
      <c r="C4276" s="15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9" t="inlineStr">
        <is>
          <t>21/08/2020</t>
        </is>
      </c>
      <c r="B4277" s="8" t="n">
        <v>118.1008518384</v>
      </c>
      <c r="C4277" s="15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9" t="inlineStr">
        <is>
          <t>24/08/2020</t>
        </is>
      </c>
      <c r="B4278" s="8" t="n">
        <v>118.3856724144</v>
      </c>
      <c r="C4278" s="15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9" t="inlineStr">
        <is>
          <t>25/08/2020</t>
        </is>
      </c>
      <c r="B4279" s="8" t="n">
        <v>118.8556263648</v>
      </c>
      <c r="C4279" s="15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9" t="inlineStr">
        <is>
          <t>26/08/2020</t>
        </is>
      </c>
      <c r="B4280" s="8" t="n">
        <v>119.8240163232</v>
      </c>
      <c r="C4280" s="15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9" t="inlineStr">
        <is>
          <t>27/08/2020</t>
        </is>
      </c>
      <c r="B4281" s="8" t="n">
        <v>120.0945958704</v>
      </c>
      <c r="C4281" s="15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9" t="inlineStr">
        <is>
          <t>28/08/2020</t>
        </is>
      </c>
      <c r="B4282" s="8" t="n">
        <v>120.2512471872</v>
      </c>
      <c r="C4282" s="15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9" t="inlineStr">
        <is>
          <t>31/08/2020</t>
        </is>
      </c>
      <c r="B4283" s="8" t="n">
        <v>121.2338781744</v>
      </c>
      <c r="C4283" s="15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9" t="inlineStr">
        <is>
          <t>01/09/2020</t>
        </is>
      </c>
      <c r="B4284" s="8" t="n">
        <v>116.2321265192</v>
      </c>
      <c r="C4284" s="15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9" t="inlineStr">
        <is>
          <t>02/09/2020</t>
        </is>
      </c>
      <c r="B4285" s="8" t="n">
        <v>116.5460460718</v>
      </c>
      <c r="C4285" s="15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9" t="inlineStr">
        <is>
          <t>03/09/2020</t>
        </is>
      </c>
      <c r="B4286" s="8" t="n">
        <v>116.6415868052</v>
      </c>
      <c r="C4286" s="15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9" t="inlineStr">
        <is>
          <t>04/09/2020</t>
        </is>
      </c>
      <c r="B4287" s="8" t="n">
        <v>117.0237497388</v>
      </c>
      <c r="C4287" s="15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9" t="inlineStr">
        <is>
          <t>08/09/2020</t>
        </is>
      </c>
      <c r="B4288" s="8" t="n">
        <v>117.0783444436</v>
      </c>
      <c r="C4288" s="15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9" t="inlineStr">
        <is>
          <t>09/09/2020</t>
        </is>
      </c>
      <c r="B4289" s="8" t="n">
        <v>118.197535892</v>
      </c>
      <c r="C4289" s="15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9" t="inlineStr">
        <is>
          <t>10/09/2020</t>
        </is>
      </c>
      <c r="B4290" s="8" t="n">
        <v>116.7234788624</v>
      </c>
      <c r="C4290" s="15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9" t="inlineStr">
        <is>
          <t>11/09/2020</t>
        </is>
      </c>
      <c r="B4291" s="8" t="n">
        <v>117.37861532</v>
      </c>
      <c r="C4291" s="15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9" t="inlineStr">
        <is>
          <t>14/09/2020</t>
        </is>
      </c>
      <c r="B4292" s="8" t="n">
        <v>117.1465878246</v>
      </c>
      <c r="C4292" s="15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9" t="inlineStr">
        <is>
          <t>15/09/2020</t>
        </is>
      </c>
      <c r="B4293" s="8" t="n">
        <v>117.9655083966</v>
      </c>
      <c r="C4293" s="15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9" t="inlineStr">
        <is>
          <t>16/09/2020</t>
        </is>
      </c>
      <c r="B4294" s="8" t="n">
        <v>118.0337517776</v>
      </c>
      <c r="C4294" s="15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9" t="inlineStr">
        <is>
          <t>17/09/2020</t>
        </is>
      </c>
      <c r="B4295" s="8" t="n">
        <v>117.5969941392</v>
      </c>
      <c r="C4295" s="15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9" t="inlineStr">
        <is>
          <t>18/09/2020</t>
        </is>
      </c>
      <c r="B4296" s="8" t="n">
        <v>118.6479422066</v>
      </c>
      <c r="C4296" s="15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9" t="inlineStr">
        <is>
          <t>21/09/2020</t>
        </is>
      </c>
      <c r="B4297" s="8" t="n">
        <v>117.4741560534</v>
      </c>
      <c r="C4297" s="15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9" t="inlineStr">
        <is>
          <t>22/09/2020</t>
        </is>
      </c>
      <c r="B4298" s="8" t="n">
        <v>117.7471295774</v>
      </c>
      <c r="C4298" s="15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9" t="inlineStr">
        <is>
          <t>23/09/2020</t>
        </is>
      </c>
      <c r="B4299" s="8" t="n">
        <v>118.4295633874</v>
      </c>
      <c r="C4299" s="15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9" t="inlineStr">
        <is>
          <t>24/09/2020</t>
        </is>
      </c>
      <c r="B4300" s="8" t="n">
        <v>119.5351061596</v>
      </c>
      <c r="C4300" s="15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9" t="inlineStr">
        <is>
          <t>25/09/2020</t>
        </is>
      </c>
      <c r="B4301" s="8" t="n">
        <v>120.1492965886</v>
      </c>
      <c r="C4301" s="15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9" t="inlineStr">
        <is>
          <t>28/09/2020</t>
        </is>
      </c>
      <c r="B4302" s="8" t="n">
        <v>120.4222701126</v>
      </c>
      <c r="C4302" s="15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9" t="inlineStr">
        <is>
          <t>29/09/2020</t>
        </is>
      </c>
      <c r="B4303" s="8" t="n">
        <v>120.3540267316</v>
      </c>
      <c r="C4303" s="15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9" t="inlineStr">
        <is>
          <t>30/09/2020</t>
        </is>
      </c>
      <c r="B4304" s="8" t="n">
        <v>120.8180817224</v>
      </c>
      <c r="C4304" s="15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9" t="inlineStr">
        <is>
          <t>01/10/2020</t>
        </is>
      </c>
      <c r="B4305" s="8" t="n">
        <v>118.055827122</v>
      </c>
      <c r="C4305" s="15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9" t="inlineStr">
        <is>
          <t>02/10/2020</t>
        </is>
      </c>
      <c r="B4306" s="8" t="n">
        <v>118.359924336</v>
      </c>
      <c r="C4306" s="15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9" t="inlineStr">
        <is>
          <t>05/10/2020</t>
        </is>
      </c>
      <c r="B4307" s="8" t="n">
        <v>117.93683256</v>
      </c>
      <c r="C4307" s="15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9" t="inlineStr">
        <is>
          <t>06/10/2020</t>
        </is>
      </c>
      <c r="B4308" s="8" t="n">
        <v>119.19288627</v>
      </c>
      <c r="C4308" s="15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9" t="inlineStr">
        <is>
          <t>07/10/2020</t>
        </is>
      </c>
      <c r="B4309" s="8" t="n">
        <v>119.311880832</v>
      </c>
      <c r="C4309" s="15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9" t="inlineStr">
        <is>
          <t>08/10/2020</t>
        </is>
      </c>
      <c r="B4310" s="8" t="n">
        <v>119.933296878</v>
      </c>
      <c r="C4310" s="15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9" t="inlineStr">
        <is>
          <t>09/10/2020</t>
        </is>
      </c>
      <c r="B4311" s="8" t="n">
        <v>119.470540248</v>
      </c>
      <c r="C4311" s="15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9" t="inlineStr">
        <is>
          <t>13/10/2020</t>
        </is>
      </c>
      <c r="B4312" s="8" t="n">
        <v>119.549869956</v>
      </c>
      <c r="C4312" s="15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9" t="inlineStr">
        <is>
          <t>14/10/2020</t>
        </is>
      </c>
      <c r="B4313" s="8" t="n">
        <v>120.091956294</v>
      </c>
      <c r="C4313" s="15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9" t="inlineStr">
        <is>
          <t>15/10/2020</t>
        </is>
      </c>
      <c r="B4314" s="8" t="n">
        <v>120.924918228</v>
      </c>
      <c r="C4314" s="15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9" t="inlineStr">
        <is>
          <t>16/10/2020</t>
        </is>
      </c>
      <c r="B4315" s="8" t="n">
        <v>121.255458678</v>
      </c>
      <c r="C4315" s="15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9" t="inlineStr">
        <is>
          <t>19/10/2020</t>
        </is>
      </c>
      <c r="B4316" s="8" t="n">
        <v>122.551177242</v>
      </c>
      <c r="C4316" s="15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9" t="inlineStr">
        <is>
          <t>20/10/2020</t>
        </is>
      </c>
      <c r="B4317" s="8" t="n">
        <v>124.970733336</v>
      </c>
      <c r="C4317" s="15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9" t="inlineStr">
        <is>
          <t>21/10/2020</t>
        </is>
      </c>
      <c r="B4318" s="8" t="n">
        <v>125.34093864</v>
      </c>
      <c r="C4318" s="15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9" t="inlineStr">
        <is>
          <t>22/10/2020</t>
        </is>
      </c>
      <c r="B4319" s="8" t="n">
        <v>126.86142471</v>
      </c>
      <c r="C4319" s="15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9" t="inlineStr">
        <is>
          <t>23/10/2020</t>
        </is>
      </c>
      <c r="B4320" s="8" t="n">
        <v>128.805002556</v>
      </c>
      <c r="C4320" s="15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9" t="inlineStr">
        <is>
          <t>26/10/2020</t>
        </is>
      </c>
      <c r="B4321" s="8" t="n">
        <v>130.841131728</v>
      </c>
      <c r="C4321" s="15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9" t="inlineStr">
        <is>
          <t>27/10/2020</t>
        </is>
      </c>
      <c r="B4322" s="8" t="n">
        <v>131.118785706</v>
      </c>
      <c r="C4322" s="15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9" t="inlineStr">
        <is>
          <t>28/10/2020</t>
        </is>
      </c>
      <c r="B4323" s="8" t="n">
        <v>132.692158248</v>
      </c>
      <c r="C4323" s="15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9" t="inlineStr">
        <is>
          <t>29/10/2020</t>
        </is>
      </c>
      <c r="B4324" s="8" t="n">
        <v>132.731823102</v>
      </c>
      <c r="C4324" s="15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9" t="inlineStr">
        <is>
          <t>30/10/2020</t>
        </is>
      </c>
      <c r="B4325" s="8" t="n">
        <v>133.022698698</v>
      </c>
      <c r="C4325" s="15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9" t="inlineStr">
        <is>
          <t>03/11/2020</t>
        </is>
      </c>
      <c r="B4326" s="8" t="n">
        <v>129.092559606</v>
      </c>
      <c r="C4326" s="15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9" t="inlineStr">
        <is>
          <t>04/11/2020</t>
        </is>
      </c>
      <c r="B4327" s="8" t="n">
        <v>130.782386844</v>
      </c>
      <c r="C4327" s="15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9" t="inlineStr">
        <is>
          <t>05/11/2020</t>
        </is>
      </c>
      <c r="B4328" s="8" t="n">
        <v>130.8976023375</v>
      </c>
      <c r="C4328" s="15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9" t="inlineStr">
        <is>
          <t>06/11/2020</t>
        </is>
      </c>
      <c r="B4329" s="8" t="n">
        <v>132.1265676015</v>
      </c>
      <c r="C4329" s="15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9" t="inlineStr">
        <is>
          <t>09/11/2020</t>
        </is>
      </c>
      <c r="B4330" s="8" t="n">
        <v>132.1521710445</v>
      </c>
      <c r="C4330" s="15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9" t="inlineStr">
        <is>
          <t>10/11/2020</t>
        </is>
      </c>
      <c r="B4331" s="8" t="n">
        <v>133.5091535235</v>
      </c>
      <c r="C4331" s="15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9" t="inlineStr">
        <is>
          <t>11/11/2020</t>
        </is>
      </c>
      <c r="B4332" s="8" t="n">
        <v>134.597299851</v>
      </c>
      <c r="C4332" s="15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9" t="inlineStr">
        <is>
          <t>12/11/2020</t>
        </is>
      </c>
      <c r="B4333" s="8" t="n">
        <v>134.110834434</v>
      </c>
      <c r="C4333" s="15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9" t="inlineStr">
        <is>
          <t>13/11/2020</t>
        </is>
      </c>
      <c r="B4334" s="8" t="n">
        <v>134.597299851</v>
      </c>
      <c r="C4334" s="15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9" t="inlineStr">
        <is>
          <t>16/11/2020</t>
        </is>
      </c>
      <c r="B4335" s="8" t="n">
        <v>135.109368711</v>
      </c>
      <c r="C4335" s="15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9" t="inlineStr">
        <is>
          <t>17/11/2020</t>
        </is>
      </c>
      <c r="B4336" s="8" t="n">
        <v>136.159109874</v>
      </c>
      <c r="C4336" s="15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9" t="inlineStr">
        <is>
          <t>18/11/2020</t>
        </is>
      </c>
      <c r="B4337" s="8" t="n">
        <v>137.8873422765</v>
      </c>
      <c r="C4337" s="15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9" t="inlineStr">
        <is>
          <t>19/11/2020</t>
        </is>
      </c>
      <c r="B4338" s="8" t="n">
        <v>138.00255777</v>
      </c>
      <c r="C4338" s="15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9" t="inlineStr">
        <is>
          <t>20/11/2020</t>
        </is>
      </c>
      <c r="B4339" s="8" t="n">
        <v>138.3482042505</v>
      </c>
      <c r="C4339" s="15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9" t="inlineStr">
        <is>
          <t>23/11/2020</t>
        </is>
      </c>
      <c r="B4340" s="8" t="n">
        <v>139.129109262</v>
      </c>
      <c r="C4340" s="15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9" t="inlineStr">
        <is>
          <t>24/11/2020</t>
        </is>
      </c>
      <c r="B4341" s="8" t="n">
        <v>139.487557464</v>
      </c>
      <c r="C4341" s="15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9" t="inlineStr">
        <is>
          <t>25/11/2020</t>
        </is>
      </c>
      <c r="B4342" s="8" t="n">
        <v>140.0892383745</v>
      </c>
      <c r="C4342" s="15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9" t="inlineStr">
        <is>
          <t>26/11/2020</t>
        </is>
      </c>
      <c r="B4343" s="8" t="n">
        <v>140.281264197</v>
      </c>
      <c r="C4343" s="15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9" t="inlineStr">
        <is>
          <t>27/11/2020</t>
        </is>
      </c>
      <c r="B4344" s="8" t="n">
        <v>140.6781175635</v>
      </c>
      <c r="C4344" s="15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9" t="inlineStr">
        <is>
          <t>30/11/2020</t>
        </is>
      </c>
      <c r="B4345" s="8" t="n">
        <v>141.8302724985</v>
      </c>
      <c r="C4345" s="15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9" t="inlineStr">
        <is>
          <t>01/12/2020</t>
        </is>
      </c>
      <c r="B4346" s="8" t="n">
        <v>138.6050100416</v>
      </c>
      <c r="C4346" s="15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9" t="inlineStr">
        <is>
          <t>02/12/2020</t>
        </is>
      </c>
      <c r="B4347" s="8" t="n">
        <v>136.8424909312</v>
      </c>
      <c r="C4347" s="15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9" t="inlineStr">
        <is>
          <t>03/12/2020</t>
        </is>
      </c>
      <c r="B4348" s="8" t="n">
        <v>138.2880102016</v>
      </c>
      <c r="C4348" s="15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9" t="inlineStr">
        <is>
          <t>04/12/2020</t>
        </is>
      </c>
      <c r="B4349" s="8" t="n">
        <v>139.8349694208</v>
      </c>
      <c r="C4349" s="15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9" t="inlineStr">
        <is>
          <t>07/12/2020</t>
        </is>
      </c>
      <c r="B4350" s="8" t="n">
        <v>140.6084490304</v>
      </c>
      <c r="C4350" s="15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9" t="inlineStr">
        <is>
          <t>08/12/2020</t>
        </is>
      </c>
      <c r="B4351" s="8" t="n">
        <v>140.5450490624</v>
      </c>
      <c r="C4351" s="15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9" t="inlineStr">
        <is>
          <t>09/12/2020</t>
        </is>
      </c>
      <c r="B4352" s="8" t="n">
        <v>140.7732889472</v>
      </c>
      <c r="C4352" s="15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9" t="inlineStr">
        <is>
          <t>10/12/2020</t>
        </is>
      </c>
      <c r="B4353" s="8" t="n">
        <v>141.9652083456</v>
      </c>
      <c r="C4353" s="15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9" t="inlineStr">
        <is>
          <t>11/12/2020</t>
        </is>
      </c>
      <c r="B4354" s="8" t="n">
        <v>133.8119724608</v>
      </c>
      <c r="C4354" s="15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9" t="inlineStr">
        <is>
          <t>14/12/2020</t>
        </is>
      </c>
      <c r="B4355" s="8" t="n">
        <v>137.3623706688</v>
      </c>
      <c r="C4355" s="15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9" t="inlineStr">
        <is>
          <t>15/12/2020</t>
        </is>
      </c>
      <c r="B4356" s="8" t="n">
        <v>138.7571699648</v>
      </c>
      <c r="C4356" s="15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9" t="inlineStr">
        <is>
          <t>16/12/2020</t>
        </is>
      </c>
      <c r="B4357" s="8" t="n">
        <v>136.0309713408</v>
      </c>
      <c r="C4357" s="15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9" t="inlineStr">
        <is>
          <t>17/12/2020</t>
        </is>
      </c>
      <c r="B4358" s="8" t="n">
        <v>136.3860111616</v>
      </c>
      <c r="C4358" s="15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9" t="inlineStr">
        <is>
          <t>18/12/2020</t>
        </is>
      </c>
      <c r="B4359" s="8" t="n">
        <v>136.2845712128</v>
      </c>
      <c r="C4359" s="15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9" t="inlineStr">
        <is>
          <t>21/12/2020</t>
        </is>
      </c>
      <c r="B4360" s="8" t="n">
        <v>137.0453708288</v>
      </c>
      <c r="C4360" s="15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9" t="inlineStr">
        <is>
          <t>22/12/2020</t>
        </is>
      </c>
      <c r="B4361" s="8" t="n">
        <v>137.0580508224</v>
      </c>
      <c r="C4361" s="15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9" t="inlineStr">
        <is>
          <t>23/12/2020</t>
        </is>
      </c>
      <c r="B4362" s="8" t="n">
        <v>136.3986911552</v>
      </c>
      <c r="C4362" s="15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9" t="inlineStr">
        <is>
          <t>28/12/2020</t>
        </is>
      </c>
      <c r="B4363" s="8" t="n">
        <v>137.9456503744</v>
      </c>
      <c r="C4363" s="15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9" t="inlineStr">
        <is>
          <t>29/12/2020</t>
        </is>
      </c>
      <c r="B4364" s="8" t="n">
        <v>137.7427704768</v>
      </c>
      <c r="C4364" s="15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9" t="inlineStr">
        <is>
          <t>30/12/2020</t>
        </is>
      </c>
      <c r="B4365" s="8" t="n">
        <v>136.4240511424</v>
      </c>
      <c r="C4365" s="15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9" t="inlineStr">
        <is>
          <t>04/01/2021</t>
        </is>
      </c>
      <c r="B4366" s="8" t="n">
        <v>132.0410330596</v>
      </c>
      <c r="C4366" s="15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9" t="inlineStr">
        <is>
          <t>05/01/2021</t>
        </is>
      </c>
      <c r="B4367" s="8" t="n">
        <v>133.8581114962</v>
      </c>
      <c r="C4367" s="15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9" t="inlineStr">
        <is>
          <t>06/01/2021</t>
        </is>
      </c>
      <c r="B4368" s="8" t="n">
        <v>132.696170183</v>
      </c>
      <c r="C4368" s="15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9" t="inlineStr">
        <is>
          <t>07/01/2021</t>
        </is>
      </c>
      <c r="B4369" s="8" t="n">
        <v>131.5095067142</v>
      </c>
      <c r="C4369" s="15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9" t="inlineStr">
        <is>
          <t>08/01/2021</t>
        </is>
      </c>
      <c r="B4370" s="8" t="n">
        <v>131.089230069</v>
      </c>
      <c r="C4370" s="15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9" t="inlineStr">
        <is>
          <t>11/01/2021</t>
        </is>
      </c>
      <c r="B4371" s="8" t="n">
        <v>130.656592346</v>
      </c>
      <c r="C4371" s="15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9" t="inlineStr">
        <is>
          <t>12/01/2021</t>
        </is>
      </c>
      <c r="B4372" s="8" t="n">
        <v>130.2981210898</v>
      </c>
      <c r="C4372" s="15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9" t="inlineStr">
        <is>
          <t>13/01/2021</t>
        </is>
      </c>
      <c r="B4373" s="8" t="n">
        <v>129.235068399</v>
      </c>
      <c r="C4373" s="15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9" t="inlineStr">
        <is>
          <t>14/01/2021</t>
        </is>
      </c>
      <c r="B4374" s="8" t="n">
        <v>129.2227073212</v>
      </c>
      <c r="C4374" s="15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9" t="inlineStr">
        <is>
          <t>15/01/2021</t>
        </is>
      </c>
      <c r="B4375" s="8" t="n">
        <v>128.5922923534</v>
      </c>
      <c r="C4375" s="15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9" t="inlineStr">
        <is>
          <t>18/01/2021</t>
        </is>
      </c>
      <c r="B4376" s="8" t="n">
        <v>128.6293755868</v>
      </c>
      <c r="C4376" s="15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9" t="inlineStr">
        <is>
          <t>19/01/2021</t>
        </is>
      </c>
      <c r="B4377" s="8" t="n">
        <v>129.6553450442</v>
      </c>
      <c r="C4377" s="15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9" t="inlineStr">
        <is>
          <t>20/01/2021</t>
        </is>
      </c>
      <c r="B4378" s="8" t="n">
        <v>129.7047893554</v>
      </c>
      <c r="C4378" s="15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9" t="inlineStr">
        <is>
          <t>21/01/2021</t>
        </is>
      </c>
      <c r="B4379" s="8" t="n">
        <v>132.7208923386</v>
      </c>
      <c r="C4379" s="15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9" t="inlineStr">
        <is>
          <t>22/01/2021</t>
        </is>
      </c>
      <c r="B4380" s="8" t="n">
        <v>133.0546414392</v>
      </c>
      <c r="C4380" s="15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9" t="inlineStr">
        <is>
          <t>25/01/2021</t>
        </is>
      </c>
      <c r="B4381" s="8" t="n">
        <v>131.769089348</v>
      </c>
      <c r="C4381" s="15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9" t="inlineStr">
        <is>
          <t>26/01/2021</t>
        </is>
      </c>
      <c r="B4382" s="8" t="n">
        <v>132.6714480274</v>
      </c>
      <c r="C4382" s="15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9" t="inlineStr">
        <is>
          <t>27/01/2021</t>
        </is>
      </c>
      <c r="B4383" s="8" t="n">
        <v>132.696170183</v>
      </c>
      <c r="C4383" s="15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9" t="inlineStr">
        <is>
          <t>28/01/2021</t>
        </is>
      </c>
      <c r="B4384" s="8" t="n">
        <v>133.808667185</v>
      </c>
      <c r="C4384" s="15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9" t="inlineStr">
        <is>
          <t>29/01/2021</t>
        </is>
      </c>
      <c r="B4385" s="8" t="n">
        <v>134.241304908</v>
      </c>
      <c r="C4385" s="15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9" t="inlineStr">
        <is>
          <t>01/02/2021</t>
        </is>
      </c>
      <c r="B4386" s="8" t="n">
        <v>131.5436641134</v>
      </c>
      <c r="C4386" s="15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9" t="inlineStr">
        <is>
          <t>02/02/2021</t>
        </is>
      </c>
      <c r="B4387" s="8" t="n">
        <v>130.8444126682</v>
      </c>
      <c r="C4387" s="15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9" t="inlineStr">
        <is>
          <t>03/02/2021</t>
        </is>
      </c>
      <c r="B4388" s="8" t="n">
        <v>130.7117960148</v>
      </c>
      <c r="C4388" s="15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9" t="inlineStr">
        <is>
          <t>04/02/2021</t>
        </is>
      </c>
      <c r="B4389" s="8" t="n">
        <v>129.6990870252</v>
      </c>
      <c r="C4389" s="15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9" t="inlineStr">
        <is>
          <t>05/02/2021</t>
        </is>
      </c>
      <c r="B4390" s="8" t="n">
        <v>128.9516113424</v>
      </c>
      <c r="C4390" s="15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9" t="inlineStr">
        <is>
          <t>08/02/2021</t>
        </is>
      </c>
      <c r="B4391" s="8" t="n">
        <v>127.8424538776</v>
      </c>
      <c r="C4391" s="15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9" t="inlineStr">
        <is>
          <t>09/02/2021</t>
        </is>
      </c>
      <c r="B4392" s="8" t="n">
        <v>127.6616129866</v>
      </c>
      <c r="C4392" s="15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9" t="inlineStr">
        <is>
          <t>10/02/2021</t>
        </is>
      </c>
      <c r="B4393" s="8" t="n">
        <v>127.5169402738</v>
      </c>
      <c r="C4393" s="15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9" t="inlineStr">
        <is>
          <t>11/02/2021</t>
        </is>
      </c>
      <c r="B4394" s="8" t="n">
        <v>127.4204917986</v>
      </c>
      <c r="C4394" s="15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9" t="inlineStr">
        <is>
          <t>12/02/2021</t>
        </is>
      </c>
      <c r="B4395" s="8" t="n">
        <v>126.4921752248</v>
      </c>
      <c r="C4395" s="15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9" t="inlineStr">
        <is>
          <t>17/02/2021</t>
        </is>
      </c>
      <c r="B4396" s="8" t="n">
        <v>127.8183417588</v>
      </c>
      <c r="C4396" s="15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9" t="inlineStr">
        <is>
          <t>18/02/2021</t>
        </is>
      </c>
      <c r="B4397" s="8" t="n">
        <v>129.3856294808</v>
      </c>
      <c r="C4397" s="15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9" t="inlineStr">
        <is>
          <t>19/02/2021</t>
        </is>
      </c>
      <c r="B4398" s="8" t="n">
        <v>130.2295536388</v>
      </c>
      <c r="C4398" s="15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9" t="inlineStr">
        <is>
          <t>22/02/2021</t>
        </is>
      </c>
      <c r="B4399" s="8" t="n">
        <v>131.5677762322</v>
      </c>
      <c r="C4399" s="15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9" t="inlineStr">
        <is>
          <t>23/02/2021</t>
        </is>
      </c>
      <c r="B4400" s="8" t="n">
        <v>132.0620746676</v>
      </c>
      <c r="C4400" s="15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9" t="inlineStr">
        <is>
          <t>24/02/2021</t>
        </is>
      </c>
      <c r="B4401" s="8" t="n">
        <v>133.21945637</v>
      </c>
      <c r="C4401" s="15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9" t="inlineStr">
        <is>
          <t>25/02/2021</t>
        </is>
      </c>
      <c r="B4402" s="8" t="n">
        <v>132.4478685684</v>
      </c>
      <c r="C4402" s="15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9" t="inlineStr">
        <is>
          <t>26/02/2021</t>
        </is>
      </c>
      <c r="B4403" s="8" t="n">
        <v>131.7245050044</v>
      </c>
      <c r="C4403" s="15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9" t="inlineStr">
        <is>
          <t>01/03/2021</t>
        </is>
      </c>
      <c r="B4404" s="8" t="n">
        <v>129.9416942775</v>
      </c>
      <c r="C4404" s="15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9" t="inlineStr">
        <is>
          <t>02/03/2021</t>
        </is>
      </c>
      <c r="B4405" s="8" t="n">
        <v>129.320972349</v>
      </c>
      <c r="C4405" s="15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9" t="inlineStr">
        <is>
          <t>03/03/2021</t>
        </is>
      </c>
      <c r="B4406" s="8" t="n">
        <v>129.3795310215</v>
      </c>
      <c r="C4406" s="15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9" t="inlineStr">
        <is>
          <t>04/03/2021</t>
        </is>
      </c>
      <c r="B4407" s="8" t="n">
        <v>126.7561024935</v>
      </c>
      <c r="C4407" s="15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9" t="inlineStr">
        <is>
          <t>05/03/2021</t>
        </is>
      </c>
      <c r="B4408" s="8" t="n">
        <v>125.0696127255</v>
      </c>
      <c r="C4408" s="15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9" t="inlineStr">
        <is>
          <t>08/03/2021</t>
        </is>
      </c>
      <c r="B4409" s="8" t="n">
        <v>125.54979384</v>
      </c>
      <c r="C4409" s="15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9" t="inlineStr">
        <is>
          <t>09/03/2021</t>
        </is>
      </c>
      <c r="B4410" s="8" t="n">
        <v>126.9200667765</v>
      </c>
      <c r="C4410" s="15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9" t="inlineStr">
        <is>
          <t>10/03/2021</t>
        </is>
      </c>
      <c r="B4411" s="8" t="n">
        <v>124.5308729385</v>
      </c>
      <c r="C4411" s="15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9" t="inlineStr">
        <is>
          <t>11/03/2021</t>
        </is>
      </c>
      <c r="B4412" s="8" t="n">
        <v>126.4047504585</v>
      </c>
      <c r="C4412" s="15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9" t="inlineStr">
        <is>
          <t>12/03/2021</t>
        </is>
      </c>
      <c r="B4413" s="8" t="n">
        <v>125.221865274</v>
      </c>
      <c r="C4413" s="15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9" t="inlineStr">
        <is>
          <t>15/03/2021</t>
        </is>
      </c>
      <c r="B4414" s="8" t="n">
        <v>122.902941843</v>
      </c>
      <c r="C4414" s="15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9" t="inlineStr">
        <is>
          <t>16/03/2021</t>
        </is>
      </c>
      <c r="B4415" s="8" t="n">
        <v>125.338982619</v>
      </c>
      <c r="C4415" s="15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9" t="inlineStr">
        <is>
          <t>17/03/2021</t>
        </is>
      </c>
      <c r="B4416" s="8" t="n">
        <v>126.861508104</v>
      </c>
      <c r="C4416" s="15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9" t="inlineStr">
        <is>
          <t>18/03/2021</t>
        </is>
      </c>
      <c r="B4417" s="8" t="n">
        <v>126.1470922995</v>
      </c>
      <c r="C4417" s="15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9" t="inlineStr">
        <is>
          <t>19/03/2021</t>
        </is>
      </c>
      <c r="B4418" s="8" t="n">
        <v>124.1560974345</v>
      </c>
      <c r="C4418" s="15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9" t="inlineStr">
        <is>
          <t>22/03/2021</t>
        </is>
      </c>
      <c r="B4419" s="8" t="n">
        <v>124.9290719115</v>
      </c>
      <c r="C4419" s="15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9" t="inlineStr">
        <is>
          <t>23/03/2021</t>
        </is>
      </c>
      <c r="B4420" s="8" t="n">
        <v>126.5687147415</v>
      </c>
      <c r="C4420" s="15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9" t="inlineStr">
        <is>
          <t>24/03/2021</t>
        </is>
      </c>
      <c r="B4421" s="8" t="n">
        <v>127.0606075905</v>
      </c>
      <c r="C4421" s="15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9" t="inlineStr">
        <is>
          <t>25/03/2021</t>
        </is>
      </c>
      <c r="B4422" s="8" t="n">
        <v>124.5074494695</v>
      </c>
      <c r="C4422" s="15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9" t="inlineStr">
        <is>
          <t>26/03/2021</t>
        </is>
      </c>
      <c r="B4423" s="8" t="n">
        <v>126.7092555555</v>
      </c>
      <c r="C4423" s="15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9" t="inlineStr">
        <is>
          <t>29/03/2021</t>
        </is>
      </c>
      <c r="B4424" s="8" t="n">
        <v>126.627273414</v>
      </c>
      <c r="C4424" s="15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9" t="inlineStr">
        <is>
          <t>30/03/2021</t>
        </is>
      </c>
      <c r="B4425" s="8" t="n">
        <v>125.0930361945</v>
      </c>
      <c r="C4425" s="15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9" t="inlineStr">
        <is>
          <t>31/03/2021</t>
        </is>
      </c>
      <c r="B4426" s="8" t="n">
        <v>121.9777148175</v>
      </c>
      <c r="C4426" s="15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9" t="inlineStr">
        <is>
          <t>01/04/2021</t>
        </is>
      </c>
      <c r="B4427" s="8" t="n">
        <v>120.8555000025</v>
      </c>
      <c r="C4427" s="15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9" t="inlineStr">
        <is>
          <t>05/04/2021</t>
        </is>
      </c>
      <c r="B4428" s="8" t="n">
        <v>121.0862503605</v>
      </c>
      <c r="C4428" s="15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9" t="inlineStr">
        <is>
          <t>06/04/2021</t>
        </is>
      </c>
      <c r="B4429" s="8" t="n">
        <v>121.9054141314</v>
      </c>
      <c r="C4429" s="15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9" t="inlineStr">
        <is>
          <t>07/04/2021</t>
        </is>
      </c>
      <c r="B4430" s="8" t="n">
        <v>121.4439134154</v>
      </c>
      <c r="C4430" s="15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9" t="inlineStr">
        <is>
          <t>08/04/2021</t>
        </is>
      </c>
      <c r="B4431" s="8" t="n">
        <v>122.8399530813</v>
      </c>
      <c r="C4431" s="15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9" t="inlineStr">
        <is>
          <t>09/04/2021</t>
        </is>
      </c>
      <c r="B4432" s="8" t="n">
        <v>122.9322532245</v>
      </c>
      <c r="C4432" s="15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9" t="inlineStr">
        <is>
          <t>12/04/2021</t>
        </is>
      </c>
      <c r="B4433" s="8" t="n">
        <v>121.4323758975</v>
      </c>
      <c r="C4433" s="15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9" t="inlineStr">
        <is>
          <t>13/04/2021</t>
        </is>
      </c>
      <c r="B4434" s="8" t="n">
        <v>121.9169516493</v>
      </c>
      <c r="C4434" s="15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9" t="inlineStr">
        <is>
          <t>14/04/2021</t>
        </is>
      </c>
      <c r="B4435" s="8" t="n">
        <v>122.6322777591</v>
      </c>
      <c r="C4435" s="15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9" t="inlineStr">
        <is>
          <t>15/04/2021</t>
        </is>
      </c>
      <c r="B4436" s="8" t="n">
        <v>123.5091291195</v>
      </c>
      <c r="C4436" s="15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9" t="inlineStr">
        <is>
          <t>16/04/2021</t>
        </is>
      </c>
      <c r="B4437" s="8" t="n">
        <v>124.8705562317</v>
      </c>
      <c r="C4437" s="15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9" t="inlineStr">
        <is>
          <t>19/04/2021</t>
        </is>
      </c>
      <c r="B4438" s="8" t="n">
        <v>126.3704335587</v>
      </c>
      <c r="C4438" s="15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9" t="inlineStr">
        <is>
          <t>20/04/2021</t>
        </is>
      </c>
      <c r="B4439" s="8" t="n">
        <v>126.9703844895</v>
      </c>
      <c r="C4439" s="15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9" t="inlineStr">
        <is>
          <t>22/04/2021</t>
        </is>
      </c>
      <c r="B4440" s="8" t="n">
        <v>127.604947974</v>
      </c>
      <c r="C4440" s="15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9" t="inlineStr">
        <is>
          <t>23/04/2021</t>
        </is>
      </c>
      <c r="B4441" s="8" t="n">
        <v>128.06644869</v>
      </c>
      <c r="C4441" s="15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9" t="inlineStr">
        <is>
          <t>26/04/2021</t>
        </is>
      </c>
      <c r="B4442" s="8" t="n">
        <v>129.8086138929</v>
      </c>
      <c r="C4442" s="15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9" t="inlineStr">
        <is>
          <t>27/04/2021</t>
        </is>
      </c>
      <c r="B4443" s="8" t="n">
        <v>129.1509753726</v>
      </c>
      <c r="C4443" s="15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9" t="inlineStr">
        <is>
          <t>28/04/2021</t>
        </is>
      </c>
      <c r="B4444" s="8" t="n">
        <v>128.0318361363</v>
      </c>
      <c r="C4444" s="15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9" t="inlineStr">
        <is>
          <t>29/04/2021</t>
        </is>
      </c>
      <c r="B4445" s="8" t="n">
        <v>128.2279739406</v>
      </c>
      <c r="C4445" s="15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9" t="inlineStr">
        <is>
          <t>30/04/2021</t>
        </is>
      </c>
      <c r="B4446" s="8" t="n">
        <v>130.2355020552</v>
      </c>
      <c r="C4446" s="15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9" t="inlineStr">
        <is>
          <t>03/05/2021</t>
        </is>
      </c>
      <c r="B4447" s="8" t="n">
        <v>125.79330304</v>
      </c>
      <c r="C4447" s="15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9" t="inlineStr">
        <is>
          <t>04/05/2021</t>
        </is>
      </c>
      <c r="B4448" s="8" t="n">
        <v>125.7711368192</v>
      </c>
      <c r="C4448" s="15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9" t="inlineStr">
        <is>
          <t>05/05/2021</t>
        </is>
      </c>
      <c r="B4449" s="8" t="n">
        <v>126.8905309696</v>
      </c>
      <c r="C4449" s="15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9" t="inlineStr">
        <is>
          <t>06/05/2021</t>
        </is>
      </c>
      <c r="B4450" s="8" t="n">
        <v>126.0703808</v>
      </c>
      <c r="C4450" s="15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9" t="inlineStr">
        <is>
          <t>07/05/2021</t>
        </is>
      </c>
      <c r="B4451" s="8" t="n">
        <v>126.5912869888</v>
      </c>
      <c r="C4451" s="15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9" t="inlineStr">
        <is>
          <t>10/05/2021</t>
        </is>
      </c>
      <c r="B4452" s="8" t="n">
        <v>127.8325953536</v>
      </c>
      <c r="C4452" s="15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9" t="inlineStr">
        <is>
          <t>11/05/2021</t>
        </is>
      </c>
      <c r="B4453" s="8" t="n">
        <v>126.8351154176</v>
      </c>
      <c r="C4453" s="15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9" t="inlineStr">
        <is>
          <t>12/05/2021</t>
        </is>
      </c>
      <c r="B4454" s="8" t="n">
        <v>127.7106811392</v>
      </c>
      <c r="C4454" s="15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9" t="inlineStr">
        <is>
          <t>13/05/2021</t>
        </is>
      </c>
      <c r="B4455" s="8" t="n">
        <v>127.3671047168</v>
      </c>
      <c r="C4455" s="15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9" t="inlineStr">
        <is>
          <t>14/05/2021</t>
        </is>
      </c>
      <c r="B4456" s="8" t="n">
        <v>127.5222682624</v>
      </c>
      <c r="C4456" s="15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9" t="inlineStr">
        <is>
          <t>17/05/2021</t>
        </is>
      </c>
      <c r="B4457" s="8" t="n">
        <v>128.2426704384</v>
      </c>
      <c r="C4457" s="15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9" t="inlineStr">
        <is>
          <t>18/05/2021</t>
        </is>
      </c>
      <c r="B4458" s="8" t="n">
        <v>127.4557696</v>
      </c>
      <c r="C4458" s="15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9" t="inlineStr">
        <is>
          <t>19/05/2021</t>
        </is>
      </c>
      <c r="B4459" s="8" t="n">
        <v>126.8905309696</v>
      </c>
      <c r="C4459" s="15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9" t="inlineStr">
        <is>
          <t>20/05/2021</t>
        </is>
      </c>
      <c r="B4460" s="8" t="n">
        <v>127.566600704</v>
      </c>
      <c r="C4460" s="15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9" t="inlineStr">
        <is>
          <t>21/05/2021</t>
        </is>
      </c>
      <c r="B4461" s="8" t="n">
        <v>128.5973299712</v>
      </c>
      <c r="C4461" s="15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9" t="inlineStr">
        <is>
          <t>24/05/2021</t>
        </is>
      </c>
      <c r="B4462" s="8" t="n">
        <v>129.0184881664</v>
      </c>
      <c r="C4462" s="15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9" t="inlineStr">
        <is>
          <t>25/05/2021</t>
        </is>
      </c>
      <c r="B4463" s="8" t="n">
        <v>129.007405056</v>
      </c>
      <c r="C4463" s="15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9" t="inlineStr">
        <is>
          <t>26/05/2021</t>
        </is>
      </c>
      <c r="B4464" s="8" t="n">
        <v>128.4310833152</v>
      </c>
      <c r="C4464" s="15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9" t="inlineStr">
        <is>
          <t>27/05/2021</t>
        </is>
      </c>
      <c r="B4465" s="8" t="n">
        <v>127.9101771264</v>
      </c>
      <c r="C4465" s="15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9" t="inlineStr">
        <is>
          <t>28/05/2021</t>
        </is>
      </c>
      <c r="B4466" s="8" t="n">
        <v>128.5529975296</v>
      </c>
      <c r="C4466" s="15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9" t="inlineStr">
        <is>
          <t>31/05/2021</t>
        </is>
      </c>
      <c r="B4467" s="8" t="n">
        <v>128.3535015424</v>
      </c>
      <c r="C4467" s="15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9" t="inlineStr">
        <is>
          <t>01/06/2021</t>
        </is>
      </c>
      <c r="B4468" s="8" t="n">
        <v>128.0506886332</v>
      </c>
      <c r="C4468" s="15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9" t="inlineStr">
        <is>
          <t>02/06/2021</t>
        </is>
      </c>
      <c r="B4469" s="8" t="n">
        <v>128.1718757256</v>
      </c>
      <c r="C4469" s="15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9" t="inlineStr">
        <is>
          <t>04/06/2021</t>
        </is>
      </c>
      <c r="B4470" s="8" t="n">
        <v>128.6456070868</v>
      </c>
      <c r="C4470" s="15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9" t="inlineStr">
        <is>
          <t>07/06/2021</t>
        </is>
      </c>
      <c r="B4471" s="8" t="n">
        <v>128.4142499104</v>
      </c>
      <c r="C4471" s="15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9" t="inlineStr">
        <is>
          <t>08/06/2021</t>
        </is>
      </c>
      <c r="B4472" s="8" t="n">
        <v>128.0396716248</v>
      </c>
      <c r="C4472" s="15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9" t="inlineStr">
        <is>
          <t>09/06/2021</t>
        </is>
      </c>
      <c r="B4473" s="8" t="n">
        <v>128.8218792212</v>
      </c>
      <c r="C4473" s="15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9" t="inlineStr">
        <is>
          <t>10/06/2021</t>
        </is>
      </c>
      <c r="B4474" s="8" t="n">
        <v>129.1523894732</v>
      </c>
      <c r="C4474" s="15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9" t="inlineStr">
        <is>
          <t>11/06/2021</t>
        </is>
      </c>
      <c r="B4475" s="8" t="n">
        <v>127.356617104</v>
      </c>
      <c r="C4475" s="15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9" t="inlineStr">
        <is>
          <t>14/06/2021</t>
        </is>
      </c>
      <c r="B4476" s="8" t="n">
        <v>128.7778111876</v>
      </c>
      <c r="C4476" s="15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9" t="inlineStr">
        <is>
          <t>15/06/2021</t>
        </is>
      </c>
      <c r="B4477" s="8" t="n">
        <v>129.1854404984</v>
      </c>
      <c r="C4477" s="15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9" t="inlineStr">
        <is>
          <t>16/06/2021</t>
        </is>
      </c>
      <c r="B4478" s="8" t="n">
        <v>129.5269677588</v>
      </c>
      <c r="C4478" s="15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9" t="inlineStr">
        <is>
          <t>17/06/2021</t>
        </is>
      </c>
      <c r="B4479" s="8" t="n">
        <v>129.7362909184</v>
      </c>
      <c r="C4479" s="15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9" t="inlineStr">
        <is>
          <t>18/06/2021</t>
        </is>
      </c>
      <c r="B4480" s="8" t="n">
        <v>127.1032259108</v>
      </c>
      <c r="C4480" s="15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9" t="inlineStr">
        <is>
          <t>21/06/2021</t>
        </is>
      </c>
      <c r="B4481" s="8" t="n">
        <v>125.8472869532</v>
      </c>
      <c r="C4481" s="15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9" t="inlineStr">
        <is>
          <t>22/06/2021</t>
        </is>
      </c>
      <c r="B4482" s="8" t="n">
        <v>127.7862804316</v>
      </c>
      <c r="C4482" s="15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9" t="inlineStr">
        <is>
          <t>23/06/2021</t>
        </is>
      </c>
      <c r="B4483" s="8" t="n">
        <v>127.6650933392</v>
      </c>
      <c r="C4483" s="15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9" t="inlineStr">
        <is>
          <t>24/06/2021</t>
        </is>
      </c>
      <c r="B4484" s="8" t="n">
        <v>128.9761173388</v>
      </c>
      <c r="C4484" s="15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9" t="inlineStr">
        <is>
          <t>25/06/2021</t>
        </is>
      </c>
      <c r="B4485" s="8" t="n">
        <v>129.1413724648</v>
      </c>
      <c r="C4485" s="15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9" t="inlineStr">
        <is>
          <t>28/06/2021</t>
        </is>
      </c>
      <c r="B4486" s="8" t="n">
        <v>129.8795120276</v>
      </c>
      <c r="C4486" s="15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9" t="inlineStr">
        <is>
          <t>29/06/2021</t>
        </is>
      </c>
      <c r="B4487" s="8" t="n">
        <v>126.6735625832</v>
      </c>
      <c r="C4487" s="15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9" t="inlineStr">
        <is>
          <t>30/06/2021</t>
        </is>
      </c>
      <c r="B4488" s="8" t="n">
        <v>125.1201643988</v>
      </c>
      <c r="C4488" s="15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9" t="inlineStr">
        <is>
          <t>01/07/2021</t>
        </is>
      </c>
      <c r="B4489" s="8" t="n">
        <v>125.5182478656</v>
      </c>
      <c r="C4489" s="15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9" t="inlineStr">
        <is>
          <t>02/07/2021</t>
        </is>
      </c>
      <c r="B4490" s="8" t="n">
        <v>126.6004902048</v>
      </c>
      <c r="C4490" s="15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9" t="inlineStr">
        <is>
          <t>05/07/2021</t>
        </is>
      </c>
      <c r="B4491" s="8" t="n">
        <v>127.7592547296</v>
      </c>
      <c r="C4491" s="15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9" t="inlineStr">
        <is>
          <t>06/07/2021</t>
        </is>
      </c>
      <c r="B4492" s="8" t="n">
        <v>126.7316710944</v>
      </c>
      <c r="C4492" s="15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9" t="inlineStr">
        <is>
          <t>07/07/2021</t>
        </is>
      </c>
      <c r="B4493" s="8" t="n">
        <v>126.3818553888</v>
      </c>
      <c r="C4493" s="15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9" t="inlineStr">
        <is>
          <t>08/07/2021</t>
        </is>
      </c>
      <c r="B4494" s="8" t="n">
        <v>126.1304253504</v>
      </c>
      <c r="C4494" s="15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9" t="inlineStr">
        <is>
          <t>12/07/2021</t>
        </is>
      </c>
      <c r="B4495" s="8" t="n">
        <v>127.2891898752</v>
      </c>
      <c r="C4495" s="15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9" t="inlineStr">
        <is>
          <t>13/07/2021</t>
        </is>
      </c>
      <c r="B4496" s="8" t="n">
        <v>126.1741523136</v>
      </c>
      <c r="C4496" s="15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9" t="inlineStr">
        <is>
          <t>14/07/2021</t>
        </is>
      </c>
      <c r="B4497" s="8" t="n">
        <v>126.316264944</v>
      </c>
      <c r="C4497" s="15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9" t="inlineStr">
        <is>
          <t>15/07/2021</t>
        </is>
      </c>
      <c r="B4498" s="8" t="n">
        <v>125.3979987168</v>
      </c>
      <c r="C4498" s="15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9" t="inlineStr">
        <is>
          <t>16/07/2021</t>
        </is>
      </c>
      <c r="B4499" s="8" t="n">
        <v>126.2725379808</v>
      </c>
      <c r="C4499" s="15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9" t="inlineStr">
        <is>
          <t>19/07/2021</t>
        </is>
      </c>
      <c r="B4500" s="8" t="n">
        <v>127.7811182112</v>
      </c>
      <c r="C4500" s="15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9" t="inlineStr">
        <is>
          <t>20/07/2021</t>
        </is>
      </c>
      <c r="B4501" s="8" t="n">
        <v>127.409439024</v>
      </c>
      <c r="C4501" s="15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9" t="inlineStr">
        <is>
          <t>21/07/2021</t>
        </is>
      </c>
      <c r="B4502" s="8" t="n">
        <v>127.6718008032</v>
      </c>
      <c r="C4502" s="15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9" t="inlineStr">
        <is>
          <t>22/07/2021</t>
        </is>
      </c>
      <c r="B4503" s="8" t="n">
        <v>128.3605004736</v>
      </c>
      <c r="C4503" s="15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9" t="inlineStr">
        <is>
          <t>23/07/2021</t>
        </is>
      </c>
      <c r="B4504" s="8" t="n">
        <v>127.8576403968</v>
      </c>
      <c r="C4504" s="15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9" t="inlineStr">
        <is>
          <t>26/07/2021</t>
        </is>
      </c>
      <c r="B4505" s="8" t="n">
        <v>128.5682035488</v>
      </c>
      <c r="C4505" s="15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9" t="inlineStr">
        <is>
          <t>27/07/2021</t>
        </is>
      </c>
      <c r="B4506" s="8" t="n">
        <v>128.010684768</v>
      </c>
      <c r="C4506" s="15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9" t="inlineStr">
        <is>
          <t>28/07/2021</t>
        </is>
      </c>
      <c r="B4507" s="8" t="n">
        <v>128.5354083264</v>
      </c>
      <c r="C4507" s="15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9" t="inlineStr">
        <is>
          <t>29/07/2021</t>
        </is>
      </c>
      <c r="B4508" s="8" t="n">
        <v>128.9836096992</v>
      </c>
      <c r="C4508" s="15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9" t="inlineStr">
        <is>
          <t>30/07/2021</t>
        </is>
      </c>
      <c r="B4509" s="8" t="n">
        <v>128.4260909184</v>
      </c>
      <c r="C4509" s="15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9" t="inlineStr">
        <is>
          <t>02/08/2021</t>
        </is>
      </c>
      <c r="B4510" s="8" t="n">
        <v>129.0610053296</v>
      </c>
      <c r="C4510" s="15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9" t="inlineStr">
        <is>
          <t>03/08/2021</t>
        </is>
      </c>
      <c r="B4511" s="8" t="n">
        <v>130.0818513832</v>
      </c>
      <c r="C4511" s="15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9" t="inlineStr">
        <is>
          <t>04/08/2021</t>
        </is>
      </c>
      <c r="B4512" s="8" t="n">
        <v>131.1787178876</v>
      </c>
      <c r="C4512" s="15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9" t="inlineStr">
        <is>
          <t>05/08/2021</t>
        </is>
      </c>
      <c r="B4513" s="8" t="n">
        <v>130.8529159556</v>
      </c>
      <c r="C4513" s="15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9" t="inlineStr">
        <is>
          <t>06/08/2021</t>
        </is>
      </c>
      <c r="B4514" s="8" t="n">
        <v>130.9397964708</v>
      </c>
      <c r="C4514" s="15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9" t="inlineStr">
        <is>
          <t>09/08/2021</t>
        </is>
      </c>
      <c r="B4515" s="8" t="n">
        <v>129.8646500952</v>
      </c>
      <c r="C4515" s="15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9" t="inlineStr">
        <is>
          <t>10/08/2021</t>
        </is>
      </c>
      <c r="B4516" s="8" t="n">
        <v>132.1887038768</v>
      </c>
      <c r="C4516" s="15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9" t="inlineStr">
        <is>
          <t>11/08/2021</t>
        </is>
      </c>
      <c r="B4517" s="8" t="n">
        <v>133.1335294796</v>
      </c>
      <c r="C4517" s="15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9" t="inlineStr">
        <is>
          <t>12/08/2021</t>
        </is>
      </c>
      <c r="B4518" s="8" t="n">
        <v>136.348108542</v>
      </c>
      <c r="C4518" s="15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9" t="inlineStr">
        <is>
          <t>13/08/2021</t>
        </is>
      </c>
      <c r="B4519" s="8" t="n">
        <v>136.3155283488</v>
      </c>
      <c r="C4519" s="15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9" t="inlineStr">
        <is>
          <t>16/08/2021</t>
        </is>
      </c>
      <c r="B4520" s="8" t="n">
        <v>140.5075132072</v>
      </c>
      <c r="C4520" s="15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9" t="inlineStr">
        <is>
          <t>17/08/2021</t>
        </is>
      </c>
      <c r="B4521" s="8" t="n">
        <v>140.9310557188</v>
      </c>
      <c r="C4521" s="15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9" t="inlineStr">
        <is>
          <t>18/08/2021</t>
        </is>
      </c>
      <c r="B4522" s="8" t="n">
        <v>142.212543318</v>
      </c>
      <c r="C4522" s="15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9" t="inlineStr">
        <is>
          <t>19/08/2021</t>
        </is>
      </c>
      <c r="B4523" s="8" t="n">
        <v>145.4271223804</v>
      </c>
      <c r="C4523" s="15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9" t="inlineStr">
        <is>
          <t>20/08/2021</t>
        </is>
      </c>
      <c r="B4524" s="8" t="n">
        <v>144.8841191604</v>
      </c>
      <c r="C4524" s="15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9" t="inlineStr">
        <is>
          <t>23/08/2021</t>
        </is>
      </c>
      <c r="B4525" s="8" t="n">
        <v>145.9918457292</v>
      </c>
      <c r="C4525" s="15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9" t="inlineStr">
        <is>
          <t>24/08/2021</t>
        </is>
      </c>
      <c r="B4526" s="8" t="n">
        <v>146.8389307524</v>
      </c>
      <c r="C4526" s="15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9" t="inlineStr">
        <is>
          <t>25/08/2021</t>
        </is>
      </c>
      <c r="B4527" s="8" t="n">
        <v>147.3602138436</v>
      </c>
      <c r="C4527" s="15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9" t="inlineStr">
        <is>
          <t>26/08/2021</t>
        </is>
      </c>
      <c r="B4528" s="8" t="n">
        <v>148.0335378364</v>
      </c>
      <c r="C4528" s="15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9" t="inlineStr">
        <is>
          <t>27/08/2021</t>
        </is>
      </c>
      <c r="B4529" s="8" t="n">
        <v>148.9783634392</v>
      </c>
      <c r="C4529" s="15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9" t="inlineStr">
        <is>
          <t>30/08/2021</t>
        </is>
      </c>
      <c r="B4530" s="8" t="n">
        <v>148.0661180296</v>
      </c>
      <c r="C4530" s="15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9" t="inlineStr">
        <is>
          <t>31/08/2021</t>
        </is>
      </c>
      <c r="B4531" s="8" t="n">
        <v>149.1738445984</v>
      </c>
      <c r="C4531" s="15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9" t="inlineStr">
        <is>
          <t>01/09/2021</t>
        </is>
      </c>
      <c r="B4532" s="8" t="n">
        <v>149.7740160995</v>
      </c>
      <c r="C4532" s="15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9" t="inlineStr">
        <is>
          <t>02/09/2021</t>
        </is>
      </c>
      <c r="B4533" s="8" t="n">
        <v>150.6484174195</v>
      </c>
      <c r="C4533" s="15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9" t="inlineStr">
        <is>
          <t>03/09/2021</t>
        </is>
      </c>
      <c r="B4534" s="8" t="n">
        <v>150.8451577165</v>
      </c>
      <c r="C4534" s="15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9" t="inlineStr">
        <is>
          <t>06/09/2021</t>
        </is>
      </c>
      <c r="B4535" s="8" t="n">
        <v>152.5721003235</v>
      </c>
      <c r="C4535" s="15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9" t="inlineStr">
        <is>
          <t>08/09/2021</t>
        </is>
      </c>
      <c r="B4536" s="8" t="n">
        <v>152.9874409505</v>
      </c>
      <c r="C4536" s="15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9" t="inlineStr">
        <is>
          <t>09/09/2021</t>
        </is>
      </c>
      <c r="B4537" s="8" t="n">
        <v>153.7306820725</v>
      </c>
      <c r="C4537" s="15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9" t="inlineStr">
        <is>
          <t>10/09/2021</t>
        </is>
      </c>
      <c r="B4538" s="8" t="n">
        <v>153.1186011485</v>
      </c>
      <c r="C4538" s="15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9" t="inlineStr">
        <is>
          <t>13/09/2021</t>
        </is>
      </c>
      <c r="B4539" s="8" t="n">
        <v>155.3920445805</v>
      </c>
      <c r="C4539" s="15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9" t="inlineStr">
        <is>
          <t>14/09/2021</t>
        </is>
      </c>
      <c r="B4540" s="8" t="n">
        <v>155.8729653065</v>
      </c>
      <c r="C4540" s="15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9" t="inlineStr">
        <is>
          <t>15/09/2021</t>
        </is>
      </c>
      <c r="B4541" s="8" t="n">
        <v>154.484853211</v>
      </c>
      <c r="C4541" s="15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9" t="inlineStr">
        <is>
          <t>16/09/2021</t>
        </is>
      </c>
      <c r="B4542" s="8" t="n">
        <v>155.8948253395</v>
      </c>
      <c r="C4542" s="15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9" t="inlineStr">
        <is>
          <t>17/09/2021</t>
        </is>
      </c>
      <c r="B4543" s="8" t="n">
        <v>153.5776618415</v>
      </c>
      <c r="C4543" s="15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9" t="inlineStr">
        <is>
          <t>20/09/2021</t>
        </is>
      </c>
      <c r="B4544" s="8" t="n">
        <v>157.763858161</v>
      </c>
      <c r="C4544" s="15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9" t="inlineStr">
        <is>
          <t>21/09/2021</t>
        </is>
      </c>
      <c r="B4545" s="8" t="n">
        <v>156.889456841</v>
      </c>
      <c r="C4545" s="15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9" t="inlineStr">
        <is>
          <t>22/09/2021</t>
        </is>
      </c>
      <c r="B4546" s="8" t="n">
        <v>157.1845672865</v>
      </c>
      <c r="C4546" s="15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9" t="inlineStr">
        <is>
          <t>23/09/2021</t>
        </is>
      </c>
      <c r="B4547" s="8" t="n">
        <v>158.988020009</v>
      </c>
      <c r="C4547" s="15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9" t="inlineStr">
        <is>
          <t>24/09/2021</t>
        </is>
      </c>
      <c r="B4548" s="8" t="n">
        <v>154.8892638215</v>
      </c>
      <c r="C4548" s="15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9" t="inlineStr">
        <is>
          <t>27/09/2021</t>
        </is>
      </c>
      <c r="B4549" s="8" t="n">
        <v>157.086197138</v>
      </c>
      <c r="C4549" s="15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9" t="inlineStr">
        <is>
          <t>28/09/2021</t>
        </is>
      </c>
      <c r="B4550" s="8" t="n">
        <v>157.873158326</v>
      </c>
      <c r="C4550" s="15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9" t="inlineStr">
        <is>
          <t>29/09/2021</t>
        </is>
      </c>
      <c r="B4551" s="8" t="n">
        <v>157.9059483755</v>
      </c>
      <c r="C4551" s="15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9" t="inlineStr">
        <is>
          <t>30/09/2021</t>
        </is>
      </c>
      <c r="B4552" s="8" t="n">
        <v>155.752735125</v>
      </c>
      <c r="C4552" s="15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9" t="inlineStr">
        <is>
          <t>01/10/2021</t>
        </is>
      </c>
      <c r="B4553" s="8" t="n">
        <v>155.4030261428</v>
      </c>
      <c r="C4553" s="15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9" t="inlineStr">
        <is>
          <t>04/10/2021</t>
        </is>
      </c>
      <c r="B4554" s="8" t="n">
        <v>154.5884879528</v>
      </c>
      <c r="C4554" s="15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9" t="inlineStr">
        <is>
          <t>05/10/2021</t>
        </is>
      </c>
      <c r="B4555" s="8" t="n">
        <v>155.1532344312</v>
      </c>
      <c r="C4555" s="15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9" t="inlineStr">
        <is>
          <t>06/10/2021</t>
        </is>
      </c>
      <c r="B4556" s="8" t="n">
        <v>155.7179809096</v>
      </c>
      <c r="C4556" s="15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9" t="inlineStr">
        <is>
          <t>07/10/2021</t>
        </is>
      </c>
      <c r="B4557" s="8" t="n">
        <v>156.0872382224</v>
      </c>
      <c r="C4557" s="15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9" t="inlineStr">
        <is>
          <t>08/10/2021</t>
        </is>
      </c>
      <c r="B4558" s="8" t="n">
        <v>157.2710337252</v>
      </c>
      <c r="C4558" s="15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9" t="inlineStr">
        <is>
          <t>11/10/2021</t>
        </is>
      </c>
      <c r="B4559" s="8" t="n">
        <v>157.1189865964</v>
      </c>
      <c r="C4559" s="15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9" t="inlineStr">
        <is>
          <t>13/10/2021</t>
        </is>
      </c>
      <c r="B4560" s="8" t="n">
        <v>160.3988603748</v>
      </c>
      <c r="C4560" s="15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9" t="inlineStr">
        <is>
          <t>14/10/2021</t>
        </is>
      </c>
      <c r="B4561" s="8" t="n">
        <v>162.744730362</v>
      </c>
      <c r="C4561" s="15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9" t="inlineStr">
        <is>
          <t>15/10/2021</t>
        </is>
      </c>
      <c r="B4562" s="8" t="n">
        <v>163.1682902208</v>
      </c>
      <c r="C4562" s="15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9" t="inlineStr">
        <is>
          <t>18/10/2021</t>
        </is>
      </c>
      <c r="B4563" s="8" t="n">
        <v>162.2668679572</v>
      </c>
      <c r="C4563" s="15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9" t="inlineStr">
        <is>
          <t>19/10/2021</t>
        </is>
      </c>
      <c r="B4564" s="8" t="n">
        <v>159.2367858904</v>
      </c>
      <c r="C4564" s="15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9" t="inlineStr">
        <is>
          <t>20/10/2021</t>
        </is>
      </c>
      <c r="B4565" s="8" t="n">
        <v>160.1925107</v>
      </c>
      <c r="C4565" s="15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9" t="inlineStr">
        <is>
          <t>21/10/2021</t>
        </is>
      </c>
      <c r="B4566" s="8" t="n">
        <v>160.9310253256</v>
      </c>
      <c r="C4566" s="15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9" t="inlineStr">
        <is>
          <t>22/10/2021</t>
        </is>
      </c>
      <c r="B4567" s="8" t="n">
        <v>161.5609348592</v>
      </c>
      <c r="C4567" s="15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9" t="inlineStr">
        <is>
          <t>25/10/2021</t>
        </is>
      </c>
      <c r="B4568" s="8" t="n">
        <v>162.2994494848</v>
      </c>
      <c r="C4568" s="15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9" t="inlineStr">
        <is>
          <t>26/10/2021</t>
        </is>
      </c>
      <c r="B4569" s="8" t="n">
        <v>161.495771804</v>
      </c>
      <c r="C4569" s="15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9" t="inlineStr">
        <is>
          <t>27/10/2021</t>
        </is>
      </c>
      <c r="B4570" s="8" t="n">
        <v>162.1582628652</v>
      </c>
      <c r="C4570" s="15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9" t="inlineStr">
        <is>
          <t>28/10/2021</t>
        </is>
      </c>
      <c r="B4571" s="8" t="n">
        <v>164.9385532204</v>
      </c>
      <c r="C4571" s="15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9" t="inlineStr">
        <is>
          <t>29/10/2021</t>
        </is>
      </c>
      <c r="B4572" s="8" t="n">
        <v>166.0354646496</v>
      </c>
      <c r="C4572" s="15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9" t="inlineStr">
        <is>
          <t>01/11/2021</t>
        </is>
      </c>
      <c r="B4573" s="8" t="n">
        <v>166.1759971</v>
      </c>
      <c r="C4573" s="15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9" t="inlineStr">
        <is>
          <t>03/11/2021</t>
        </is>
      </c>
      <c r="B4574" s="8" t="n">
        <v>164.634113175</v>
      </c>
      <c r="C4574" s="15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9" t="inlineStr">
        <is>
          <t>04/11/2021</t>
        </is>
      </c>
      <c r="B4575" s="8" t="n">
        <v>164.938146625</v>
      </c>
      <c r="C4575" s="15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9" t="inlineStr">
        <is>
          <t>05/11/2021</t>
        </is>
      </c>
      <c r="B4576" s="8" t="n">
        <v>167.0555224375</v>
      </c>
      <c r="C4576" s="15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9" t="inlineStr">
        <is>
          <t>08/11/2021</t>
        </is>
      </c>
      <c r="B4577" s="8" t="n">
        <v>166.5994722625</v>
      </c>
      <c r="C4577" s="15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9" t="inlineStr">
        <is>
          <t>09/11/2021</t>
        </is>
      </c>
      <c r="B4578" s="8" t="n">
        <v>165.155313375</v>
      </c>
      <c r="C4578" s="15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9" t="inlineStr">
        <is>
          <t>10/11/2021</t>
        </is>
      </c>
      <c r="B4579" s="8" t="n">
        <v>165.00329665</v>
      </c>
      <c r="C4579" s="15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9" t="inlineStr">
        <is>
          <t>11/11/2021</t>
        </is>
      </c>
      <c r="B4580" s="8" t="n">
        <v>166.0565553875</v>
      </c>
      <c r="C4580" s="15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9" t="inlineStr">
        <is>
          <t>12/11/2021</t>
        </is>
      </c>
      <c r="B4581" s="8" t="n">
        <v>169.0968898875</v>
      </c>
      <c r="C4581" s="15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9" t="inlineStr">
        <is>
          <t>16/11/2021</t>
        </is>
      </c>
      <c r="B4582" s="8" t="n">
        <v>167.78303105</v>
      </c>
      <c r="C4582" s="15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9" t="inlineStr">
        <is>
          <t>17/11/2021</t>
        </is>
      </c>
      <c r="B4583" s="8" t="n">
        <v>167.8373227375</v>
      </c>
      <c r="C4583" s="15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9" t="inlineStr">
        <is>
          <t>18/11/2021</t>
        </is>
      </c>
      <c r="B4584" s="8" t="n">
        <v>168.521398</v>
      </c>
      <c r="C4584" s="15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9" t="inlineStr">
        <is>
          <t>19/11/2021</t>
        </is>
      </c>
      <c r="B4585" s="8" t="n">
        <v>168.7711397625</v>
      </c>
      <c r="C4585" s="15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9" t="inlineStr">
        <is>
          <t>22/11/2021</t>
        </is>
      </c>
      <c r="B4586" s="8" t="n">
        <v>167.69616435</v>
      </c>
      <c r="C4586" s="15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9" t="inlineStr">
        <is>
          <t>23/11/2021</t>
        </is>
      </c>
      <c r="B4587" s="8" t="n">
        <v>166.65376395</v>
      </c>
      <c r="C4587" s="15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9" t="inlineStr">
        <is>
          <t>24/11/2021</t>
        </is>
      </c>
      <c r="B4588" s="8" t="n">
        <v>166.6429056125</v>
      </c>
      <c r="C4588" s="15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9" t="inlineStr">
        <is>
          <t>25/11/2021</t>
        </is>
      </c>
      <c r="B4589" s="8" t="n">
        <v>167.0338057625</v>
      </c>
      <c r="C4589" s="15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9" t="inlineStr">
        <is>
          <t>26/11/2021</t>
        </is>
      </c>
      <c r="B4590" s="8" t="n">
        <v>167.2726891875</v>
      </c>
      <c r="C4590" s="15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9" t="inlineStr">
        <is>
          <t>29/11/2021</t>
        </is>
      </c>
      <c r="B4591" s="8" t="n">
        <v>166.74063065</v>
      </c>
      <c r="C4591" s="15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9" t="inlineStr">
        <is>
          <t>30/11/2021</t>
        </is>
      </c>
      <c r="B4592" s="8" t="n">
        <v>167.500714275</v>
      </c>
      <c r="C4592" s="15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9" t="inlineStr">
        <is>
          <t>01/12/2021</t>
        </is>
      </c>
      <c r="B4593" s="8" t="n">
        <v>166.6265560192</v>
      </c>
      <c r="C4593" s="15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9" t="inlineStr">
        <is>
          <t>02/12/2021</t>
        </is>
      </c>
      <c r="B4594" s="8" t="n">
        <v>167.7245538688</v>
      </c>
      <c r="C4594" s="15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9" t="inlineStr">
        <is>
          <t>03/12/2021</t>
        </is>
      </c>
      <c r="B4595" s="8" t="n">
        <v>167.12173152</v>
      </c>
      <c r="C4595" s="15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9" t="inlineStr">
        <is>
          <t>06/12/2021</t>
        </is>
      </c>
      <c r="B4596" s="8" t="n">
        <v>166.9925553024</v>
      </c>
      <c r="C4596" s="15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9" t="inlineStr">
        <is>
          <t>07/12/2021</t>
        </is>
      </c>
      <c r="B4597" s="8" t="n">
        <v>167.4662014336</v>
      </c>
      <c r="C4597" s="15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9" t="inlineStr">
        <is>
          <t>08/12/2021</t>
        </is>
      </c>
      <c r="B4598" s="8" t="n">
        <v>167.4016133248</v>
      </c>
      <c r="C4598" s="15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9" t="inlineStr">
        <is>
          <t>09/12/2021</t>
        </is>
      </c>
      <c r="B4599" s="8" t="n">
        <v>165.0872060928</v>
      </c>
      <c r="C4599" s="15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9" t="inlineStr">
        <is>
          <t>10/12/2021</t>
        </is>
      </c>
      <c r="B4600" s="8" t="n">
        <v>167.229378368</v>
      </c>
      <c r="C4600" s="15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9" t="inlineStr">
        <is>
          <t>13/12/2021</t>
        </is>
      </c>
      <c r="B4601" s="8" t="n">
        <v>166.9279671936</v>
      </c>
      <c r="C4601" s="15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9" t="inlineStr">
        <is>
          <t>14/12/2021</t>
        </is>
      </c>
      <c r="B4602" s="8" t="n">
        <v>165.0549120384</v>
      </c>
      <c r="C4602" s="15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9" t="inlineStr">
        <is>
          <t>15/12/2021</t>
        </is>
      </c>
      <c r="B4603" s="8" t="n">
        <v>166.2713214208</v>
      </c>
      <c r="C4603" s="15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9" t="inlineStr">
        <is>
          <t>16/12/2021</t>
        </is>
      </c>
      <c r="B4604" s="8" t="n">
        <v>169.4684328064</v>
      </c>
      <c r="C4604" s="15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9" t="inlineStr">
        <is>
          <t>17/12/2021</t>
        </is>
      </c>
      <c r="B4605" s="8" t="n">
        <v>166.2713214208</v>
      </c>
      <c r="C4605" s="15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9" t="inlineStr">
        <is>
          <t>20/12/2021</t>
        </is>
      </c>
      <c r="B4606" s="8" t="n">
        <v>164.7319714944</v>
      </c>
      <c r="C4606" s="15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9" t="inlineStr">
        <is>
          <t>21/12/2021</t>
        </is>
      </c>
      <c r="B4607" s="8" t="n">
        <v>166.8203203456</v>
      </c>
      <c r="C4607" s="15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9" t="inlineStr">
        <is>
          <t>22/12/2021</t>
        </is>
      </c>
      <c r="B4608" s="8" t="n">
        <v>167.1002021504</v>
      </c>
      <c r="C4608" s="15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9" t="inlineStr">
        <is>
          <t>23/12/2021</t>
        </is>
      </c>
      <c r="B4609" s="8" t="n">
        <v>168.2089646848</v>
      </c>
      <c r="C4609" s="15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9" t="inlineStr">
        <is>
          <t>27/12/2021</t>
        </is>
      </c>
      <c r="B4610" s="8" t="n">
        <v>168.2089646848</v>
      </c>
      <c r="C4610" s="15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9" t="inlineStr">
        <is>
          <t>28/12/2021</t>
        </is>
      </c>
      <c r="B4611" s="8" t="n">
        <v>167.2509077376</v>
      </c>
      <c r="C4611" s="15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9" t="inlineStr">
        <is>
          <t>29/12/2021</t>
        </is>
      </c>
      <c r="B4612" s="8" t="n">
        <v>166.6696147584</v>
      </c>
      <c r="C4612" s="15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9" t="inlineStr">
        <is>
          <t>30/12/2021</t>
        </is>
      </c>
      <c r="B4613" s="8" t="n">
        <v>166.6696147584</v>
      </c>
      <c r="C4613" s="15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9" t="inlineStr">
        <is>
          <t>03/01/2022</t>
        </is>
      </c>
      <c r="B4614" s="8" t="n">
        <v>163.679876399</v>
      </c>
      <c r="C4614" s="15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9" t="inlineStr">
        <is>
          <t>04/01/2022</t>
        </is>
      </c>
      <c r="B4615" s="8" t="n">
        <v>159.662413989</v>
      </c>
      <c r="C4615" s="15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9" t="inlineStr">
        <is>
          <t>05/01/2022</t>
        </is>
      </c>
      <c r="B4616" s="8" t="n">
        <v>162.009457818</v>
      </c>
      <c r="C4616" s="15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9" t="inlineStr">
        <is>
          <t>06/01/2022</t>
        </is>
      </c>
      <c r="B4617" s="8" t="n">
        <v>161.882590584</v>
      </c>
      <c r="C4617" s="15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9" t="inlineStr">
        <is>
          <t>07/01/2022</t>
        </is>
      </c>
      <c r="B4618" s="8" t="n">
        <v>161.6817174635</v>
      </c>
      <c r="C4618" s="15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9" t="inlineStr">
        <is>
          <t>10/01/2022</t>
        </is>
      </c>
      <c r="B4619" s="8" t="n">
        <v>160.000726613</v>
      </c>
      <c r="C4619" s="15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9" t="inlineStr">
        <is>
          <t>11/01/2022</t>
        </is>
      </c>
      <c r="B4620" s="8" t="n">
        <v>161.100242641</v>
      </c>
      <c r="C4620" s="15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9" t="inlineStr">
        <is>
          <t>12/01/2022</t>
        </is>
      </c>
      <c r="B4621" s="8" t="n">
        <v>160.994519946</v>
      </c>
      <c r="C4621" s="15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9" t="inlineStr">
        <is>
          <t>13/01/2022</t>
        </is>
      </c>
      <c r="B4622" s="8" t="n">
        <v>161.713434272</v>
      </c>
      <c r="C4622" s="15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9" t="inlineStr">
        <is>
          <t>14/01/2022</t>
        </is>
      </c>
      <c r="B4623" s="8" t="n">
        <v>161.8931628535</v>
      </c>
      <c r="C4623" s="15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9" t="inlineStr">
        <is>
          <t>17/01/2022</t>
        </is>
      </c>
      <c r="B4624" s="8" t="n">
        <v>159.1443727835</v>
      </c>
      <c r="C4624" s="15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9" t="inlineStr">
        <is>
          <t>18/01/2022</t>
        </is>
      </c>
      <c r="B4625" s="8" t="n">
        <v>159.472113138</v>
      </c>
      <c r="C4625" s="15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9" t="inlineStr">
        <is>
          <t>19/01/2022</t>
        </is>
      </c>
      <c r="B4626" s="8" t="n">
        <v>160.127593847</v>
      </c>
      <c r="C4626" s="15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9" t="inlineStr">
        <is>
          <t>20/01/2022</t>
        </is>
      </c>
      <c r="B4627" s="8" t="n">
        <v>160.7513577475</v>
      </c>
      <c r="C4627" s="15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9" t="inlineStr">
        <is>
          <t>21/01/2022</t>
        </is>
      </c>
      <c r="B4628" s="8" t="n">
        <v>160.254461081</v>
      </c>
      <c r="C4628" s="15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9" t="inlineStr">
        <is>
          <t>24/01/2022</t>
        </is>
      </c>
      <c r="B4629" s="8" t="n">
        <v>160.339039237</v>
      </c>
      <c r="C4629" s="15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9" t="inlineStr">
        <is>
          <t>25/01/2022</t>
        </is>
      </c>
      <c r="B4630" s="8" t="n">
        <v>156.829045763</v>
      </c>
      <c r="C4630" s="15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9" t="inlineStr">
        <is>
          <t>26/01/2022</t>
        </is>
      </c>
      <c r="B4631" s="8" t="n">
        <v>158.7426265425</v>
      </c>
      <c r="C4631" s="15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9" t="inlineStr">
        <is>
          <t>27/01/2022</t>
        </is>
      </c>
      <c r="B4632" s="8" t="n">
        <v>159.112655975</v>
      </c>
      <c r="C4632" s="15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9" t="inlineStr">
        <is>
          <t>28/01/2022</t>
        </is>
      </c>
      <c r="B4633" s="8" t="n">
        <v>157.547960089</v>
      </c>
      <c r="C4633" s="15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9" t="inlineStr">
        <is>
          <t>31/01/2022</t>
        </is>
      </c>
      <c r="B4634" s="8" t="n">
        <v>155.454650728</v>
      </c>
      <c r="C4634" s="15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9" t="inlineStr">
        <is>
          <t>01/02/2022</t>
        </is>
      </c>
      <c r="B4635" s="8" t="n">
        <v>153.5226841593</v>
      </c>
      <c r="C4635" s="15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9" t="inlineStr">
        <is>
          <t>02/02/2022</t>
        </is>
      </c>
      <c r="B4636" s="8" t="n">
        <v>152.1314594567</v>
      </c>
      <c r="C4636" s="15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9" t="inlineStr">
        <is>
          <t>03/02/2022</t>
        </is>
      </c>
      <c r="B4637" s="8" t="n">
        <v>150.3457083459</v>
      </c>
      <c r="C4637" s="15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9" t="inlineStr">
        <is>
          <t>04/02/2022</t>
        </is>
      </c>
      <c r="B4638" s="8" t="n">
        <v>151.9238139787</v>
      </c>
      <c r="C4638" s="15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9" t="inlineStr">
        <is>
          <t>07/02/2022</t>
        </is>
      </c>
      <c r="B4639" s="8" t="n">
        <v>152.2768112913</v>
      </c>
      <c r="C4639" s="15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9" t="inlineStr">
        <is>
          <t>08/02/2022</t>
        </is>
      </c>
      <c r="B4640" s="8" t="n">
        <v>151.0517029711</v>
      </c>
      <c r="C4640" s="15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9" t="inlineStr">
        <is>
          <t>09/02/2022</t>
        </is>
      </c>
      <c r="B4641" s="8" t="n">
        <v>152.9620413687</v>
      </c>
      <c r="C4641" s="15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9" t="inlineStr">
        <is>
          <t>10/02/2022</t>
        </is>
      </c>
      <c r="B4642" s="8" t="n">
        <v>150.6156474673</v>
      </c>
      <c r="C4642" s="15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9" t="inlineStr">
        <is>
          <t>11/02/2022</t>
        </is>
      </c>
      <c r="B4643" s="8" t="n">
        <v>154.2909724279</v>
      </c>
      <c r="C4643" s="15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9" t="inlineStr">
        <is>
          <t>14/02/2022</t>
        </is>
      </c>
      <c r="B4644" s="8" t="n">
        <v>154.1975319628</v>
      </c>
      <c r="C4644" s="15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9" t="inlineStr">
        <is>
          <t>15/02/2022</t>
        </is>
      </c>
      <c r="B4645" s="8" t="n">
        <v>154.7789393012</v>
      </c>
      <c r="C4645" s="15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9" t="inlineStr">
        <is>
          <t>16/02/2022</t>
        </is>
      </c>
      <c r="B4646" s="8" t="n">
        <v>151.0517029711</v>
      </c>
      <c r="C4646" s="15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9" t="inlineStr">
        <is>
          <t>17/02/2022</t>
        </is>
      </c>
      <c r="B4647" s="8" t="n">
        <v>153.8964460197</v>
      </c>
      <c r="C4647" s="15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9" t="inlineStr">
        <is>
          <t>18/02/2022</t>
        </is>
      </c>
      <c r="B4648" s="8" t="n">
        <v>151.2074370796</v>
      </c>
      <c r="C4648" s="15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9" t="inlineStr">
        <is>
          <t>21/02/2022</t>
        </is>
      </c>
      <c r="B4649" s="8" t="n">
        <v>150.3249437981</v>
      </c>
      <c r="C4649" s="15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9" t="inlineStr">
        <is>
          <t>22/02/2022</t>
        </is>
      </c>
      <c r="B4650" s="8" t="n">
        <v>147.8331980621</v>
      </c>
      <c r="C4650" s="15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9" t="inlineStr">
        <is>
          <t>23/02/2022</t>
        </is>
      </c>
      <c r="B4651" s="8" t="n">
        <v>144.6666045226</v>
      </c>
      <c r="C4651" s="15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9" t="inlineStr">
        <is>
          <t>24/02/2022</t>
        </is>
      </c>
      <c r="B4652" s="8" t="n">
        <v>141.4169527919</v>
      </c>
      <c r="C4652" s="15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9" t="inlineStr">
        <is>
          <t>25/02/2022</t>
        </is>
      </c>
      <c r="B4653" s="8" t="n">
        <v>137.4820709838</v>
      </c>
      <c r="C4653" s="15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9" t="inlineStr">
        <is>
          <t>02/03/2022</t>
        </is>
      </c>
      <c r="B4654" s="8" t="n">
        <v>135.7124635581</v>
      </c>
      <c r="C4654" s="15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9" t="inlineStr">
        <is>
          <t>03/03/2022</t>
        </is>
      </c>
      <c r="B4655" s="8" t="n">
        <v>135.7124635581</v>
      </c>
      <c r="C4655" s="15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9" t="inlineStr">
        <is>
          <t>04/03/2022</t>
        </is>
      </c>
      <c r="B4656" s="8" t="n">
        <v>138.069752007</v>
      </c>
      <c r="C4656" s="15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9" t="inlineStr">
        <is>
          <t>07/03/2022</t>
        </is>
      </c>
      <c r="B4657" s="8" t="n">
        <v>137.5493117001</v>
      </c>
      <c r="C4657" s="15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9" t="inlineStr">
        <is>
          <t>08/03/2022</t>
        </is>
      </c>
      <c r="B4658" s="8" t="n">
        <v>137.1207138003</v>
      </c>
      <c r="C4658" s="15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9" t="inlineStr">
        <is>
          <t>09/03/2022</t>
        </is>
      </c>
      <c r="B4659" s="8" t="n">
        <v>139.3147268588</v>
      </c>
      <c r="C4659" s="15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9" t="inlineStr">
        <is>
          <t>10/03/2022</t>
        </is>
      </c>
      <c r="B4660" s="8" t="n">
        <v>139.7841436062</v>
      </c>
      <c r="C4660" s="15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9" t="inlineStr">
        <is>
          <t>11/03/2022</t>
        </is>
      </c>
      <c r="B4661" s="8" t="n">
        <v>139.4882069611</v>
      </c>
      <c r="C4661" s="15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9" t="inlineStr">
        <is>
          <t>14/03/2022</t>
        </is>
      </c>
      <c r="B4662" s="8" t="n">
        <v>138.6718300091</v>
      </c>
      <c r="C4662" s="15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9" t="inlineStr">
        <is>
          <t>15/03/2022</t>
        </is>
      </c>
      <c r="B4663" s="8" t="n">
        <v>139.3045221469</v>
      </c>
      <c r="C4663" s="15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9" t="inlineStr">
        <is>
          <t>16/03/2022</t>
        </is>
      </c>
      <c r="B4664" s="8" t="n">
        <v>140.4882687273</v>
      </c>
      <c r="C4664" s="15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9" t="inlineStr">
        <is>
          <t>17/03/2022</t>
        </is>
      </c>
      <c r="B4665" s="8" t="n">
        <v>141.0699373056</v>
      </c>
      <c r="C4665" s="15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9" t="inlineStr">
        <is>
          <t>18/03/2022</t>
        </is>
      </c>
      <c r="B4666" s="8" t="n">
        <v>139.4167739778</v>
      </c>
      <c r="C4666" s="15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9" t="inlineStr">
        <is>
          <t>21/03/2022</t>
        </is>
      </c>
      <c r="B4667" s="8" t="n">
        <v>142.1822509027</v>
      </c>
      <c r="C4667" s="15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9" t="inlineStr">
        <is>
          <t>22/03/2022</t>
        </is>
      </c>
      <c r="B4668" s="8" t="n">
        <v>142.2128650384</v>
      </c>
      <c r="C4668" s="15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9" t="inlineStr">
        <is>
          <t>23/03/2022</t>
        </is>
      </c>
      <c r="B4669" s="8" t="n">
        <v>142.1414320551</v>
      </c>
      <c r="C4669" s="15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9" t="inlineStr">
        <is>
          <t>24/03/2022</t>
        </is>
      </c>
      <c r="B4670" s="8" t="n">
        <v>142.2230697503</v>
      </c>
      <c r="C4670" s="15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9" t="inlineStr">
        <is>
          <t>25/03/2022</t>
        </is>
      </c>
      <c r="B4671" s="8" t="n">
        <v>142.8659666</v>
      </c>
      <c r="C4671" s="15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9" t="inlineStr">
        <is>
          <t>28/03/2022</t>
        </is>
      </c>
      <c r="B4672" s="8" t="n">
        <v>142.8659666</v>
      </c>
      <c r="C4672" s="15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9" t="inlineStr">
        <is>
          <t>29/03/2022</t>
        </is>
      </c>
      <c r="B4673" s="8" t="n">
        <v>143.4578398902</v>
      </c>
      <c r="C4673" s="15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9" t="inlineStr">
        <is>
          <t>30/03/2022</t>
        </is>
      </c>
      <c r="B4674" s="8" t="n">
        <v>143.7027529758</v>
      </c>
      <c r="C4674" s="15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9" t="inlineStr">
        <is>
          <t>31/03/2022</t>
        </is>
      </c>
      <c r="B4675" s="8" t="n">
        <v>145.7845142034</v>
      </c>
      <c r="C4675" s="15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9" t="inlineStr">
        <is>
          <t>01/04/2022</t>
        </is>
      </c>
      <c r="B4676" s="8" t="n">
        <v>144.55249549</v>
      </c>
      <c r="C4676" s="15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9" t="inlineStr">
        <is>
          <t>04/04/2022</t>
        </is>
      </c>
      <c r="B4677" s="8" t="n">
        <v>144.55249549</v>
      </c>
      <c r="C4677" s="15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9" t="inlineStr">
        <is>
          <t>05/04/2022</t>
        </is>
      </c>
      <c r="B4678" s="8" t="n">
        <v>144.129856798</v>
      </c>
      <c r="C4678" s="15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9" t="inlineStr">
        <is>
          <t>06/04/2022</t>
        </is>
      </c>
      <c r="B4679" s="8" t="n">
        <v>143.304705066</v>
      </c>
      <c r="C4679" s="15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9" t="inlineStr">
        <is>
          <t>07/04/2022</t>
        </is>
      </c>
      <c r="B4680" s="8" t="n">
        <v>143.365082022</v>
      </c>
      <c r="C4680" s="15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9" t="inlineStr">
        <is>
          <t>08/04/2022</t>
        </is>
      </c>
      <c r="B4681" s="8" t="n">
        <v>142.650621376</v>
      </c>
      <c r="C4681" s="15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9" t="inlineStr">
        <is>
          <t>11/04/2022</t>
        </is>
      </c>
      <c r="B4682" s="8" t="n">
        <v>144.341176144</v>
      </c>
      <c r="C4682" s="15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9" t="inlineStr">
        <is>
          <t>12/04/2022</t>
        </is>
      </c>
      <c r="B4683" s="8" t="n">
        <v>143.153762676</v>
      </c>
      <c r="C4683" s="15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9" t="inlineStr">
        <is>
          <t>13/04/2022</t>
        </is>
      </c>
      <c r="B4684" s="8" t="n">
        <v>142.378925074</v>
      </c>
      <c r="C4684" s="15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9" t="inlineStr">
        <is>
          <t>14/04/2022</t>
        </is>
      </c>
      <c r="B4685" s="8" t="n">
        <v>142.378925074</v>
      </c>
      <c r="C4685" s="15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9" t="inlineStr">
        <is>
          <t>18/04/2022</t>
        </is>
      </c>
      <c r="B4686" s="8" t="n">
        <v>143.375144848</v>
      </c>
      <c r="C4686" s="15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9" t="inlineStr">
        <is>
          <t>19/04/2022</t>
        </is>
      </c>
      <c r="B4687" s="8" t="n">
        <v>141.875783774</v>
      </c>
      <c r="C4687" s="15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9" t="inlineStr">
        <is>
          <t>20/04/2022</t>
        </is>
      </c>
      <c r="B4688" s="8" t="n">
        <v>140.446862482</v>
      </c>
      <c r="C4688" s="15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9" t="inlineStr">
        <is>
          <t>22/04/2022</t>
        </is>
      </c>
      <c r="B4689" s="8" t="n">
        <v>140.446862482</v>
      </c>
      <c r="C4689" s="15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9" t="inlineStr">
        <is>
          <t>25/04/2022</t>
        </is>
      </c>
      <c r="B4690" s="8" t="n">
        <v>140.356297048</v>
      </c>
      <c r="C4690" s="15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9" t="inlineStr">
        <is>
          <t>26/04/2022</t>
        </is>
      </c>
      <c r="B4691" s="8" t="n">
        <v>137.981470112</v>
      </c>
      <c r="C4691" s="15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9" t="inlineStr">
        <is>
          <t>27/04/2022</t>
        </is>
      </c>
      <c r="B4692" s="8" t="n">
        <v>137.800339244</v>
      </c>
      <c r="C4692" s="15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9" t="inlineStr">
        <is>
          <t>28/04/2022</t>
        </is>
      </c>
      <c r="B4693" s="8" t="n">
        <v>136.311040996</v>
      </c>
      <c r="C4693" s="15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9" t="inlineStr">
        <is>
          <t>29/04/2022</t>
        </is>
      </c>
      <c r="B4694" s="8" t="n">
        <v>136.280852518</v>
      </c>
      <c r="C4694" s="15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9" t="inlineStr">
        <is>
          <t>02/05/2022</t>
        </is>
      </c>
      <c r="B4695" s="8" t="n">
        <v>135.25551347</v>
      </c>
      <c r="C4695" s="15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9" t="inlineStr">
        <is>
          <t>03/05/2022</t>
        </is>
      </c>
      <c r="B4696" s="8" t="n">
        <v>132.83290713</v>
      </c>
      <c r="C4696" s="15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9" t="inlineStr">
        <is>
          <t>04/05/2022</t>
        </is>
      </c>
      <c r="B4697" s="8" t="n">
        <v>134.35454417</v>
      </c>
      <c r="C4697" s="15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9" t="inlineStr">
        <is>
          <t>05/05/2022</t>
        </is>
      </c>
      <c r="B4698" s="8" t="n">
        <v>133.57370411</v>
      </c>
      <c r="C4698" s="15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9" t="inlineStr">
        <is>
          <t>06/05/2022</t>
        </is>
      </c>
      <c r="B4699" s="8" t="n">
        <v>134.52472726</v>
      </c>
      <c r="C4699" s="15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9" t="inlineStr">
        <is>
          <t>09/05/2022</t>
        </is>
      </c>
      <c r="B4700" s="8" t="n">
        <v>133.46358564</v>
      </c>
      <c r="C4700" s="15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9" t="inlineStr">
        <is>
          <t>10/05/2022</t>
        </is>
      </c>
      <c r="B4701" s="8" t="n">
        <v>132.97305791</v>
      </c>
      <c r="C4701" s="15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9" t="inlineStr">
        <is>
          <t>11/05/2022</t>
        </is>
      </c>
      <c r="B4702" s="8" t="n">
        <v>132.92300406</v>
      </c>
      <c r="C4702" s="15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9" t="inlineStr">
        <is>
          <t>12/05/2022</t>
        </is>
      </c>
      <c r="B4703" s="8" t="n">
        <v>131.35131317</v>
      </c>
      <c r="C4703" s="15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9" t="inlineStr">
        <is>
          <t>13/05/2022</t>
        </is>
      </c>
      <c r="B4704" s="8" t="n">
        <v>132.10212092</v>
      </c>
      <c r="C4704" s="15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9" t="inlineStr">
        <is>
          <t>16/05/2022</t>
        </is>
      </c>
      <c r="B4705" s="8" t="n">
        <v>131.141087</v>
      </c>
      <c r="C4705" s="15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9" t="inlineStr">
        <is>
          <t>17/05/2022</t>
        </is>
      </c>
      <c r="B4706" s="8" t="n">
        <v>130.65055927</v>
      </c>
      <c r="C4706" s="15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9" t="inlineStr">
        <is>
          <t>18/05/2022</t>
        </is>
      </c>
      <c r="B4707" s="8" t="n">
        <v>129.99985922</v>
      </c>
      <c r="C4707" s="15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9" t="inlineStr">
        <is>
          <t>19/05/2022</t>
        </is>
      </c>
      <c r="B4708" s="8" t="n">
        <v>129.45927764</v>
      </c>
      <c r="C4708" s="15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9" t="inlineStr">
        <is>
          <t>20/05/2022</t>
        </is>
      </c>
      <c r="B4709" s="8" t="n">
        <v>130.72063466</v>
      </c>
      <c r="C4709" s="15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9" t="inlineStr">
        <is>
          <t>23/05/2022</t>
        </is>
      </c>
      <c r="B4710" s="8" t="n">
        <v>132.11213169</v>
      </c>
      <c r="C4710" s="15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9" t="inlineStr">
        <is>
          <t>24/05/2022</t>
        </is>
      </c>
      <c r="B4711" s="8" t="n">
        <v>131.9419486</v>
      </c>
      <c r="C4711" s="15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9" t="inlineStr">
        <is>
          <t>25/05/2022</t>
        </is>
      </c>
      <c r="B4712" s="8" t="n">
        <v>132.02203476</v>
      </c>
      <c r="C4712" s="15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9" t="inlineStr">
        <is>
          <t>26/05/2022</t>
        </is>
      </c>
      <c r="B4713" s="8" t="n">
        <v>130.93086083</v>
      </c>
      <c r="C4713" s="15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9" t="inlineStr">
        <is>
          <t>27/05/2022</t>
        </is>
      </c>
      <c r="B4714" s="8" t="n">
        <v>130.16003154</v>
      </c>
      <c r="C4714" s="15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9" t="inlineStr">
        <is>
          <t>30/05/2022</t>
        </is>
      </c>
      <c r="B4715" s="8" t="n">
        <v>130.82074236</v>
      </c>
      <c r="C4715" s="15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9" t="inlineStr">
        <is>
          <t>31/05/2022</t>
        </is>
      </c>
      <c r="B4716" s="8" t="n">
        <v>131.06100084</v>
      </c>
      <c r="C4716" s="15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9" t="inlineStr">
        <is>
          <t>01/06/2022</t>
        </is>
      </c>
      <c r="B4717" s="8" t="n">
        <v>130.0136190856</v>
      </c>
      <c r="C4717" s="15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9" t="inlineStr">
        <is>
          <t>02/06/2022</t>
        </is>
      </c>
      <c r="B4718" s="8" t="n">
        <v>127.9336400295</v>
      </c>
      <c r="C4718" s="15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9" t="inlineStr">
        <is>
          <t>03/06/2022</t>
        </is>
      </c>
      <c r="B4719" s="8" t="n">
        <v>129.2174548536</v>
      </c>
      <c r="C4719" s="15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9" t="inlineStr">
        <is>
          <t>06/06/2022</t>
        </is>
      </c>
      <c r="B4720" s="8" t="n">
        <v>129.3368794884</v>
      </c>
      <c r="C4720" s="15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9" t="inlineStr">
        <is>
          <t>07/06/2022</t>
        </is>
      </c>
      <c r="B4721" s="8" t="n">
        <v>128.6601398912</v>
      </c>
      <c r="C4721" s="15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9" t="inlineStr">
        <is>
          <t>08/06/2022</t>
        </is>
      </c>
      <c r="B4722" s="8" t="n">
        <v>128.7696124731</v>
      </c>
      <c r="C4722" s="15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9" t="inlineStr">
        <is>
          <t>09/06/2022</t>
        </is>
      </c>
      <c r="B4723" s="8" t="n">
        <v>128.1724892991</v>
      </c>
      <c r="C4723" s="15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9" t="inlineStr">
        <is>
          <t>10/06/2022</t>
        </is>
      </c>
      <c r="B4724" s="8" t="n">
        <v>126.5801608351</v>
      </c>
      <c r="C4724" s="15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9" t="inlineStr">
        <is>
          <t>13/06/2022</t>
        </is>
      </c>
      <c r="B4725" s="8" t="n">
        <v>126.7095375228</v>
      </c>
      <c r="C4725" s="15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9" t="inlineStr">
        <is>
          <t>14/06/2022</t>
        </is>
      </c>
      <c r="B4726" s="8" t="n">
        <v>126.1024622959</v>
      </c>
      <c r="C4726" s="15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9" t="inlineStr">
        <is>
          <t>15/06/2022</t>
        </is>
      </c>
      <c r="B4727" s="8" t="n">
        <v>126.490592359</v>
      </c>
      <c r="C4727" s="15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9" t="inlineStr">
        <is>
          <t>17/06/2022</t>
        </is>
      </c>
      <c r="B4728" s="8" t="n">
        <v>126.0825581901</v>
      </c>
      <c r="C4728" s="15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9" t="inlineStr">
        <is>
          <t>20/06/2022</t>
        </is>
      </c>
      <c r="B4729" s="8" t="n">
        <v>125.7242842857</v>
      </c>
      <c r="C4729" s="15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9" t="inlineStr">
        <is>
          <t>21/06/2022</t>
        </is>
      </c>
      <c r="B4730" s="8" t="n">
        <v>126.4109759358</v>
      </c>
      <c r="C4730" s="15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9" t="inlineStr">
        <is>
          <t>22/06/2022</t>
        </is>
      </c>
      <c r="B4731" s="8" t="n">
        <v>125.5650514393</v>
      </c>
      <c r="C4731" s="15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9" t="inlineStr">
        <is>
          <t>23/06/2022</t>
        </is>
      </c>
      <c r="B4732" s="8" t="n">
        <v>126.1422705075</v>
      </c>
      <c r="C4732" s="15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9" t="inlineStr">
        <is>
          <t>24/06/2022</t>
        </is>
      </c>
      <c r="B4733" s="8" t="n">
        <v>126.5304005706</v>
      </c>
      <c r="C4733" s="15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9" t="inlineStr">
        <is>
          <t>27/06/2022</t>
        </is>
      </c>
      <c r="B4734" s="8" t="n">
        <v>126.7194895757</v>
      </c>
      <c r="C4734" s="15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9" t="inlineStr">
        <is>
          <t>28/06/2022</t>
        </is>
      </c>
      <c r="B4735" s="8" t="n">
        <v>127.4061812258</v>
      </c>
      <c r="C4735" s="15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9" t="inlineStr">
        <is>
          <t>29/06/2022</t>
        </is>
      </c>
      <c r="B4736" s="8" t="n">
        <v>127.3265648026</v>
      </c>
      <c r="C4736" s="15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9" t="inlineStr">
        <is>
          <t>30/06/2022</t>
        </is>
      </c>
      <c r="B4737" s="8" t="n">
        <v>126.4507841474</v>
      </c>
      <c r="C4737" s="15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9" t="inlineStr">
        <is>
          <t>01/07/2022</t>
        </is>
      </c>
      <c r="B4738" s="8" t="n">
        <v>125.9573766242</v>
      </c>
      <c r="C4738" s="15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9" t="inlineStr">
        <is>
          <t>04/07/2022</t>
        </is>
      </c>
      <c r="B4739" s="8" t="n">
        <v>126.7618036136</v>
      </c>
      <c r="C4739" s="15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9" t="inlineStr">
        <is>
          <t>05/07/2022</t>
        </is>
      </c>
      <c r="B4740" s="8" t="n">
        <v>125.778615071</v>
      </c>
      <c r="C4740" s="15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9" t="inlineStr">
        <is>
          <t>06/07/2022</t>
        </is>
      </c>
      <c r="B4741" s="8" t="n">
        <v>125.579991123</v>
      </c>
      <c r="C4741" s="15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9" t="inlineStr">
        <is>
          <t>07/07/2022</t>
        </is>
      </c>
      <c r="B4742" s="8" t="n">
        <v>125.9077206372</v>
      </c>
      <c r="C4742" s="15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9" t="inlineStr">
        <is>
          <t>08/07/2022</t>
        </is>
      </c>
      <c r="B4743" s="8" t="n">
        <v>125.1132248452</v>
      </c>
      <c r="C4743" s="15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9" t="inlineStr">
        <is>
          <t>11/07/2022</t>
        </is>
      </c>
      <c r="B4744" s="8" t="n">
        <v>125.728959084</v>
      </c>
      <c r="C4744" s="15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9" t="inlineStr">
        <is>
          <t>12/07/2022</t>
        </is>
      </c>
      <c r="B4745" s="8" t="n">
        <v>125.4111607672</v>
      </c>
      <c r="C4745" s="15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9" t="inlineStr">
        <is>
          <t>13/07/2022</t>
        </is>
      </c>
      <c r="B4746" s="8" t="n">
        <v>126.2354501514</v>
      </c>
      <c r="C4746" s="15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9" t="inlineStr">
        <is>
          <t>14/07/2022</t>
        </is>
      </c>
      <c r="B4747" s="8" t="n">
        <v>126.6326980474</v>
      </c>
      <c r="C4747" s="15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9" t="inlineStr">
        <is>
          <t>15/07/2022</t>
        </is>
      </c>
      <c r="B4748" s="8" t="n">
        <v>126.8412531928</v>
      </c>
      <c r="C4748" s="15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9" t="inlineStr">
        <is>
          <t>18/07/2022</t>
        </is>
      </c>
      <c r="B4749" s="8" t="n">
        <v>130.09868594</v>
      </c>
      <c r="C4749" s="15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9" t="inlineStr">
        <is>
          <t>19/07/2022</t>
        </is>
      </c>
      <c r="B4750" s="8" t="n">
        <v>130.2178603088</v>
      </c>
      <c r="C4750" s="15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9" t="inlineStr">
        <is>
          <t>20/07/2022</t>
        </is>
      </c>
      <c r="B4751" s="8" t="n">
        <v>131.0818744826</v>
      </c>
      <c r="C4751" s="15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9" t="inlineStr">
        <is>
          <t>21/07/2022</t>
        </is>
      </c>
      <c r="B4752" s="8" t="n">
        <v>130.545589823</v>
      </c>
      <c r="C4752" s="15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9" t="inlineStr">
        <is>
          <t>22/07/2022</t>
        </is>
      </c>
      <c r="B4753" s="8" t="n">
        <v>130.2079291114</v>
      </c>
      <c r="C4753" s="15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9" t="inlineStr">
        <is>
          <t>25/07/2022</t>
        </is>
      </c>
      <c r="B4754" s="8" t="n">
        <v>129.1850157792</v>
      </c>
      <c r="C4754" s="15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9" t="inlineStr">
        <is>
          <t>26/07/2022</t>
        </is>
      </c>
      <c r="B4755" s="8" t="n">
        <v>129.2644653584</v>
      </c>
      <c r="C4755" s="15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9" t="inlineStr">
        <is>
          <t>27/07/2022</t>
        </is>
      </c>
      <c r="B4756" s="8" t="n">
        <v>129.5921948726</v>
      </c>
      <c r="C4756" s="15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9" t="inlineStr">
        <is>
          <t>28/07/2022</t>
        </is>
      </c>
      <c r="B4757" s="8" t="n">
        <v>130.793869758</v>
      </c>
      <c r="C4757" s="15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9" t="inlineStr">
        <is>
          <t>29/07/2022</t>
        </is>
      </c>
      <c r="B4758" s="8" t="n">
        <v>130.5555210204</v>
      </c>
      <c r="C4758" s="15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9" t="inlineStr">
        <is>
          <t>01/08/2022</t>
        </is>
      </c>
      <c r="B4759" s="8" t="n">
        <v>131.51585627</v>
      </c>
      <c r="C4759" s="15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9" t="inlineStr">
        <is>
          <t>02/08/2022</t>
        </is>
      </c>
      <c r="B4760" s="8" t="n">
        <v>129.3455946114</v>
      </c>
      <c r="C4760" s="15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9" t="inlineStr">
        <is>
          <t>03/08/2022</t>
        </is>
      </c>
      <c r="B4761" s="8" t="n">
        <v>128.8555355272</v>
      </c>
      <c r="C4761" s="15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9" t="inlineStr">
        <is>
          <t>04/08/2022</t>
        </is>
      </c>
      <c r="B4762" s="8" t="n">
        <v>129.4956126984</v>
      </c>
      <c r="C4762" s="15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9" t="inlineStr">
        <is>
          <t>05/08/2022</t>
        </is>
      </c>
      <c r="B4763" s="8" t="n">
        <v>129.6256283738</v>
      </c>
      <c r="C4763" s="15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9" t="inlineStr">
        <is>
          <t>08/08/2022</t>
        </is>
      </c>
      <c r="B4764" s="8" t="n">
        <v>129.565621139</v>
      </c>
      <c r="C4764" s="15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9" t="inlineStr">
        <is>
          <t>09/08/2022</t>
        </is>
      </c>
      <c r="B4765" s="8" t="n">
        <v>129.9756705768</v>
      </c>
      <c r="C4765" s="15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9" t="inlineStr">
        <is>
          <t>10/08/2022</t>
        </is>
      </c>
      <c r="B4766" s="8" t="n">
        <v>129.7856476666</v>
      </c>
      <c r="C4766" s="15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9" t="inlineStr">
        <is>
          <t>11/08/2022</t>
        </is>
      </c>
      <c r="B4767" s="8" t="n">
        <v>129.9556681652</v>
      </c>
      <c r="C4767" s="15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9" t="inlineStr">
        <is>
          <t>12/08/2022</t>
        </is>
      </c>
      <c r="B4768" s="8" t="n">
        <v>129.9556681652</v>
      </c>
      <c r="C4768" s="15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9" t="inlineStr">
        <is>
          <t>15/08/2022</t>
        </is>
      </c>
      <c r="B4769" s="8" t="n">
        <v>129.1555717012</v>
      </c>
      <c r="C4769" s="15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9" t="inlineStr">
        <is>
          <t>16/08/2022</t>
        </is>
      </c>
      <c r="B4770" s="8" t="n">
        <v>129.4856114926</v>
      </c>
      <c r="C4770" s="15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9" t="inlineStr">
        <is>
          <t>17/08/2022</t>
        </is>
      </c>
      <c r="B4771" s="8" t="n">
        <v>130.0056741942</v>
      </c>
      <c r="C4771" s="15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9" t="inlineStr">
        <is>
          <t>18/08/2022</t>
        </is>
      </c>
      <c r="B4772" s="8" t="n">
        <v>128.2554631792</v>
      </c>
      <c r="C4772" s="15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9" t="inlineStr">
        <is>
          <t>19/08/2022</t>
        </is>
      </c>
      <c r="B4773" s="8" t="n">
        <v>127.7554028892</v>
      </c>
      <c r="C4773" s="15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9" t="inlineStr">
        <is>
          <t>22/08/2022</t>
        </is>
      </c>
      <c r="B4774" s="8" t="n">
        <v>128.965548791</v>
      </c>
      <c r="C4774" s="15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9" t="inlineStr">
        <is>
          <t>23/08/2022</t>
        </is>
      </c>
      <c r="B4775" s="8" t="n">
        <v>129.115566878</v>
      </c>
      <c r="C4775" s="15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9" t="inlineStr">
        <is>
          <t>24/08/2022</t>
        </is>
      </c>
      <c r="B4776" s="8" t="n">
        <v>128.165452327</v>
      </c>
      <c r="C4776" s="15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9" t="inlineStr">
        <is>
          <t>25/08/2022</t>
        </is>
      </c>
      <c r="B4777" s="8" t="n">
        <v>128.0954438864</v>
      </c>
      <c r="C4777" s="15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9" t="inlineStr">
        <is>
          <t>26/08/2022</t>
        </is>
      </c>
      <c r="B4778" s="8" t="n">
        <v>127.7454016834</v>
      </c>
      <c r="C4778" s="15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9" t="inlineStr">
        <is>
          <t>29/08/2022</t>
        </is>
      </c>
      <c r="B4779" s="8" t="n">
        <v>128.215458356</v>
      </c>
      <c r="C4779" s="15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9" t="inlineStr">
        <is>
          <t>30/08/2022</t>
        </is>
      </c>
      <c r="B4780" s="8" t="n">
        <v>126.2352196076</v>
      </c>
      <c r="C4780" s="15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9" t="inlineStr">
        <is>
          <t>31/08/2022</t>
        </is>
      </c>
      <c r="B4781" s="8" t="n">
        <v>125.0850809406</v>
      </c>
      <c r="C4781" s="15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9" t="inlineStr">
        <is>
          <t>01/09/2022</t>
        </is>
      </c>
      <c r="B4782" s="8" t="n">
        <v>125.1942975114</v>
      </c>
      <c r="C4782" s="15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9" t="inlineStr">
        <is>
          <t>02/09/2022</t>
        </is>
      </c>
      <c r="B4783" s="8" t="n">
        <v>123.9220593078</v>
      </c>
      <c r="C4783" s="15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9" t="inlineStr">
        <is>
          <t>05/09/2022</t>
        </is>
      </c>
      <c r="B4784" s="8" t="n">
        <v>126.2141075</v>
      </c>
      <c r="C4784" s="15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9" t="inlineStr">
        <is>
          <t>06/09/2022</t>
        </is>
      </c>
      <c r="B4785" s="8" t="n">
        <v>126.163621857</v>
      </c>
      <c r="C4785" s="15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9" t="inlineStr">
        <is>
          <t>08/09/2022</t>
        </is>
      </c>
      <c r="B4786" s="8" t="n">
        <v>126.1535247284</v>
      </c>
      <c r="C4786" s="15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9" t="inlineStr">
        <is>
          <t>09/09/2022</t>
        </is>
      </c>
      <c r="B4787" s="8" t="n">
        <v>126.3453701718</v>
      </c>
      <c r="C4787" s="15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9" t="inlineStr">
        <is>
          <t>12/09/2022</t>
        </is>
      </c>
      <c r="B4788" s="8" t="n">
        <v>125.0125491966</v>
      </c>
      <c r="C4788" s="15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9" t="inlineStr">
        <is>
          <t>13/09/2022</t>
        </is>
      </c>
      <c r="B4789" s="8" t="n">
        <v>125.1438118684</v>
      </c>
      <c r="C4789" s="15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9" t="inlineStr">
        <is>
          <t>14/09/2022</t>
        </is>
      </c>
      <c r="B4790" s="8" t="n">
        <v>125.254880283</v>
      </c>
      <c r="C4790" s="15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9" t="inlineStr">
        <is>
          <t>15/09/2022</t>
        </is>
      </c>
      <c r="B4791" s="8" t="n">
        <v>125.456822855</v>
      </c>
      <c r="C4791" s="15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9" t="inlineStr">
        <is>
          <t>16/09/2022</t>
        </is>
      </c>
      <c r="B4792" s="8" t="n">
        <v>125.103423354</v>
      </c>
      <c r="C4792" s="15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9" t="inlineStr">
        <is>
          <t>19/09/2022</t>
        </is>
      </c>
      <c r="B4793" s="8" t="n">
        <v>125.759736713</v>
      </c>
      <c r="C4793" s="15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9" t="inlineStr">
        <is>
          <t>20/09/2022</t>
        </is>
      </c>
      <c r="B4794" s="8" t="n">
        <v>125.9414850278</v>
      </c>
      <c r="C4794" s="15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9" t="inlineStr">
        <is>
          <t>21/09/2022</t>
        </is>
      </c>
      <c r="B4795" s="8" t="n">
        <v>126.113136214</v>
      </c>
      <c r="C4795" s="15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9" t="inlineStr">
        <is>
          <t>22/09/2022</t>
        </is>
      </c>
      <c r="B4796" s="8" t="n">
        <v>125.5880855268</v>
      </c>
      <c r="C4796" s="15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9" t="inlineStr">
        <is>
          <t>23/09/2022</t>
        </is>
      </c>
      <c r="B4797" s="8" t="n">
        <v>125.6385711698</v>
      </c>
      <c r="C4797" s="15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9" t="inlineStr">
        <is>
          <t>26/09/2022</t>
        </is>
      </c>
      <c r="B4798" s="8" t="n">
        <v>125.8304166132</v>
      </c>
      <c r="C4798" s="15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9" t="inlineStr">
        <is>
          <t>27/09/2022</t>
        </is>
      </c>
      <c r="B4799" s="8" t="n">
        <v>126.0727476996</v>
      </c>
      <c r="C4799" s="15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9" t="inlineStr">
        <is>
          <t>28/09/2022</t>
        </is>
      </c>
      <c r="B4800" s="8" t="n">
        <v>126.668478287</v>
      </c>
      <c r="C4800" s="15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9" t="inlineStr">
        <is>
          <t>29/09/2022</t>
        </is>
      </c>
      <c r="B4801" s="8" t="n">
        <v>125.5174056266</v>
      </c>
      <c r="C4801" s="15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9" t="inlineStr">
        <is>
          <t>30/09/2022</t>
        </is>
      </c>
      <c r="B4802" s="8" t="n">
        <v>125.6183769126</v>
      </c>
      <c r="C4802" s="15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9" t="inlineStr">
        <is>
          <t>03/10/2022</t>
        </is>
      </c>
      <c r="B4803" s="8" t="n">
        <v>127.17508219</v>
      </c>
      <c r="C4803" s="15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9" t="inlineStr">
        <is>
          <t>04/10/2022</t>
        </is>
      </c>
      <c r="B4804" s="8" t="n">
        <v>127.87860826</v>
      </c>
      <c r="C4804" s="15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9" t="inlineStr">
        <is>
          <t>05/10/2022</t>
        </is>
      </c>
      <c r="B4805" s="8" t="n">
        <v>127.89900032</v>
      </c>
      <c r="C4805" s="15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9" t="inlineStr">
        <is>
          <t>06/10/2022</t>
        </is>
      </c>
      <c r="B4806" s="8" t="n">
        <v>128.14370504</v>
      </c>
      <c r="C4806" s="15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9" t="inlineStr">
        <is>
          <t>07/10/2022</t>
        </is>
      </c>
      <c r="B4807" s="8" t="n">
        <v>128.02135268</v>
      </c>
      <c r="C4807" s="15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9" t="inlineStr">
        <is>
          <t>10/10/2022</t>
        </is>
      </c>
      <c r="B4808" s="8" t="n">
        <v>128.14370504</v>
      </c>
      <c r="C4808" s="15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9" t="inlineStr">
        <is>
          <t>11/10/2022</t>
        </is>
      </c>
      <c r="B4809" s="8" t="n">
        <v>128.11311695</v>
      </c>
      <c r="C4809" s="15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9" t="inlineStr">
        <is>
          <t>13/10/2022</t>
        </is>
      </c>
      <c r="B4810" s="8" t="n">
        <v>128.8778192</v>
      </c>
      <c r="C4810" s="15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9" t="inlineStr">
        <is>
          <t>14/10/2022</t>
        </is>
      </c>
      <c r="B4811" s="8" t="n">
        <v>128.66370257</v>
      </c>
      <c r="C4811" s="15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9" t="inlineStr">
        <is>
          <t>17/10/2022</t>
        </is>
      </c>
      <c r="B4812" s="8" t="n">
        <v>129.71389366</v>
      </c>
      <c r="C4812" s="15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9" t="inlineStr">
        <is>
          <t>18/10/2022</t>
        </is>
      </c>
      <c r="B4813" s="8" t="n">
        <v>129.60173733</v>
      </c>
      <c r="C4813" s="15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9" t="inlineStr">
        <is>
          <t>19/10/2022</t>
        </is>
      </c>
      <c r="B4814" s="8" t="n">
        <v>130.19310707</v>
      </c>
      <c r="C4814" s="15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9" t="inlineStr">
        <is>
          <t>20/10/2022</t>
        </is>
      </c>
      <c r="B4815" s="8" t="n">
        <v>130.79467284</v>
      </c>
      <c r="C4815" s="15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9" t="inlineStr">
        <is>
          <t>21/10/2022</t>
        </is>
      </c>
      <c r="B4816" s="8" t="n">
        <v>130.97820138</v>
      </c>
      <c r="C4816" s="15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9" t="inlineStr">
        <is>
          <t>24/10/2022</t>
        </is>
      </c>
      <c r="B4817" s="8" t="n">
        <v>130.33585149</v>
      </c>
      <c r="C4817" s="15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9" t="inlineStr">
        <is>
          <t>25/10/2022</t>
        </is>
      </c>
      <c r="B4818" s="8" t="n">
        <v>131.1209458</v>
      </c>
      <c r="C4818" s="15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9" t="inlineStr">
        <is>
          <t>26/10/2022</t>
        </is>
      </c>
      <c r="B4819" s="8" t="n">
        <v>130.66212445</v>
      </c>
      <c r="C4819" s="15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9" t="inlineStr">
        <is>
          <t>27/10/2022</t>
        </is>
      </c>
      <c r="B4820" s="8" t="n">
        <v>131.18212198</v>
      </c>
      <c r="C4820" s="15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9" t="inlineStr">
        <is>
          <t>28/10/2022</t>
        </is>
      </c>
      <c r="B4821" s="8" t="n">
        <v>131.27388625</v>
      </c>
      <c r="C4821" s="15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9" t="inlineStr">
        <is>
          <t>31/10/2022</t>
        </is>
      </c>
      <c r="B4822" s="8" t="n">
        <v>130.77428078</v>
      </c>
      <c r="C4822" s="15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9" t="inlineStr">
        <is>
          <t>01/11/2022</t>
        </is>
      </c>
      <c r="B4823" s="8" t="n">
        <v>132.3515248552</v>
      </c>
      <c r="C4823" s="15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9" t="inlineStr">
        <is>
          <t>03/11/2022</t>
        </is>
      </c>
      <c r="B4824" s="8" t="n">
        <v>132.0951886202</v>
      </c>
      <c r="C4824" s="15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9" t="inlineStr">
        <is>
          <t>04/11/2022</t>
        </is>
      </c>
      <c r="B4825" s="8" t="n">
        <v>132.4027921022</v>
      </c>
      <c r="C4825" s="15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9" t="inlineStr">
        <is>
          <t>07/11/2022</t>
        </is>
      </c>
      <c r="B4826" s="8" t="n">
        <v>132.0541748226</v>
      </c>
      <c r="C4826" s="15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9" t="inlineStr">
        <is>
          <t>08/11/2022</t>
        </is>
      </c>
      <c r="B4827" s="8" t="n">
        <v>132.3925386528</v>
      </c>
      <c r="C4827" s="15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9" t="inlineStr">
        <is>
          <t>09/11/2022</t>
        </is>
      </c>
      <c r="B4828" s="8" t="n">
        <v>132.320764507</v>
      </c>
      <c r="C4828" s="15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9" t="inlineStr">
        <is>
          <t>10/11/2022</t>
        </is>
      </c>
      <c r="B4829" s="8" t="n">
        <v>132.78216973</v>
      </c>
      <c r="C4829" s="15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9" t="inlineStr">
        <is>
          <t>11/11/2022</t>
        </is>
      </c>
      <c r="B4830" s="8" t="n">
        <v>133.3050956494</v>
      </c>
      <c r="C4830" s="15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9" t="inlineStr">
        <is>
          <t>14/11/2022</t>
        </is>
      </c>
      <c r="B4831" s="8" t="n">
        <v>133.3050956494</v>
      </c>
      <c r="C4831" s="15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9" t="inlineStr">
        <is>
          <t>16/11/2022</t>
        </is>
      </c>
      <c r="B4832" s="8" t="n">
        <v>133.2128146048</v>
      </c>
      <c r="C4832" s="15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9" t="inlineStr">
        <is>
          <t>17/11/2022</t>
        </is>
      </c>
      <c r="B4833" s="8" t="n">
        <v>135.0481820474</v>
      </c>
      <c r="C4833" s="15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9" t="inlineStr">
        <is>
          <t>18/11/2022</t>
        </is>
      </c>
      <c r="B4834" s="8" t="n">
        <v>135.2737579342</v>
      </c>
      <c r="C4834" s="15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9" t="inlineStr">
        <is>
          <t>21/11/2022</t>
        </is>
      </c>
      <c r="B4835" s="8" t="n">
        <v>135.1609699908</v>
      </c>
      <c r="C4835" s="15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9" t="inlineStr">
        <is>
          <t>22/11/2022</t>
        </is>
      </c>
      <c r="B4836" s="8" t="n">
        <v>137.498756454</v>
      </c>
      <c r="C4836" s="15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9" t="inlineStr">
        <is>
          <t>23/11/2022</t>
        </is>
      </c>
      <c r="B4837" s="8" t="n">
        <v>137.8371202842</v>
      </c>
      <c r="C4837" s="15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9" t="inlineStr">
        <is>
          <t>24/11/2022</t>
        </is>
      </c>
      <c r="B4838" s="8" t="n">
        <v>139.139308358</v>
      </c>
      <c r="C4838" s="15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9" t="inlineStr">
        <is>
          <t>25/11/2022</t>
        </is>
      </c>
      <c r="B4839" s="8" t="n">
        <v>138.9752531676</v>
      </c>
      <c r="C4839" s="15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9" t="inlineStr">
        <is>
          <t>28/11/2022</t>
        </is>
      </c>
      <c r="B4840" s="8" t="n">
        <v>139.44691184</v>
      </c>
      <c r="C4840" s="15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9" t="inlineStr">
        <is>
          <t>29/11/2022</t>
        </is>
      </c>
      <c r="B4841" s="8" t="n">
        <v>139.0162669652</v>
      </c>
      <c r="C4841" s="15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9" t="inlineStr">
        <is>
          <t>30/11/2022</t>
        </is>
      </c>
      <c r="B4842" s="8" t="n">
        <v>139.7442618726</v>
      </c>
      <c r="C4842" s="15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9" t="inlineStr">
        <is>
          <t>01/12/2022</t>
        </is>
      </c>
      <c r="B4843" s="8" t="n">
        <v>139.495906823</v>
      </c>
      <c r="C4843" s="15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9" t="inlineStr">
        <is>
          <t>02/12/2022</t>
        </is>
      </c>
      <c r="B4844" s="8" t="n">
        <v>141.292429551</v>
      </c>
      <c r="C4844" s="15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9" t="inlineStr">
        <is>
          <t>05/12/2022</t>
        </is>
      </c>
      <c r="B4845" s="8" t="n">
        <v>141.6496925935</v>
      </c>
      <c r="C4845" s="15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9" t="inlineStr">
        <is>
          <t>06/12/2022</t>
        </is>
      </c>
      <c r="B4846" s="8" t="n">
        <v>141.88446545</v>
      </c>
      <c r="C4846" s="15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9" t="inlineStr">
        <is>
          <t>07/12/2022</t>
        </is>
      </c>
      <c r="B4847" s="8" t="n">
        <v>141.9150879965</v>
      </c>
      <c r="C4847" s="15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9" t="inlineStr">
        <is>
          <t>08/12/2022</t>
        </is>
      </c>
      <c r="B4848" s="8" t="n">
        <v>143.558497992</v>
      </c>
      <c r="C4848" s="15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9" t="inlineStr">
        <is>
          <t>09/12/2022</t>
        </is>
      </c>
      <c r="B4849" s="8" t="n">
        <v>143.4462153215</v>
      </c>
      <c r="C4849" s="15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9" t="inlineStr">
        <is>
          <t>12/12/2022</t>
        </is>
      </c>
      <c r="B4850" s="8" t="n">
        <v>142.231520977</v>
      </c>
      <c r="C4850" s="15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9" t="inlineStr">
        <is>
          <t>13/12/2022</t>
        </is>
      </c>
      <c r="B4851" s="8" t="n">
        <v>142.0579932135</v>
      </c>
      <c r="C4851" s="15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9" t="inlineStr">
        <is>
          <t>14/12/2022</t>
        </is>
      </c>
      <c r="B4852" s="8" t="n">
        <v>142.231520977</v>
      </c>
      <c r="C4852" s="15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9" t="inlineStr">
        <is>
          <t>15/12/2022</t>
        </is>
      </c>
      <c r="B4853" s="8" t="n">
        <v>142.2417284925</v>
      </c>
      <c r="C4853" s="15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9" t="inlineStr">
        <is>
          <t>16/12/2022</t>
        </is>
      </c>
      <c r="B4854" s="8" t="n">
        <v>141.966125574</v>
      </c>
      <c r="C4854" s="15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9" t="inlineStr">
        <is>
          <t>19/12/2022</t>
        </is>
      </c>
      <c r="B4855" s="8" t="n">
        <v>141.966125574</v>
      </c>
      <c r="C4855" s="15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9" t="inlineStr">
        <is>
          <t>20/12/2022</t>
        </is>
      </c>
      <c r="B4856" s="8" t="n">
        <v>141.925295512</v>
      </c>
      <c r="C4856" s="15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9" t="inlineStr">
        <is>
          <t>21/12/2022</t>
        </is>
      </c>
      <c r="B4857" s="8" t="n">
        <v>142.986877124</v>
      </c>
      <c r="C4857" s="15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9" t="inlineStr">
        <is>
          <t>22/12/2022</t>
        </is>
      </c>
      <c r="B4858" s="8" t="n">
        <v>144.5894570575</v>
      </c>
      <c r="C4858" s="15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9" t="inlineStr">
        <is>
          <t>23/12/2022</t>
        </is>
      </c>
      <c r="B4859" s="8" t="n">
        <v>144.5894570575</v>
      </c>
      <c r="C4859" s="15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9" t="inlineStr">
        <is>
          <t>26/12/2022</t>
        </is>
      </c>
      <c r="B4860" s="8" t="n">
        <v>143.5074604145</v>
      </c>
      <c r="C4860" s="15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9" t="inlineStr">
        <is>
          <t>27/12/2022</t>
        </is>
      </c>
      <c r="B4861" s="8" t="n">
        <v>139.5265293695</v>
      </c>
      <c r="C4861" s="15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9" t="inlineStr">
        <is>
          <t>28/12/2022</t>
        </is>
      </c>
      <c r="B4862" s="8" t="n">
        <v>139.5265293695</v>
      </c>
      <c r="C4862" s="15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9" t="inlineStr">
        <is>
          <t>29/12/2022</t>
        </is>
      </c>
      <c r="B4863" s="8" t="n">
        <v>139.5265293695</v>
      </c>
      <c r="C4863" s="15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9" t="inlineStr">
        <is>
          <t>02/01/2023</t>
        </is>
      </c>
      <c r="B4864" s="8" t="n">
        <v>139.0507882797</v>
      </c>
      <c r="C4864" s="15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9" t="inlineStr">
        <is>
          <t>03/01/2023</t>
        </is>
      </c>
      <c r="B4865" s="8" t="n">
        <v>139.0507882797</v>
      </c>
      <c r="C4865" s="15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9" t="inlineStr">
        <is>
          <t>04/01/2023</t>
        </is>
      </c>
      <c r="B4866" s="8" t="n">
        <v>137.6451030711</v>
      </c>
      <c r="C4866" s="15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9" t="inlineStr">
        <is>
          <t>05/01/2023</t>
        </is>
      </c>
      <c r="B4867" s="8" t="n">
        <v>138.1645954308</v>
      </c>
      <c r="C4867" s="15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9" t="inlineStr">
        <is>
          <t>06/01/2023</t>
        </is>
      </c>
      <c r="B4868" s="8" t="n">
        <v>137.1663552102</v>
      </c>
      <c r="C4868" s="15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9" t="inlineStr">
        <is>
          <t>09/01/2023</t>
        </is>
      </c>
      <c r="B4869" s="8" t="n">
        <v>137.5432418241</v>
      </c>
      <c r="C4869" s="15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9" t="inlineStr">
        <is>
          <t>10/01/2023</t>
        </is>
      </c>
      <c r="B4870" s="8" t="n">
        <v>135.0476412726</v>
      </c>
      <c r="C4870" s="15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9" t="inlineStr">
        <is>
          <t>11/01/2023</t>
        </is>
      </c>
      <c r="B4871" s="8" t="n">
        <v>137.7367781934</v>
      </c>
      <c r="C4871" s="15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9" t="inlineStr">
        <is>
          <t>12/01/2023</t>
        </is>
      </c>
      <c r="B4872" s="8" t="n">
        <v>137.4515667018</v>
      </c>
      <c r="C4872" s="15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9" t="inlineStr">
        <is>
          <t>13/01/2023</t>
        </is>
      </c>
      <c r="B4873" s="8" t="n">
        <v>136.6366767258</v>
      </c>
      <c r="C4873" s="15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9" t="inlineStr">
        <is>
          <t>16/01/2023</t>
        </is>
      </c>
      <c r="B4874" s="8" t="n">
        <v>137.3598915795</v>
      </c>
      <c r="C4874" s="15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9" t="inlineStr">
        <is>
          <t>17/01/2023</t>
        </is>
      </c>
      <c r="B4875" s="8" t="n">
        <v>137.3598915795</v>
      </c>
      <c r="C4875" s="15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9" t="inlineStr">
        <is>
          <t>18/01/2023</t>
        </is>
      </c>
      <c r="B4876" s="8" t="n">
        <v>135.8625312486</v>
      </c>
      <c r="C4876" s="15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9" t="inlineStr">
        <is>
          <t>19/01/2023</t>
        </is>
      </c>
      <c r="B4877" s="8" t="n">
        <v>137.2376580831</v>
      </c>
      <c r="C4877" s="15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9" t="inlineStr">
        <is>
          <t>20/01/2023</t>
        </is>
      </c>
      <c r="B4878" s="8" t="n">
        <v>135.9745786203</v>
      </c>
      <c r="C4878" s="15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9" t="inlineStr">
        <is>
          <t>23/01/2023</t>
        </is>
      </c>
      <c r="B4879" s="8" t="n">
        <v>136.1069982414</v>
      </c>
      <c r="C4879" s="15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9" t="inlineStr">
        <is>
          <t>24/01/2023</t>
        </is>
      </c>
      <c r="B4880" s="8" t="n">
        <v>135.2411776419</v>
      </c>
      <c r="C4880" s="15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9" t="inlineStr">
        <is>
          <t>25/01/2023</t>
        </is>
      </c>
      <c r="B4881" s="8" t="n">
        <v>134.7216852822</v>
      </c>
      <c r="C4881" s="15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9" t="inlineStr">
        <is>
          <t>26/01/2023</t>
        </is>
      </c>
      <c r="B4882" s="8" t="n">
        <v>134.9355939009</v>
      </c>
      <c r="C4882" s="15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9" t="inlineStr">
        <is>
          <t>27/01/2023</t>
        </is>
      </c>
      <c r="B4883" s="8" t="n">
        <v>134.8337326539</v>
      </c>
      <c r="C4883" s="15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9" t="inlineStr">
        <is>
          <t>30/01/2023</t>
        </is>
      </c>
      <c r="B4884" s="8" t="n">
        <v>132.8779967115</v>
      </c>
      <c r="C4884" s="15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9" t="inlineStr">
        <is>
          <t>31/01/2023</t>
        </is>
      </c>
      <c r="B4885" s="8" t="n">
        <v>134.3142402942</v>
      </c>
      <c r="C4885" s="15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9" t="inlineStr">
        <is>
          <t>01/02/2023</t>
        </is>
      </c>
      <c r="B4886" s="8" t="n">
        <v>134.1298784</v>
      </c>
      <c r="C4886" s="15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9" t="inlineStr">
        <is>
          <t>02/02/2023</t>
        </is>
      </c>
      <c r="B4887" s="8" t="n">
        <v>134.08910944</v>
      </c>
      <c r="C4887" s="15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9" t="inlineStr">
        <is>
          <t>03/02/2023</t>
        </is>
      </c>
      <c r="B4888" s="8" t="n">
        <v>131.84681664</v>
      </c>
      <c r="C4888" s="15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9" t="inlineStr">
        <is>
          <t>06/02/2023</t>
        </is>
      </c>
      <c r="B4889" s="8" t="n">
        <v>132.23412176</v>
      </c>
      <c r="C4889" s="15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9" t="inlineStr">
        <is>
          <t>07/02/2023</t>
        </is>
      </c>
      <c r="B4890" s="8" t="n">
        <v>132.42777432</v>
      </c>
      <c r="C4890" s="15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9" t="inlineStr">
        <is>
          <t>08/02/2023</t>
        </is>
      </c>
      <c r="B4891" s="8" t="n">
        <v>133.49795952</v>
      </c>
      <c r="C4891" s="15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9" t="inlineStr">
        <is>
          <t>09/02/2023</t>
        </is>
      </c>
      <c r="B4892" s="8" t="n">
        <v>134.65987488</v>
      </c>
      <c r="C4892" s="15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9" t="inlineStr">
        <is>
          <t>10/02/2023</t>
        </is>
      </c>
      <c r="B4893" s="8" t="n">
        <v>135.7096756</v>
      </c>
      <c r="C4893" s="15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9" t="inlineStr">
        <is>
          <t>13/02/2023</t>
        </is>
      </c>
      <c r="B4894" s="8" t="n">
        <v>135.66890664</v>
      </c>
      <c r="C4894" s="15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9" t="inlineStr">
        <is>
          <t>14/02/2023</t>
        </is>
      </c>
      <c r="B4895" s="8" t="n">
        <v>136.61678496</v>
      </c>
      <c r="C4895" s="15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9" t="inlineStr">
        <is>
          <t>15/02/2023</t>
        </is>
      </c>
      <c r="B4896" s="8" t="n">
        <v>136.9327444</v>
      </c>
      <c r="C4896" s="15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9" t="inlineStr">
        <is>
          <t>16/02/2023</t>
        </is>
      </c>
      <c r="B4897" s="8" t="n">
        <v>135.48544632</v>
      </c>
      <c r="C4897" s="15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9" t="inlineStr">
        <is>
          <t>17/02/2023</t>
        </is>
      </c>
      <c r="B4898" s="8" t="n">
        <v>134.4866068</v>
      </c>
      <c r="C4898" s="15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9" t="inlineStr">
        <is>
          <t>22/02/2023</t>
        </is>
      </c>
      <c r="B4899" s="8" t="n">
        <v>134.41526112</v>
      </c>
      <c r="C4899" s="15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9" t="inlineStr">
        <is>
          <t>23/02/2023</t>
        </is>
      </c>
      <c r="B4900" s="8" t="n">
        <v>134.537568</v>
      </c>
      <c r="C4900" s="15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9" t="inlineStr">
        <is>
          <t>24/02/2023</t>
        </is>
      </c>
      <c r="B4901" s="8" t="n">
        <v>135.83198248</v>
      </c>
      <c r="C4901" s="15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9" t="inlineStr">
        <is>
          <t>27/02/2023</t>
        </is>
      </c>
      <c r="B4902" s="8" t="n">
        <v>134.6394904</v>
      </c>
      <c r="C4902" s="15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9" t="inlineStr">
        <is>
          <t>28/02/2023</t>
        </is>
      </c>
      <c r="B4903" s="8" t="n">
        <v>136.05621176</v>
      </c>
      <c r="C4903" s="15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9" t="inlineStr">
        <is>
          <t>01/03/2023</t>
        </is>
      </c>
      <c r="B4904" s="8" t="n">
        <v>133.7674206915</v>
      </c>
      <c r="C4904" s="15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9" t="inlineStr">
        <is>
          <t>02/03/2023</t>
        </is>
      </c>
      <c r="B4905" s="8" t="n">
        <v>132.84039036</v>
      </c>
      <c r="C4905" s="15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9" t="inlineStr">
        <is>
          <t>03/03/2023</t>
        </is>
      </c>
      <c r="B4906" s="8" t="n">
        <v>132.962636118</v>
      </c>
      <c r="C4906" s="15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9" t="inlineStr">
        <is>
          <t>06/03/2023</t>
        </is>
      </c>
      <c r="B4907" s="8" t="n">
        <v>133.1765661945</v>
      </c>
      <c r="C4907" s="15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9" t="inlineStr">
        <is>
          <t>07/03/2023</t>
        </is>
      </c>
      <c r="B4908" s="8" t="n">
        <v>133.9507893285</v>
      </c>
      <c r="C4908" s="15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9" t="inlineStr">
        <is>
          <t>08/03/2023</t>
        </is>
      </c>
      <c r="B4909" s="8" t="n">
        <v>133.349747685</v>
      </c>
      <c r="C4909" s="15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9" t="inlineStr">
        <is>
          <t>09/03/2023</t>
        </is>
      </c>
      <c r="B4910" s="8" t="n">
        <v>133.9304150355</v>
      </c>
      <c r="C4910" s="15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9" t="inlineStr">
        <is>
          <t>10/03/2023</t>
        </is>
      </c>
      <c r="B4911" s="8" t="n">
        <v>135.835411431</v>
      </c>
      <c r="C4911" s="15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9" t="inlineStr">
        <is>
          <t>13/03/2023</t>
        </is>
      </c>
      <c r="B4912" s="8" t="n">
        <v>136.141025826</v>
      </c>
      <c r="C4912" s="15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9" t="inlineStr">
        <is>
          <t>14/03/2023</t>
        </is>
      </c>
      <c r="B4913" s="8" t="n">
        <v>132.4634659395</v>
      </c>
      <c r="C4913" s="15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9" t="inlineStr">
        <is>
          <t>15/03/2023</t>
        </is>
      </c>
      <c r="B4914" s="8" t="n">
        <v>134.5823924115</v>
      </c>
      <c r="C4914" s="15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9" t="inlineStr">
        <is>
          <t>16/03/2023</t>
        </is>
      </c>
      <c r="B4915" s="8" t="n">
        <v>135.163059762</v>
      </c>
      <c r="C4915" s="15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9" t="inlineStr">
        <is>
          <t>17/03/2023</t>
        </is>
      </c>
      <c r="B4916" s="8" t="n">
        <v>134.735199609</v>
      </c>
      <c r="C4916" s="15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9" t="inlineStr">
        <is>
          <t>20/03/2023</t>
        </is>
      </c>
      <c r="B4917" s="8" t="n">
        <v>134.9491296855</v>
      </c>
      <c r="C4917" s="15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9" t="inlineStr">
        <is>
          <t>21/03/2023</t>
        </is>
      </c>
      <c r="B4918" s="8" t="n">
        <v>134.694451023</v>
      </c>
      <c r="C4918" s="15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9" t="inlineStr">
        <is>
          <t>22/03/2023</t>
        </is>
      </c>
      <c r="B4919" s="8" t="n">
        <v>135.0306268575</v>
      </c>
      <c r="C4919" s="15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9" t="inlineStr">
        <is>
          <t>23/03/2023</t>
        </is>
      </c>
      <c r="B4920" s="8" t="n">
        <v>134.307339456</v>
      </c>
      <c r="C4920" s="15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9" t="inlineStr">
        <is>
          <t>24/03/2023</t>
        </is>
      </c>
      <c r="B4921" s="8" t="n">
        <v>134.103596526</v>
      </c>
      <c r="C4921" s="15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9" t="inlineStr">
        <is>
          <t>27/03/2023</t>
        </is>
      </c>
      <c r="B4922" s="8" t="n">
        <v>133.777607838</v>
      </c>
      <c r="C4922" s="15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9" t="inlineStr">
        <is>
          <t>28/03/2023</t>
        </is>
      </c>
      <c r="B4923" s="8" t="n">
        <v>134.572205265</v>
      </c>
      <c r="C4923" s="15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9" t="inlineStr">
        <is>
          <t>29/03/2023</t>
        </is>
      </c>
      <c r="B4924" s="8" t="n">
        <v>136.2734587305</v>
      </c>
      <c r="C4924" s="15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9" t="inlineStr">
        <is>
          <t>30/03/2023</t>
        </is>
      </c>
      <c r="B4925" s="8" t="n">
        <v>135.0510011505</v>
      </c>
      <c r="C4925" s="15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9" t="inlineStr">
        <is>
          <t>31/03/2023</t>
        </is>
      </c>
      <c r="B4926" s="8" t="n">
        <v>137.1088047435</v>
      </c>
      <c r="C4926" s="15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9" t="inlineStr">
        <is>
          <t>03/04/2023</t>
        </is>
      </c>
      <c r="B4927" s="8" t="n">
        <v>141.005329146</v>
      </c>
      <c r="C4927" s="15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9" t="inlineStr">
        <is>
          <t>04/04/2023</t>
        </is>
      </c>
      <c r="B4928" s="8" t="n">
        <v>140.1722560854</v>
      </c>
      <c r="C4928" s="15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9" t="inlineStr">
        <is>
          <t>05/04/2023</t>
        </is>
      </c>
      <c r="B4929" s="8" t="n">
        <v>139.616874045</v>
      </c>
      <c r="C4929" s="15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9" t="inlineStr">
        <is>
          <t>06/04/2023</t>
        </is>
      </c>
      <c r="B4930" s="8" t="n">
        <v>143.1960027498</v>
      </c>
      <c r="C4930" s="15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9" t="inlineStr">
        <is>
          <t>10/04/2023</t>
        </is>
      </c>
      <c r="B4931" s="8" t="n">
        <v>142.2806508684</v>
      </c>
      <c r="C4931" s="15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9" t="inlineStr">
        <is>
          <t>11/04/2023</t>
        </is>
      </c>
      <c r="B4932" s="8" t="n">
        <v>141.9103961748</v>
      </c>
      <c r="C4932" s="15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9" t="inlineStr">
        <is>
          <t>12/04/2023</t>
        </is>
      </c>
      <c r="B4933" s="8" t="n">
        <v>145.5615188478</v>
      </c>
      <c r="C4933" s="15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9" t="inlineStr">
        <is>
          <t>13/04/2023</t>
        </is>
      </c>
      <c r="B4934" s="8" t="n">
        <v>145.427815764</v>
      </c>
      <c r="C4934" s="15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9" t="inlineStr">
        <is>
          <t>14/04/2023</t>
        </is>
      </c>
      <c r="B4935" s="8" t="n">
        <v>143.165148192</v>
      </c>
      <c r="C4935" s="15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9" t="inlineStr">
        <is>
          <t>17/04/2023</t>
        </is>
      </c>
      <c r="B4936" s="8" t="n">
        <v>145.684937079</v>
      </c>
      <c r="C4936" s="15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9" t="inlineStr">
        <is>
          <t>18/04/2023</t>
        </is>
      </c>
      <c r="B4937" s="8" t="n">
        <v>146.04490692</v>
      </c>
      <c r="C4937" s="15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9" t="inlineStr">
        <is>
          <t>19/04/2023</t>
        </is>
      </c>
      <c r="B4938" s="8" t="n">
        <v>146.096331183</v>
      </c>
      <c r="C4938" s="15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9" t="inlineStr">
        <is>
          <t>20/04/2023</t>
        </is>
      </c>
      <c r="B4939" s="8" t="n">
        <v>146.096331183</v>
      </c>
      <c r="C4939" s="15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9" t="inlineStr">
        <is>
          <t>24/04/2023</t>
        </is>
      </c>
      <c r="B4940" s="8" t="n">
        <v>146.147755446</v>
      </c>
      <c r="C4940" s="15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9" t="inlineStr">
        <is>
          <t>25/04/2023</t>
        </is>
      </c>
      <c r="B4941" s="8" t="n">
        <v>147.0939618852</v>
      </c>
      <c r="C4941" s="15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9" t="inlineStr">
        <is>
          <t>26/04/2023</t>
        </is>
      </c>
      <c r="B4942" s="8" t="n">
        <v>148.3178593446</v>
      </c>
      <c r="C4942" s="15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9" t="inlineStr">
        <is>
          <t>27/04/2023</t>
        </is>
      </c>
      <c r="B4943" s="8" t="n">
        <v>151.598727324</v>
      </c>
      <c r="C4943" s="15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9" t="inlineStr">
        <is>
          <t>28/04/2023</t>
        </is>
      </c>
      <c r="B4944" s="8" t="n">
        <v>151.4135999772</v>
      </c>
      <c r="C4944" s="15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9" t="inlineStr">
        <is>
          <t>02/05/2023</t>
        </is>
      </c>
      <c r="B4945" s="8" t="n">
        <v>152.9840377011</v>
      </c>
      <c r="C4945" s="15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9" t="inlineStr">
        <is>
          <t>03/05/2023</t>
        </is>
      </c>
      <c r="B4946" s="8" t="n">
        <v>153.5079197561</v>
      </c>
      <c r="C4946" s="15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9" t="inlineStr">
        <is>
          <t>04/05/2023</t>
        </is>
      </c>
      <c r="B4947" s="8" t="n">
        <v>156.9236307547</v>
      </c>
      <c r="C4947" s="15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9" t="inlineStr">
        <is>
          <t>05/05/2023</t>
        </is>
      </c>
      <c r="B4948" s="8" t="n">
        <v>157.5208562974</v>
      </c>
      <c r="C4948" s="15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9" t="inlineStr">
        <is>
          <t>08/05/2023</t>
        </is>
      </c>
      <c r="B4949" s="8" t="n">
        <v>156.2740170065</v>
      </c>
      <c r="C4949" s="15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9" t="inlineStr">
        <is>
          <t>09/05/2023</t>
        </is>
      </c>
      <c r="B4950" s="8" t="n">
        <v>156.2006735188</v>
      </c>
      <c r="C4950" s="15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9" t="inlineStr">
        <is>
          <t>10/05/2023</t>
        </is>
      </c>
      <c r="B4951" s="8" t="n">
        <v>155.8758666447</v>
      </c>
      <c r="C4951" s="15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9" t="inlineStr">
        <is>
          <t>11/05/2023</t>
        </is>
      </c>
      <c r="B4952" s="8" t="n">
        <v>155.4148504363</v>
      </c>
      <c r="C4952" s="15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9" t="inlineStr">
        <is>
          <t>12/05/2023</t>
        </is>
      </c>
      <c r="B4953" s="8" t="n">
        <v>155.2262528965</v>
      </c>
      <c r="C4953" s="15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9" t="inlineStr">
        <is>
          <t>15/05/2023</t>
        </is>
      </c>
      <c r="B4954" s="8" t="n">
        <v>154.6709379182</v>
      </c>
      <c r="C4954" s="15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9" t="inlineStr">
        <is>
          <t>16/05/2023</t>
        </is>
      </c>
      <c r="B4955" s="8" t="n">
        <v>156.2111511599</v>
      </c>
      <c r="C4955" s="15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9" t="inlineStr">
        <is>
          <t>17/05/2023</t>
        </is>
      </c>
      <c r="B4956" s="8" t="n">
        <v>156.1378076722</v>
      </c>
      <c r="C4956" s="15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9" t="inlineStr">
        <is>
          <t>18/05/2023</t>
        </is>
      </c>
      <c r="B4957" s="8" t="n">
        <v>157.5627668618</v>
      </c>
      <c r="C4957" s="15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9" t="inlineStr">
        <is>
          <t>19/05/2023</t>
        </is>
      </c>
      <c r="B4958" s="8" t="n">
        <v>156.7036002916</v>
      </c>
      <c r="C4958" s="15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9" t="inlineStr">
        <is>
          <t>22/05/2023</t>
        </is>
      </c>
      <c r="B4959" s="8" t="n">
        <v>156.9131531136</v>
      </c>
      <c r="C4959" s="15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9" t="inlineStr">
        <is>
          <t>23/05/2023</t>
        </is>
      </c>
      <c r="B4960" s="8" t="n">
        <v>156.0644641845</v>
      </c>
      <c r="C4960" s="15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9" t="inlineStr">
        <is>
          <t>24/05/2023</t>
        </is>
      </c>
      <c r="B4961" s="8" t="n">
        <v>156.3578381353</v>
      </c>
      <c r="C4961" s="15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9" t="inlineStr">
        <is>
          <t>25/05/2023</t>
        </is>
      </c>
      <c r="B4962" s="8" t="n">
        <v>155.5720150528</v>
      </c>
      <c r="C4962" s="15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9" t="inlineStr">
        <is>
          <t>26/05/2023</t>
        </is>
      </c>
      <c r="B4963" s="8" t="n">
        <v>156.1273300311</v>
      </c>
      <c r="C4963" s="15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9" t="inlineStr">
        <is>
          <t>29/05/2023</t>
        </is>
      </c>
      <c r="B4964" s="8" t="n">
        <v>155.7187020282</v>
      </c>
      <c r="C4964" s="15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9" t="inlineStr">
        <is>
          <t>30/05/2023</t>
        </is>
      </c>
      <c r="B4965" s="8" t="n">
        <v>156.6931226505</v>
      </c>
      <c r="C4965" s="15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9" t="inlineStr">
        <is>
          <t>31/05/2023</t>
        </is>
      </c>
      <c r="B4966" s="8" t="n">
        <v>155.8339560803</v>
      </c>
      <c r="C4966" s="15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9" t="inlineStr">
        <is>
          <t>01/06/2023</t>
        </is>
      </c>
      <c r="B4967" s="8" t="n">
        <v>161.1550304928</v>
      </c>
      <c r="C4967" s="15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9" t="inlineStr">
        <is>
          <t>02/06/2023</t>
        </is>
      </c>
      <c r="B4968" s="8" t="n">
        <v>159.8943374672</v>
      </c>
      <c r="C4968" s="15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9" t="inlineStr">
        <is>
          <t>05/06/2023</t>
        </is>
      </c>
      <c r="B4969" s="8" t="n">
        <v>158.7725343512</v>
      </c>
      <c r="C4969" s="15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9" t="inlineStr">
        <is>
          <t>06/06/2023</t>
        </is>
      </c>
      <c r="B4970" s="8" t="n">
        <v>157.9391948936</v>
      </c>
      <c r="C4970" s="15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9" t="inlineStr">
        <is>
          <t>07/06/2023</t>
        </is>
      </c>
      <c r="B4971" s="8" t="n">
        <v>158.4840706928</v>
      </c>
      <c r="C4971" s="15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9" t="inlineStr">
        <is>
          <t>09/06/2023</t>
        </is>
      </c>
      <c r="B4972" s="8" t="n">
        <v>156.0695230336</v>
      </c>
      <c r="C4972" s="15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9" t="inlineStr">
        <is>
          <t>12/06/2023</t>
        </is>
      </c>
      <c r="B4973" s="8" t="n">
        <v>158.0246656072</v>
      </c>
      <c r="C4973" s="15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9" t="inlineStr">
        <is>
          <t>13/06/2023</t>
        </is>
      </c>
      <c r="B4974" s="8" t="n">
        <v>155.7810593752</v>
      </c>
      <c r="C4974" s="15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9" t="inlineStr">
        <is>
          <t>14/06/2023</t>
        </is>
      </c>
      <c r="B4975" s="8" t="n">
        <v>158.1421878384</v>
      </c>
      <c r="C4975" s="15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9" t="inlineStr">
        <is>
          <t>15/06/2023</t>
        </is>
      </c>
      <c r="B4976" s="8" t="n">
        <v>155.075925988</v>
      </c>
      <c r="C4976" s="15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9" t="inlineStr">
        <is>
          <t>16/06/2023</t>
        </is>
      </c>
      <c r="B4977" s="8" t="n">
        <v>155.0011391136</v>
      </c>
      <c r="C4977" s="15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9" t="inlineStr">
        <is>
          <t>19/06/2023</t>
        </is>
      </c>
      <c r="B4978" s="8" t="n">
        <v>152.725481364</v>
      </c>
      <c r="C4978" s="15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9" t="inlineStr">
        <is>
          <t>20/06/2023</t>
        </is>
      </c>
      <c r="B4979" s="8" t="n">
        <v>151.4861560168</v>
      </c>
      <c r="C4979" s="15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9" t="inlineStr">
        <is>
          <t>21/06/2023</t>
        </is>
      </c>
      <c r="B4980" s="8" t="n">
        <v>153.259673324</v>
      </c>
      <c r="C4980" s="15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9" t="inlineStr">
        <is>
          <t>22/06/2023</t>
        </is>
      </c>
      <c r="B4981" s="8" t="n">
        <v>153.4840339472</v>
      </c>
      <c r="C4981" s="15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9" t="inlineStr">
        <is>
          <t>23/06/2023</t>
        </is>
      </c>
      <c r="B4982" s="8" t="n">
        <v>153.1742026104</v>
      </c>
      <c r="C4982" s="15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9" t="inlineStr">
        <is>
          <t>26/06/2023</t>
        </is>
      </c>
      <c r="B4983" s="8" t="n">
        <v>153.259673324</v>
      </c>
      <c r="C4983" s="15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9" t="inlineStr">
        <is>
          <t>27/06/2023</t>
        </is>
      </c>
      <c r="B4984" s="8" t="n">
        <v>152.8430035952</v>
      </c>
      <c r="C4984" s="15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9" t="inlineStr">
        <is>
          <t>28/06/2023</t>
        </is>
      </c>
      <c r="B4985" s="8" t="n">
        <v>150.588713524</v>
      </c>
      <c r="C4985" s="15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9" t="inlineStr">
        <is>
          <t>29/06/2023</t>
        </is>
      </c>
      <c r="B4986" s="8" t="n">
        <v>148.4626295232</v>
      </c>
      <c r="C4986" s="15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9" t="inlineStr">
        <is>
          <t>30/06/2023</t>
        </is>
      </c>
      <c r="B4987" s="8" t="n">
        <v>149.4562265688</v>
      </c>
      <c r="C4987" s="15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9" t="inlineStr">
        <is>
          <t>03/07/2023</t>
        </is>
      </c>
      <c r="B4988" s="8" t="n">
        <v>150.8091496912</v>
      </c>
      <c r="C4988" s="15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9" t="inlineStr">
        <is>
          <t>04/07/2023</t>
        </is>
      </c>
      <c r="B4989" s="8" t="n">
        <v>149.8621534608</v>
      </c>
      <c r="C4989" s="15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9" t="inlineStr">
        <is>
          <t>05/07/2023</t>
        </is>
      </c>
      <c r="B4990" s="8" t="n">
        <v>152.3480185656</v>
      </c>
      <c r="C4990" s="15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9" t="inlineStr">
        <is>
          <t>06/07/2023</t>
        </is>
      </c>
      <c r="B4991" s="8" t="n">
        <v>150.4647874256</v>
      </c>
      <c r="C4991" s="15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9" t="inlineStr">
        <is>
          <t>07/07/2023</t>
        </is>
      </c>
      <c r="B4992" s="8" t="n">
        <v>152.27268932</v>
      </c>
      <c r="C4992" s="15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9" t="inlineStr">
        <is>
          <t>10/07/2023</t>
        </is>
      </c>
      <c r="B4993" s="8" t="n">
        <v>149.6254044032</v>
      </c>
      <c r="C4993" s="15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9" t="inlineStr">
        <is>
          <t>11/07/2023</t>
        </is>
      </c>
      <c r="B4994" s="8" t="n">
        <v>150.6692525208</v>
      </c>
      <c r="C4994" s="15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9" t="inlineStr">
        <is>
          <t>12/07/2023</t>
        </is>
      </c>
      <c r="B4995" s="8" t="n">
        <v>150.7553430872</v>
      </c>
      <c r="C4995" s="15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9" t="inlineStr">
        <is>
          <t>13/07/2023</t>
        </is>
      </c>
      <c r="B4996" s="8" t="n">
        <v>148.5923176064</v>
      </c>
      <c r="C4996" s="15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9" t="inlineStr">
        <is>
          <t>14/07/2023</t>
        </is>
      </c>
      <c r="B4997" s="8" t="n">
        <v>146.6875638248</v>
      </c>
      <c r="C4997" s="15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9" t="inlineStr">
        <is>
          <t>17/07/2023</t>
        </is>
      </c>
      <c r="B4998" s="8" t="n">
        <v>146.2355883512</v>
      </c>
      <c r="C4998" s="15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9" t="inlineStr">
        <is>
          <t>18/07/2023</t>
        </is>
      </c>
      <c r="B4999" s="8" t="n">
        <v>144.9765138176</v>
      </c>
      <c r="C4999" s="15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9" t="inlineStr">
        <is>
          <t>19/07/2023</t>
        </is>
      </c>
      <c r="B5000" s="8" t="n">
        <v>145.4607732536</v>
      </c>
      <c r="C5000" s="15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9" t="inlineStr">
        <is>
          <t>20/07/2023</t>
        </is>
      </c>
      <c r="B5001" s="8" t="n">
        <v>143.9111430584</v>
      </c>
      <c r="C5001" s="15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9" t="inlineStr">
        <is>
          <t>21/07/2023</t>
        </is>
      </c>
      <c r="B5002" s="8" t="n">
        <v>144.5675836272</v>
      </c>
      <c r="C5002" s="15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9" t="inlineStr">
        <is>
          <t>24/07/2023</t>
        </is>
      </c>
      <c r="B5003" s="8" t="n">
        <v>146.1602591056</v>
      </c>
      <c r="C5003" s="15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9" t="inlineStr">
        <is>
          <t>25/07/2023</t>
        </is>
      </c>
      <c r="B5004" s="8" t="n">
        <v>145.0948883464</v>
      </c>
      <c r="C5004" s="15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9" t="inlineStr">
        <is>
          <t>26/07/2023</t>
        </is>
      </c>
      <c r="B5005" s="8" t="n">
        <v>144.9657524968</v>
      </c>
      <c r="C5005" s="15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9" t="inlineStr">
        <is>
          <t>27/07/2023</t>
        </is>
      </c>
      <c r="B5006" s="8" t="n">
        <v>143.3730770184</v>
      </c>
      <c r="C5006" s="15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9" t="inlineStr">
        <is>
          <t>28/07/2023</t>
        </is>
      </c>
      <c r="B5007" s="8" t="n">
        <v>144.793571364</v>
      </c>
      <c r="C5007" s="15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9" t="inlineStr">
        <is>
          <t>31/07/2023</t>
        </is>
      </c>
      <c r="B5008" s="8" t="n">
        <v>144.3738798528</v>
      </c>
      <c r="C5008" s="15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9" t="inlineStr">
        <is>
          <t>01/08/2023</t>
        </is>
      </c>
      <c r="B5009" s="8" t="n">
        <v>144.1452293952</v>
      </c>
      <c r="C5009" s="15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9" t="inlineStr">
        <is>
          <t>02/08/2023</t>
        </is>
      </c>
      <c r="B5010" s="8" t="n">
        <v>144.1344529875</v>
      </c>
      <c r="C5010" s="15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9" t="inlineStr">
        <is>
          <t>03/08/2023</t>
        </is>
      </c>
      <c r="B5011" s="8" t="n">
        <v>144.5331800724</v>
      </c>
      <c r="C5011" s="15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9" t="inlineStr">
        <is>
          <t>04/08/2023</t>
        </is>
      </c>
      <c r="B5012" s="8" t="n">
        <v>146.0418771504</v>
      </c>
      <c r="C5012" s="15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9" t="inlineStr">
        <is>
          <t>07/08/2023</t>
        </is>
      </c>
      <c r="B5013" s="8" t="n">
        <v>145.1258824959</v>
      </c>
      <c r="C5013" s="15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9" t="inlineStr">
        <is>
          <t>08/08/2023</t>
        </is>
      </c>
      <c r="B5014" s="8" t="n">
        <v>143.9297012412</v>
      </c>
      <c r="C5014" s="15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9" t="inlineStr">
        <is>
          <t>09/08/2023</t>
        </is>
      </c>
      <c r="B5015" s="8" t="n">
        <v>143.8003843488</v>
      </c>
      <c r="C5015" s="15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9" t="inlineStr">
        <is>
          <t>10/08/2023</t>
        </is>
      </c>
      <c r="B5016" s="8" t="n">
        <v>145.050447642</v>
      </c>
      <c r="C5016" s="15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9" t="inlineStr">
        <is>
          <t>11/08/2023</t>
        </is>
      </c>
      <c r="B5017" s="8" t="n">
        <v>143.0244829944</v>
      </c>
      <c r="C5017" s="15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9" t="inlineStr">
        <is>
          <t>14/08/2023</t>
        </is>
      </c>
      <c r="B5018" s="8" t="n">
        <v>142.7011907634</v>
      </c>
      <c r="C5018" s="15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9" t="inlineStr">
        <is>
          <t>15/08/2023</t>
        </is>
      </c>
      <c r="B5019" s="8" t="n">
        <v>142.8843896943</v>
      </c>
      <c r="C5019" s="15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9" t="inlineStr">
        <is>
          <t>16/08/2023</t>
        </is>
      </c>
      <c r="B5020" s="8" t="n">
        <v>143.4016572639</v>
      </c>
      <c r="C5020" s="15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9" t="inlineStr">
        <is>
          <t>17/08/2023</t>
        </is>
      </c>
      <c r="B5021" s="8" t="n">
        <v>143.865042795</v>
      </c>
      <c r="C5021" s="15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9" t="inlineStr">
        <is>
          <t>18/08/2023</t>
        </is>
      </c>
      <c r="B5022" s="8" t="n">
        <v>143.865042795</v>
      </c>
      <c r="C5022" s="15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9" t="inlineStr">
        <is>
          <t>21/08/2023</t>
        </is>
      </c>
      <c r="B5023" s="8" t="n">
        <v>146.0311007427</v>
      </c>
      <c r="C5023" s="15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9" t="inlineStr">
        <is>
          <t>22/08/2023</t>
        </is>
      </c>
      <c r="B5024" s="8" t="n">
        <v>145.5461623962</v>
      </c>
      <c r="C5024" s="15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9" t="inlineStr">
        <is>
          <t>23/08/2023</t>
        </is>
      </c>
      <c r="B5025" s="8" t="n">
        <v>146.235852489</v>
      </c>
      <c r="C5025" s="15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9" t="inlineStr">
        <is>
          <t>24/08/2023</t>
        </is>
      </c>
      <c r="B5026" s="8" t="n">
        <v>146.3543929737</v>
      </c>
      <c r="C5026" s="15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9" t="inlineStr">
        <is>
          <t>25/08/2023</t>
        </is>
      </c>
      <c r="B5027" s="8" t="n">
        <v>145.9341130734</v>
      </c>
      <c r="C5027" s="15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9" t="inlineStr">
        <is>
          <t>28/08/2023</t>
        </is>
      </c>
      <c r="B5028" s="8" t="n">
        <v>151.0205775078</v>
      </c>
      <c r="C5028" s="15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9" t="inlineStr">
        <is>
          <t>29/08/2023</t>
        </is>
      </c>
      <c r="B5029" s="8" t="n">
        <v>151.6132799313</v>
      </c>
      <c r="C5029" s="15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9" t="inlineStr">
        <is>
          <t>30/08/2023</t>
        </is>
      </c>
      <c r="B5030" s="8" t="n">
        <v>150.6434032383</v>
      </c>
      <c r="C5030" s="15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9" t="inlineStr">
        <is>
          <t>31/08/2023</t>
        </is>
      </c>
      <c r="B5031" s="8" t="n">
        <v>152.9603308938</v>
      </c>
      <c r="C5031" s="15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9" t="inlineStr">
        <is>
          <t>01/09/2023</t>
        </is>
      </c>
      <c r="B5032" s="8" t="n">
        <v>155.424208632</v>
      </c>
      <c r="C5032" s="15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9" t="inlineStr">
        <is>
          <t>04/09/2023</t>
        </is>
      </c>
      <c r="B5033" s="8" t="n">
        <v>159.246467424</v>
      </c>
      <c r="C5033" s="15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9" t="inlineStr">
        <is>
          <t>05/09/2023</t>
        </is>
      </c>
      <c r="B5034" s="8" t="n">
        <v>157.66817517</v>
      </c>
      <c r="C5034" s="15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9" t="inlineStr">
        <is>
          <t>06/09/2023</t>
        </is>
      </c>
      <c r="B5035" s="8" t="n">
        <v>157.2923913</v>
      </c>
      <c r="C5035" s="15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9" t="inlineStr">
        <is>
          <t>08/09/2023</t>
        </is>
      </c>
      <c r="B5036" s="8" t="n">
        <v>157.303127982</v>
      </c>
      <c r="C5036" s="15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9" t="inlineStr">
        <is>
          <t>11/09/2023</t>
        </is>
      </c>
      <c r="B5037" s="8" t="n">
        <v>156.175776372</v>
      </c>
      <c r="C5037" s="15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9" t="inlineStr">
        <is>
          <t>12/09/2023</t>
        </is>
      </c>
      <c r="B5038" s="8" t="n">
        <v>156.637453698</v>
      </c>
      <c r="C5038" s="15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9" t="inlineStr">
        <is>
          <t>13/09/2023</t>
        </is>
      </c>
      <c r="B5039" s="8" t="n">
        <v>159.804774888</v>
      </c>
      <c r="C5039" s="15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9" t="inlineStr">
        <is>
          <t>14/09/2023</t>
        </is>
      </c>
      <c r="B5040" s="8" t="n">
        <v>160.266452214</v>
      </c>
      <c r="C5040" s="15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9" t="inlineStr">
        <is>
          <t>15/09/2023</t>
        </is>
      </c>
      <c r="B5041" s="8" t="n">
        <v>163.03651617</v>
      </c>
      <c r="C5041" s="15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9" t="inlineStr">
        <is>
          <t>18/09/2023</t>
        </is>
      </c>
      <c r="B5042" s="8" t="n">
        <v>162.671468982</v>
      </c>
      <c r="C5042" s="15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9" t="inlineStr">
        <is>
          <t>19/09/2023</t>
        </is>
      </c>
      <c r="B5043" s="8" t="n">
        <v>163.015042806</v>
      </c>
      <c r="C5043" s="15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9" t="inlineStr">
        <is>
          <t>20/09/2023</t>
        </is>
      </c>
      <c r="B5044" s="8" t="n">
        <v>167.54592261</v>
      </c>
      <c r="C5044" s="15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9" t="inlineStr">
        <is>
          <t>21/09/2023</t>
        </is>
      </c>
      <c r="B5045" s="8" t="n">
        <v>166.278994134</v>
      </c>
      <c r="C5045" s="15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9" t="inlineStr">
        <is>
          <t>22/09/2023</t>
        </is>
      </c>
      <c r="B5046" s="8" t="n">
        <v>165.817316808</v>
      </c>
      <c r="C5046" s="15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9" t="inlineStr">
        <is>
          <t>25/09/2023</t>
        </is>
      </c>
      <c r="B5047" s="8" t="n">
        <v>170.648823708</v>
      </c>
      <c r="C5047" s="15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9" t="inlineStr">
        <is>
          <t>26/09/2023</t>
        </is>
      </c>
      <c r="B5048" s="8" t="n">
        <v>166.63330464</v>
      </c>
      <c r="C5048" s="15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9" t="inlineStr">
        <is>
          <t>27/09/2023</t>
        </is>
      </c>
      <c r="B5049" s="8" t="n">
        <v>167.019825192</v>
      </c>
      <c r="C5049" s="15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9" t="inlineStr">
        <is>
          <t>28/09/2023</t>
        </is>
      </c>
      <c r="B5050" s="8" t="n">
        <v>166.966141782</v>
      </c>
      <c r="C5050" s="15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9" t="inlineStr">
        <is>
          <t>29/09/2023</t>
        </is>
      </c>
      <c r="B5051" s="8" t="n">
        <v>167.213085468</v>
      </c>
      <c r="C5051" s="15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9" t="inlineStr">
        <is>
          <t>02/10/2023</t>
        </is>
      </c>
      <c r="B5052" s="8" t="n">
        <v>166.017948978</v>
      </c>
      <c r="C5052" s="15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9" t="inlineStr">
        <is>
          <t>03/10/2023</t>
        </is>
      </c>
      <c r="B5053" s="8" t="n">
        <v>167.513606176</v>
      </c>
      <c r="C5053" s="15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9" t="inlineStr">
        <is>
          <t>04/10/2023</t>
        </is>
      </c>
      <c r="B5054" s="8" t="n">
        <v>168.9665303112</v>
      </c>
      <c r="C5054" s="15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9" t="inlineStr">
        <is>
          <t>05/10/2023</t>
        </is>
      </c>
      <c r="B5055" s="8" t="n">
        <v>170.2057891324</v>
      </c>
      <c r="C5055" s="15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9" t="inlineStr">
        <is>
          <t>06/10/2023</t>
        </is>
      </c>
      <c r="B5056" s="8" t="n">
        <v>169.0626797025</v>
      </c>
      <c r="C5056" s="15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9" t="inlineStr">
        <is>
          <t>09/10/2023</t>
        </is>
      </c>
      <c r="B5057" s="8" t="n">
        <v>167.6418053644</v>
      </c>
      <c r="C5057" s="15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9" t="inlineStr">
        <is>
          <t>10/10/2023</t>
        </is>
      </c>
      <c r="B5058" s="8" t="n">
        <v>167.5883890359</v>
      </c>
      <c r="C5058" s="15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9" t="inlineStr">
        <is>
          <t>11/10/2023</t>
        </is>
      </c>
      <c r="B5059" s="8" t="n">
        <v>166.4559628717</v>
      </c>
      <c r="C5059" s="15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9" t="inlineStr">
        <is>
          <t>13/10/2023</t>
        </is>
      </c>
      <c r="B5060" s="8" t="n">
        <v>165.1419211906</v>
      </c>
      <c r="C5060" s="15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9" t="inlineStr">
        <is>
          <t>16/10/2023</t>
        </is>
      </c>
      <c r="B5061" s="8" t="n">
        <v>164.8855228138</v>
      </c>
      <c r="C5061" s="15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9" t="inlineStr">
        <is>
          <t>17/10/2023</t>
        </is>
      </c>
      <c r="B5062" s="8" t="n">
        <v>164.6611742341</v>
      </c>
      <c r="C5062" s="15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9" t="inlineStr">
        <is>
          <t>18/10/2023</t>
        </is>
      </c>
      <c r="B5063" s="8" t="n">
        <v>167.1610584079</v>
      </c>
      <c r="C5063" s="15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9" t="inlineStr">
        <is>
          <t>19/10/2023</t>
        </is>
      </c>
      <c r="B5064" s="8" t="n">
        <v>167.4281400504</v>
      </c>
      <c r="C5064" s="15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9" t="inlineStr">
        <is>
          <t>20/10/2023</t>
        </is>
      </c>
      <c r="B5065" s="8" t="n">
        <v>170.0028070841</v>
      </c>
      <c r="C5065" s="15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9" t="inlineStr">
        <is>
          <t>23/10/2023</t>
        </is>
      </c>
      <c r="B5066" s="8" t="n">
        <v>167.9302535383</v>
      </c>
      <c r="C5066" s="15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9" t="inlineStr">
        <is>
          <t>24/10/2023</t>
        </is>
      </c>
      <c r="B5067" s="8" t="n">
        <v>167.7165882243</v>
      </c>
      <c r="C5067" s="15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9" t="inlineStr">
        <is>
          <t>25/10/2023</t>
        </is>
      </c>
      <c r="B5068" s="8" t="n">
        <v>168.047769461</v>
      </c>
      <c r="C5068" s="15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9" t="inlineStr">
        <is>
          <t>26/10/2023</t>
        </is>
      </c>
      <c r="B5069" s="8" t="n">
        <v>167.8020543499</v>
      </c>
      <c r="C5069" s="15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9" t="inlineStr">
        <is>
          <t>27/10/2023</t>
        </is>
      </c>
      <c r="B5070" s="8" t="n">
        <v>168.79559806</v>
      </c>
      <c r="C5070" s="15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9" t="inlineStr">
        <is>
          <t>30/10/2023</t>
        </is>
      </c>
      <c r="B5071" s="8" t="n">
        <v>169.0199466397</v>
      </c>
      <c r="C5071" s="15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9" t="inlineStr">
        <is>
          <t>31/10/2023</t>
        </is>
      </c>
      <c r="B5072" s="8" t="n">
        <v>167.9302535383</v>
      </c>
      <c r="C5072" s="15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9" t="inlineStr">
        <is>
          <t>01/11/2023</t>
        </is>
      </c>
      <c r="B5073" s="8" t="n">
        <v>168.6020900875</v>
      </c>
      <c r="C5073" s="15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9" t="inlineStr">
        <is>
          <t>03/11/2023</t>
        </is>
      </c>
      <c r="B5074" s="8" t="n">
        <v>168.6020900875</v>
      </c>
      <c r="C5074" s="15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9" t="inlineStr">
        <is>
          <t>06/11/2023</t>
        </is>
      </c>
      <c r="B5075" s="8" t="n">
        <v>166.4779692675</v>
      </c>
      <c r="C5075" s="15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9" t="inlineStr">
        <is>
          <t>07/11/2023</t>
        </is>
      </c>
      <c r="B5076" s="8" t="n">
        <v>165.8407330215</v>
      </c>
      <c r="C5076" s="15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9" t="inlineStr">
        <is>
          <t>08/11/2023</t>
        </is>
      </c>
      <c r="B5077" s="8" t="n">
        <v>165.256599796</v>
      </c>
      <c r="C5077" s="15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9" t="inlineStr">
        <is>
          <t>09/11/2023</t>
        </is>
      </c>
      <c r="B5078" s="8" t="n">
        <v>163.9290242835</v>
      </c>
      <c r="C5078" s="15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9" t="inlineStr">
        <is>
          <t>10/11/2023</t>
        </is>
      </c>
      <c r="B5079" s="8" t="n">
        <v>168.2516101522</v>
      </c>
      <c r="C5079" s="15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9" t="inlineStr">
        <is>
          <t>13/11/2023</t>
        </is>
      </c>
      <c r="B5080" s="8" t="n">
        <v>168.017956862</v>
      </c>
      <c r="C5080" s="15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9" t="inlineStr">
        <is>
          <t>14/11/2023</t>
        </is>
      </c>
      <c r="B5081" s="8" t="n">
        <v>165.6283209395</v>
      </c>
      <c r="C5081" s="15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9" t="inlineStr">
        <is>
          <t>16/11/2023</t>
        </is>
      </c>
      <c r="B5082" s="8" t="n">
        <v>166.1593511445</v>
      </c>
      <c r="C5082" s="15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9" t="inlineStr">
        <is>
          <t>17/11/2023</t>
        </is>
      </c>
      <c r="B5083" s="8" t="n">
        <v>165.8194918133</v>
      </c>
      <c r="C5083" s="15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9" t="inlineStr">
        <is>
          <t>20/11/2023</t>
        </is>
      </c>
      <c r="B5084" s="8" t="n">
        <v>165.8194918133</v>
      </c>
      <c r="C5084" s="15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9" t="inlineStr">
        <is>
          <t>21/11/2023</t>
        </is>
      </c>
      <c r="B5085" s="8" t="n">
        <v>167.3063763873</v>
      </c>
      <c r="C5085" s="15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9" t="inlineStr">
        <is>
          <t>22/11/2023</t>
        </is>
      </c>
      <c r="B5086" s="8" t="n">
        <v>166.0319038953</v>
      </c>
      <c r="C5086" s="15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9" t="inlineStr">
        <is>
          <t>23/11/2023</t>
        </is>
      </c>
      <c r="B5087" s="8" t="n">
        <v>165.6601827518</v>
      </c>
      <c r="C5087" s="15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9" t="inlineStr">
        <is>
          <t>24/11/2023</t>
        </is>
      </c>
      <c r="B5088" s="8" t="n">
        <v>163.7484740138</v>
      </c>
      <c r="C5088" s="15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9" t="inlineStr">
        <is>
          <t>27/11/2023</t>
        </is>
      </c>
      <c r="B5089" s="8" t="n">
        <v>163.3555116621</v>
      </c>
      <c r="C5089" s="15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9" t="inlineStr">
        <is>
          <t>28/11/2023</t>
        </is>
      </c>
      <c r="B5090" s="8" t="n">
        <v>163.7059915974</v>
      </c>
      <c r="C5090" s="15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9" t="inlineStr">
        <is>
          <t>29/11/2023</t>
        </is>
      </c>
      <c r="B5091" s="8" t="n">
        <v>164.831775632</v>
      </c>
      <c r="C5091" s="15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9" t="inlineStr">
        <is>
          <t>30/11/2023</t>
        </is>
      </c>
      <c r="B5092" s="8" t="n">
        <v>164.6087429459</v>
      </c>
      <c r="C5092" s="15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9" t="inlineStr">
        <is>
          <t>01/12/2023</t>
        </is>
      </c>
      <c r="B5093" s="8" t="n">
        <v>163.283618432</v>
      </c>
      <c r="C5093" s="15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9" t="inlineStr">
        <is>
          <t>04/12/2023</t>
        </is>
      </c>
      <c r="B5094" s="8" t="n">
        <v>163.473385034</v>
      </c>
      <c r="C5094" s="15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9" t="inlineStr">
        <is>
          <t>05/12/2023</t>
        </is>
      </c>
      <c r="B5095" s="8" t="n">
        <v>164.316792154</v>
      </c>
      <c r="C5095" s="15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9" t="inlineStr">
        <is>
          <t>06/12/2023</t>
        </is>
      </c>
      <c r="B5096" s="8" t="n">
        <v>164.158653319</v>
      </c>
      <c r="C5096" s="15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9" t="inlineStr">
        <is>
          <t>07/12/2023</t>
        </is>
      </c>
      <c r="B5097" s="8" t="n">
        <v>163.842375649</v>
      </c>
      <c r="C5097" s="15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9" t="inlineStr">
        <is>
          <t>08/12/2023</t>
        </is>
      </c>
      <c r="B5098" s="8" t="n">
        <v>163.673694225</v>
      </c>
      <c r="C5098" s="15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9" t="inlineStr">
        <is>
          <t>11/12/2023</t>
        </is>
      </c>
      <c r="B5099" s="8" t="n">
        <v>163.104394419</v>
      </c>
      <c r="C5099" s="15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9" t="inlineStr">
        <is>
          <t>12/12/2023</t>
        </is>
      </c>
      <c r="B5100" s="8" t="n">
        <v>162.3558706</v>
      </c>
      <c r="C5100" s="15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9" t="inlineStr">
        <is>
          <t>13/12/2023</t>
        </is>
      </c>
      <c r="B5101" s="8" t="n">
        <v>162.471839079</v>
      </c>
      <c r="C5101" s="15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9" t="inlineStr">
        <is>
          <t>14/12/2023</t>
        </is>
      </c>
      <c r="B5102" s="8" t="n">
        <v>162.587807558</v>
      </c>
      <c r="C5102" s="15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9" t="inlineStr">
        <is>
          <t>15/12/2023</t>
        </is>
      </c>
      <c r="B5103" s="8" t="n">
        <v>160.120841732</v>
      </c>
      <c r="C5103" s="15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9" t="inlineStr">
        <is>
          <t>18/12/2023</t>
        </is>
      </c>
      <c r="B5104" s="8" t="n">
        <v>159.656967816</v>
      </c>
      <c r="C5104" s="15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9" t="inlineStr">
        <is>
          <t>19/12/2023</t>
        </is>
      </c>
      <c r="B5105" s="8" t="n">
        <v>162.303157655</v>
      </c>
      <c r="C5105" s="15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9" t="inlineStr">
        <is>
          <t>20/12/2023</t>
        </is>
      </c>
      <c r="B5106" s="8" t="n">
        <v>156.483648527</v>
      </c>
      <c r="C5106" s="15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9" t="inlineStr">
        <is>
          <t>21/12/2023</t>
        </is>
      </c>
      <c r="B5107" s="8" t="n">
        <v>155.144739724</v>
      </c>
      <c r="C5107" s="15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9" t="inlineStr">
        <is>
          <t>22/12/2023</t>
        </is>
      </c>
      <c r="B5108" s="8" t="n">
        <v>156.97915021</v>
      </c>
      <c r="C5108" s="15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9" t="inlineStr">
        <is>
          <t>26/12/2023</t>
        </is>
      </c>
      <c r="B5109" s="8" t="n">
        <v>160.068128787</v>
      </c>
      <c r="C5109" s="15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9" t="inlineStr">
        <is>
          <t>27/12/2023</t>
        </is>
      </c>
      <c r="B5110" s="8" t="n">
        <v>155.229080436</v>
      </c>
      <c r="C5110" s="15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9" t="inlineStr">
        <is>
          <t>28/12/2023</t>
        </is>
      </c>
      <c r="B5111" s="8" t="n">
        <v>158.012323932</v>
      </c>
      <c r="C5111" s="15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9" t="inlineStr">
        <is>
          <t>02/01/2024</t>
        </is>
      </c>
      <c r="B5112" s="8" t="n">
        <v>157.9017919284</v>
      </c>
      <c r="C5112" s="15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9" t="inlineStr">
        <is>
          <t>03/01/2024</t>
        </is>
      </c>
      <c r="B5113" s="8" t="n">
        <v>155.3311996392</v>
      </c>
      <c r="C5113" s="15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9" t="inlineStr">
        <is>
          <t>04/01/2024</t>
        </is>
      </c>
      <c r="B5114" s="8" t="n">
        <v>153.7930583514</v>
      </c>
      <c r="C5114" s="15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9" t="inlineStr">
        <is>
          <t>05/01/2024</t>
        </is>
      </c>
      <c r="B5115" s="8" t="n">
        <v>150.4323249897</v>
      </c>
      <c r="C5115" s="15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9" t="inlineStr">
        <is>
          <t>08/01/2024</t>
        </is>
      </c>
      <c r="B5116" s="8" t="n">
        <v>150.1057333464</v>
      </c>
      <c r="C5116" s="15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9" t="inlineStr">
        <is>
          <t>09/01/2024</t>
        </is>
      </c>
      <c r="B5117" s="8" t="n">
        <v>151.8756493488</v>
      </c>
      <c r="C5117" s="15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9" t="inlineStr">
        <is>
          <t>10/01/2024</t>
        </is>
      </c>
      <c r="B5118" s="8" t="n">
        <v>154.0880443518</v>
      </c>
      <c r="C5118" s="15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9" t="inlineStr">
        <is>
          <t>11/01/2024</t>
        </is>
      </c>
      <c r="B5119" s="8" t="n">
        <v>153.8457344229</v>
      </c>
      <c r="C5119" s="15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9" t="inlineStr">
        <is>
          <t>12/01/2024</t>
        </is>
      </c>
      <c r="B5120" s="8" t="n">
        <v>153.9300161373</v>
      </c>
      <c r="C5120" s="15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9" t="inlineStr">
        <is>
          <t>15/01/2024</t>
        </is>
      </c>
      <c r="B5121" s="8" t="n">
        <v>151.7597619915</v>
      </c>
      <c r="C5121" s="15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9" t="inlineStr">
        <is>
          <t>16/01/2024</t>
        </is>
      </c>
      <c r="B5122" s="8" t="n">
        <v>151.8756493488</v>
      </c>
      <c r="C5122" s="15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9" t="inlineStr">
        <is>
          <t>17/01/2024</t>
        </is>
      </c>
      <c r="B5123" s="8" t="n">
        <v>151.4647759911</v>
      </c>
      <c r="C5123" s="15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9" t="inlineStr">
        <is>
          <t>18/01/2024</t>
        </is>
      </c>
      <c r="B5124" s="8" t="n">
        <v>152.655255207</v>
      </c>
      <c r="C5124" s="15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9" t="inlineStr">
        <is>
          <t>19/01/2024</t>
        </is>
      </c>
      <c r="B5125" s="8" t="n">
        <v>153.4559314938</v>
      </c>
      <c r="C5125" s="15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9" t="inlineStr">
        <is>
          <t>22/01/2024</t>
        </is>
      </c>
      <c r="B5126" s="8" t="n">
        <v>152.8238186358</v>
      </c>
      <c r="C5126" s="15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9" t="inlineStr">
        <is>
          <t>23/01/2024</t>
        </is>
      </c>
      <c r="B5127" s="8" t="n">
        <v>151.5490577055</v>
      </c>
      <c r="C5127" s="15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9" t="inlineStr">
        <is>
          <t>24/01/2024</t>
        </is>
      </c>
      <c r="B5128" s="8" t="n">
        <v>151.8756493488</v>
      </c>
      <c r="C5128" s="15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9" t="inlineStr">
        <is>
          <t>25/01/2024</t>
        </is>
      </c>
      <c r="B5129" s="8" t="n">
        <v>151.8440437059</v>
      </c>
      <c r="C5129" s="15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9" t="inlineStr">
        <is>
          <t>26/01/2024</t>
        </is>
      </c>
      <c r="B5130" s="8" t="n">
        <v>151.7913676344</v>
      </c>
      <c r="C5130" s="15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9" t="inlineStr">
        <is>
          <t>29/01/2024</t>
        </is>
      </c>
      <c r="B5131" s="8" t="n">
        <v>153.2768328507</v>
      </c>
      <c r="C5131" s="15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9" t="inlineStr">
        <is>
          <t>30/01/2024</t>
        </is>
      </c>
      <c r="B5132" s="8" t="n">
        <v>152.1811705635</v>
      </c>
      <c r="C5132" s="15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9" t="inlineStr">
        <is>
          <t>31/01/2024</t>
        </is>
      </c>
      <c r="B5133" s="8" t="n">
        <v>153.8878752801</v>
      </c>
      <c r="C5133" s="15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9" t="inlineStr">
        <is>
          <t>01/02/2024</t>
        </is>
      </c>
      <c r="B5134" s="8" t="n">
        <v>153.6967887894</v>
      </c>
      <c r="C5134" s="15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9" t="inlineStr">
        <is>
          <t>02/02/2024</t>
        </is>
      </c>
      <c r="B5135" s="8" t="n">
        <v>153.6438373704</v>
      </c>
      <c r="C5135" s="15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9" t="inlineStr">
        <is>
          <t>05/02/2024</t>
        </is>
      </c>
      <c r="B5136" s="8" t="n">
        <v>153.1037328966</v>
      </c>
      <c r="C5136" s="15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9" t="inlineStr">
        <is>
          <t>06/02/2024</t>
        </is>
      </c>
      <c r="B5137" s="8" t="n">
        <v>152.6801215446</v>
      </c>
      <c r="C5137" s="15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9" t="inlineStr">
        <is>
          <t>07/02/2024</t>
        </is>
      </c>
      <c r="B5138" s="8" t="n">
        <v>155.0841159672</v>
      </c>
      <c r="C5138" s="15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9" t="inlineStr">
        <is>
          <t>08/02/2024</t>
        </is>
      </c>
      <c r="B5139" s="8" t="n">
        <v>156.3867208746</v>
      </c>
      <c r="C5139" s="15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9" t="inlineStr">
        <is>
          <t>09/02/2024</t>
        </is>
      </c>
      <c r="B5140" s="8" t="n">
        <v>154.9570325616</v>
      </c>
      <c r="C5140" s="15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9" t="inlineStr">
        <is>
          <t>14/02/2024</t>
        </is>
      </c>
      <c r="B5141" s="8" t="n">
        <v>154.2051224118</v>
      </c>
      <c r="C5141" s="15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9" t="inlineStr">
        <is>
          <t>15/02/2024</t>
        </is>
      </c>
      <c r="B5142" s="8" t="n">
        <v>157.3610269842</v>
      </c>
      <c r="C5142" s="15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9" t="inlineStr">
        <is>
          <t>16/02/2024</t>
        </is>
      </c>
      <c r="B5143" s="8" t="n">
        <v>157.2445338624</v>
      </c>
      <c r="C5143" s="15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9" t="inlineStr">
        <is>
          <t>19/02/2024</t>
        </is>
      </c>
      <c r="B5144" s="8" t="n">
        <v>156.471443145</v>
      </c>
      <c r="C5144" s="15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9" t="inlineStr">
        <is>
          <t>20/02/2024</t>
        </is>
      </c>
      <c r="B5145" s="8" t="n">
        <v>155.6877621438</v>
      </c>
      <c r="C5145" s="15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9" t="inlineStr">
        <is>
          <t>21/02/2024</t>
        </is>
      </c>
      <c r="B5146" s="8" t="n">
        <v>153.5802956676</v>
      </c>
      <c r="C5146" s="15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9" t="inlineStr">
        <is>
          <t>22/02/2024</t>
        </is>
      </c>
      <c r="B5147" s="8" t="n">
        <v>153.823872195</v>
      </c>
      <c r="C5147" s="15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9" t="inlineStr">
        <is>
          <t>23/02/2024</t>
        </is>
      </c>
      <c r="B5148" s="8" t="n">
        <v>153.876823614</v>
      </c>
      <c r="C5148" s="15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9" t="inlineStr">
        <is>
          <t>26/02/2024</t>
        </is>
      </c>
      <c r="B5149" s="8" t="n">
        <v>153.3367191402</v>
      </c>
      <c r="C5149" s="15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9" t="inlineStr">
        <is>
          <t>27/02/2024</t>
        </is>
      </c>
      <c r="B5150" s="8" t="n">
        <v>153.4320316944</v>
      </c>
      <c r="C5150" s="15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9" t="inlineStr">
        <is>
          <t>28/02/2024</t>
        </is>
      </c>
      <c r="B5151" s="8" t="n">
        <v>155.1900188052</v>
      </c>
      <c r="C5151" s="15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9" t="inlineStr">
        <is>
          <t>29/02/2024</t>
        </is>
      </c>
      <c r="B5152" s="8" t="n">
        <v>153.8026916274</v>
      </c>
      <c r="C5152" s="15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9" t="inlineStr">
        <is>
          <t>01/03/2024</t>
        </is>
      </c>
      <c r="B5153" s="8" t="n">
        <v>152.2838762784</v>
      </c>
      <c r="C5153" s="15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9" t="inlineStr">
        <is>
          <t>04/03/2024</t>
        </is>
      </c>
      <c r="B5154" s="8" t="n">
        <v>152.0923510008</v>
      </c>
      <c r="C5154" s="15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9" t="inlineStr">
        <is>
          <t>05/03/2024</t>
        </is>
      </c>
      <c r="B5155" s="8" t="n">
        <v>151.3156095972</v>
      </c>
      <c r="C5155" s="15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9" t="inlineStr">
        <is>
          <t>06/03/2024</t>
        </is>
      </c>
      <c r="B5156" s="8" t="n">
        <v>150.7303934712</v>
      </c>
      <c r="C5156" s="15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9" t="inlineStr">
        <is>
          <t>07/03/2024</t>
        </is>
      </c>
      <c r="B5157" s="8" t="n">
        <v>150.8048755236</v>
      </c>
      <c r="C5157" s="15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9" t="inlineStr">
        <is>
          <t>08/03/2024</t>
        </is>
      </c>
      <c r="B5158" s="8" t="n">
        <v>150.1770982248</v>
      </c>
      <c r="C5158" s="15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9" t="inlineStr">
        <is>
          <t>11/03/2024</t>
        </is>
      </c>
      <c r="B5159" s="8" t="n">
        <v>151.943386896</v>
      </c>
      <c r="C5159" s="15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9" t="inlineStr">
        <is>
          <t>12/03/2024</t>
        </is>
      </c>
      <c r="B5160" s="8" t="n">
        <v>151.2624081312</v>
      </c>
      <c r="C5160" s="15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9" t="inlineStr">
        <is>
          <t>13/03/2024</t>
        </is>
      </c>
      <c r="B5161" s="8" t="n">
        <v>151.6667392728</v>
      </c>
      <c r="C5161" s="15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9" t="inlineStr">
        <is>
          <t>14/03/2024</t>
        </is>
      </c>
      <c r="B5162" s="8" t="n">
        <v>151.8795451368</v>
      </c>
      <c r="C5162" s="15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9" t="inlineStr">
        <is>
          <t>15/03/2024</t>
        </is>
      </c>
      <c r="B5163" s="8" t="n">
        <v>153.4223876508</v>
      </c>
      <c r="C5163" s="15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9" t="inlineStr">
        <is>
          <t>18/03/2024</t>
        </is>
      </c>
      <c r="B5164" s="8" t="n">
        <v>153.6671143944</v>
      </c>
      <c r="C5164" s="15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9" t="inlineStr">
        <is>
          <t>19/03/2024</t>
        </is>
      </c>
      <c r="B5165" s="8" t="n">
        <v>153.2308623732</v>
      </c>
      <c r="C5165" s="15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9" t="inlineStr">
        <is>
          <t>20/03/2024</t>
        </is>
      </c>
      <c r="B5166" s="8" t="n">
        <v>154.2204096408</v>
      </c>
      <c r="C5166" s="15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9" t="inlineStr">
        <is>
          <t>21/03/2024</t>
        </is>
      </c>
      <c r="B5167" s="8" t="n">
        <v>153.8267187924</v>
      </c>
      <c r="C5167" s="15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9" t="inlineStr">
        <is>
          <t>22/03/2024</t>
        </is>
      </c>
      <c r="B5168" s="8" t="n">
        <v>154.55025873</v>
      </c>
      <c r="C5168" s="15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9" t="inlineStr">
        <is>
          <t>25/03/2024</t>
        </is>
      </c>
      <c r="B5169" s="8" t="n">
        <v>154.922668992</v>
      </c>
      <c r="C5169" s="15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9" t="inlineStr">
        <is>
          <t>26/03/2024</t>
        </is>
      </c>
      <c r="B5170" s="8" t="n">
        <v>154.3055319864</v>
      </c>
      <c r="C5170" s="15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9" t="inlineStr">
        <is>
          <t>27/03/2024</t>
        </is>
      </c>
      <c r="B5171" s="8" t="n">
        <v>154.4544960912</v>
      </c>
      <c r="C5171" s="15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9" t="inlineStr">
        <is>
          <t>28/03/2024</t>
        </is>
      </c>
      <c r="B5172" s="8" t="n">
        <v>154.8056257668</v>
      </c>
      <c r="C5172" s="15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9" t="inlineStr">
        <is>
          <t>01/04/2024</t>
        </is>
      </c>
      <c r="B5173" s="8" t="n">
        <v>154.4120702814</v>
      </c>
      <c r="C5173" s="15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9" t="inlineStr">
        <is>
          <t>02/04/2024</t>
        </is>
      </c>
      <c r="B5174" s="8" t="n">
        <v>154.86818892</v>
      </c>
      <c r="C5174" s="15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9" t="inlineStr">
        <is>
          <t>03/04/2024</t>
        </is>
      </c>
      <c r="B5175" s="8" t="n">
        <v>155.6213150442</v>
      </c>
      <c r="C5175" s="15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9" t="inlineStr">
        <is>
          <t>04/04/2024</t>
        </is>
      </c>
      <c r="B5176" s="8" t="n">
        <v>155.4197742504</v>
      </c>
      <c r="C5176" s="15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9" t="inlineStr">
        <is>
          <t>05/04/2024</t>
        </is>
      </c>
      <c r="B5177" s="8" t="n">
        <v>155.4197742504</v>
      </c>
      <c r="C5177" s="15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9" t="inlineStr">
        <is>
          <t>08/04/2024</t>
        </is>
      </c>
      <c r="B5178" s="8" t="n">
        <v>155.875892889</v>
      </c>
      <c r="C5178" s="15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9" t="inlineStr">
        <is>
          <t>09/04/2024</t>
        </is>
      </c>
      <c r="B5179" s="8" t="n">
        <v>156.2895818868</v>
      </c>
      <c r="C5179" s="15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9" t="inlineStr">
        <is>
          <t>10/04/2024</t>
        </is>
      </c>
      <c r="B5180" s="8" t="n">
        <v>155.4409890708</v>
      </c>
      <c r="C5180" s="15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9" t="inlineStr">
        <is>
          <t>11/04/2024</t>
        </is>
      </c>
      <c r="B5181" s="8" t="n">
        <v>155.769818787</v>
      </c>
      <c r="C5181" s="15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9" t="inlineStr">
        <is>
          <t>12/04/2024</t>
        </is>
      </c>
      <c r="B5182" s="8" t="n">
        <v>155.1758038158</v>
      </c>
      <c r="C5182" s="15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9" t="inlineStr">
        <is>
          <t>15/04/2024</t>
        </is>
      </c>
      <c r="B5183" s="8" t="n">
        <v>155.1758038158</v>
      </c>
      <c r="C5183" s="15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9" t="inlineStr">
        <is>
          <t>16/04/2024</t>
        </is>
      </c>
      <c r="B5184" s="8" t="n">
        <v>157.1806043436</v>
      </c>
      <c r="C5184" s="15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9" t="inlineStr">
        <is>
          <t>17/04/2024</t>
        </is>
      </c>
      <c r="B5185" s="8" t="n">
        <v>158.8671825654</v>
      </c>
      <c r="C5185" s="15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9" t="inlineStr">
        <is>
          <t>18/04/2024</t>
        </is>
      </c>
      <c r="B5186" s="8" t="n">
        <v>159.7263827916</v>
      </c>
      <c r="C5186" s="15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9" t="inlineStr">
        <is>
          <t>19/04/2024</t>
        </is>
      </c>
      <c r="B5187" s="8" t="n">
        <v>159.4187678958</v>
      </c>
      <c r="C5187" s="15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9" t="inlineStr">
        <is>
          <t>22/04/2024</t>
        </is>
      </c>
      <c r="B5188" s="8" t="n">
        <v>157.2230339844</v>
      </c>
      <c r="C5188" s="15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9" t="inlineStr">
        <is>
          <t>23/04/2024</t>
        </is>
      </c>
      <c r="B5189" s="8" t="n">
        <v>157.4563970088</v>
      </c>
      <c r="C5189" s="15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9" t="inlineStr">
        <is>
          <t>24/04/2024</t>
        </is>
      </c>
      <c r="B5190" s="8" t="n">
        <v>156.8093449866</v>
      </c>
      <c r="C5190" s="15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9" t="inlineStr">
        <is>
          <t>25/04/2024</t>
        </is>
      </c>
      <c r="B5191" s="8" t="n">
        <v>156.0986485032</v>
      </c>
      <c r="C5191" s="15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9" t="inlineStr">
        <is>
          <t>26/04/2024</t>
        </is>
      </c>
      <c r="B5192" s="8" t="n">
        <v>155.5364557626</v>
      </c>
      <c r="C5192" s="15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9" t="inlineStr">
        <is>
          <t>29/04/2024</t>
        </is>
      </c>
      <c r="B5193" s="8" t="n">
        <v>153.7862330796</v>
      </c>
      <c r="C5193" s="15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9" t="inlineStr">
        <is>
          <t>30/04/2024</t>
        </is>
      </c>
      <c r="B5194" s="8" t="n">
        <v>152.2587660108</v>
      </c>
      <c r="C5194" s="15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9" t="inlineStr">
        <is>
          <t>02/05/2024</t>
        </is>
      </c>
      <c r="B5195" s="8" t="n">
        <v>151.378225126</v>
      </c>
      <c r="C5195" s="15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9" t="inlineStr">
        <is>
          <t>03/05/2024</t>
        </is>
      </c>
      <c r="B5196" s="8" t="n">
        <v>150.55814584</v>
      </c>
      <c r="C5196" s="15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9" t="inlineStr">
        <is>
          <t>06/05/2024</t>
        </is>
      </c>
      <c r="B5197" s="8" t="n">
        <v>150.03245399</v>
      </c>
      <c r="C5197" s="15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9" t="inlineStr">
        <is>
          <t>07/05/2024</t>
        </is>
      </c>
      <c r="B5198" s="8" t="n">
        <v>149.317513074</v>
      </c>
      <c r="C5198" s="15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9" t="inlineStr">
        <is>
          <t>08/05/2024</t>
        </is>
      </c>
      <c r="B5199" s="8" t="n">
        <v>150.726367232</v>
      </c>
      <c r="C5199" s="15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9" t="inlineStr">
        <is>
          <t>09/05/2024</t>
        </is>
      </c>
      <c r="B5200" s="8" t="n">
        <v>146.541860106</v>
      </c>
      <c r="C5200" s="15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9" t="inlineStr">
        <is>
          <t>10/05/2024</t>
        </is>
      </c>
      <c r="B5201" s="8" t="n">
        <v>145.93205756</v>
      </c>
      <c r="C5201" s="15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9" t="inlineStr">
        <is>
          <t>13/05/2024</t>
        </is>
      </c>
      <c r="B5202" s="8" t="n">
        <v>146.77316452</v>
      </c>
      <c r="C5202" s="15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9" t="inlineStr">
        <is>
          <t>14/05/2024</t>
        </is>
      </c>
      <c r="B5203" s="8" t="n">
        <v>145.206602807</v>
      </c>
      <c r="C5203" s="15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9" t="inlineStr">
        <is>
          <t>15/05/2024</t>
        </is>
      </c>
      <c r="B5204" s="8" t="n">
        <v>146.804706031</v>
      </c>
      <c r="C5204" s="15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9" t="inlineStr">
        <is>
          <t>16/05/2024</t>
        </is>
      </c>
      <c r="B5205" s="8" t="n">
        <v>144.922729208</v>
      </c>
      <c r="C5205" s="15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9" t="inlineStr">
        <is>
          <t>17/05/2024</t>
        </is>
      </c>
      <c r="B5206" s="8" t="n">
        <v>144.575772587</v>
      </c>
      <c r="C5206" s="15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9" t="inlineStr">
        <is>
          <t>20/05/2024</t>
        </is>
      </c>
      <c r="B5207" s="8" t="n">
        <v>143.009210874</v>
      </c>
      <c r="C5207" s="15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9" t="inlineStr">
        <is>
          <t>21/05/2024</t>
        </is>
      </c>
      <c r="B5208" s="8" t="n">
        <v>142.599171231</v>
      </c>
      <c r="C5208" s="15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9" t="inlineStr">
        <is>
          <t>22/05/2024</t>
        </is>
      </c>
      <c r="B5209" s="8" t="n">
        <v>144.24984364</v>
      </c>
      <c r="C5209" s="15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9" t="inlineStr">
        <is>
          <t>23/05/2024</t>
        </is>
      </c>
      <c r="B5210" s="8" t="n">
        <v>146.604943128</v>
      </c>
      <c r="C5210" s="15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9" t="inlineStr">
        <is>
          <t>24/05/2024</t>
        </is>
      </c>
      <c r="B5211" s="8" t="n">
        <v>145.984626745</v>
      </c>
      <c r="C5211" s="15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9" t="inlineStr">
        <is>
          <t>27/05/2024</t>
        </is>
      </c>
      <c r="B5212" s="8" t="n">
        <v>144.344468173</v>
      </c>
      <c r="C5212" s="15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9" t="inlineStr">
        <is>
          <t>28/05/2024</t>
        </is>
      </c>
      <c r="B5213" s="8" t="n">
        <v>143.566444235</v>
      </c>
      <c r="C5213" s="15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9" t="inlineStr">
        <is>
          <t>29/05/2024</t>
        </is>
      </c>
      <c r="B5214" s="8" t="n">
        <v>142.557115883</v>
      </c>
      <c r="C5214" s="15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9" t="inlineStr">
        <is>
          <t>31/05/2024</t>
        </is>
      </c>
      <c r="B5215" s="8" t="n">
        <v>142.788420297</v>
      </c>
      <c r="C5215" s="15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9" t="inlineStr">
        <is>
          <t>03/06/2024</t>
        </is>
      </c>
      <c r="B5216" s="8" t="n">
        <v>141.1300886944</v>
      </c>
      <c r="C5216" s="15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9" t="inlineStr">
        <is>
          <t>04/06/2024</t>
        </is>
      </c>
      <c r="B5217" s="8" t="n">
        <v>140.8172079184</v>
      </c>
      <c r="C5217" s="15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9" t="inlineStr">
        <is>
          <t>05/06/2024</t>
        </is>
      </c>
      <c r="B5218" s="8" t="n">
        <v>140.0767234152</v>
      </c>
      <c r="C5218" s="15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9" t="inlineStr">
        <is>
          <t>06/06/2024</t>
        </is>
      </c>
      <c r="B5219" s="8" t="n">
        <v>141.4846869072</v>
      </c>
      <c r="C5219" s="15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9" t="inlineStr">
        <is>
          <t>07/06/2024</t>
        </is>
      </c>
      <c r="B5220" s="8" t="n">
        <v>140.8067785592</v>
      </c>
      <c r="C5220" s="15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9" t="inlineStr">
        <is>
          <t>10/06/2024</t>
        </is>
      </c>
      <c r="B5221" s="8" t="n">
        <v>140.7337730448</v>
      </c>
      <c r="C5221" s="15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9" t="inlineStr">
        <is>
          <t>11/06/2024</t>
        </is>
      </c>
      <c r="B5222" s="8" t="n">
        <v>142.412899876</v>
      </c>
      <c r="C5222" s="15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9" t="inlineStr">
        <is>
          <t>12/06/2024</t>
        </is>
      </c>
      <c r="B5223" s="8" t="n">
        <v>144.5926359488</v>
      </c>
      <c r="C5223" s="15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9" t="inlineStr">
        <is>
          <t>13/06/2024</t>
        </is>
      </c>
      <c r="B5224" s="8" t="n">
        <v>142.2668888472</v>
      </c>
      <c r="C5224" s="15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9" t="inlineStr">
        <is>
          <t>14/06/2024</t>
        </is>
      </c>
      <c r="B5225" s="8" t="n">
        <v>142.6006283416</v>
      </c>
      <c r="C5225" s="15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9" t="inlineStr">
        <is>
          <t>17/06/2024</t>
        </is>
      </c>
      <c r="B5226" s="8" t="n">
        <v>142.1313071776</v>
      </c>
      <c r="C5226" s="15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9" t="inlineStr">
        <is>
          <t>18/06/2024</t>
        </is>
      </c>
      <c r="B5227" s="8" t="n">
        <v>142.5589109048</v>
      </c>
      <c r="C5227" s="15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9" t="inlineStr">
        <is>
          <t>19/06/2024</t>
        </is>
      </c>
      <c r="B5228" s="8" t="n">
        <v>141.9644374304</v>
      </c>
      <c r="C5228" s="15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9" t="inlineStr">
        <is>
          <t>20/06/2024</t>
        </is>
      </c>
      <c r="B5229" s="8" t="n">
        <v>143.4349770776</v>
      </c>
      <c r="C5229" s="15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9" t="inlineStr">
        <is>
          <t>21/06/2024</t>
        </is>
      </c>
      <c r="B5230" s="8" t="n">
        <v>143.873010164</v>
      </c>
      <c r="C5230" s="15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9" t="inlineStr">
        <is>
          <t>24/06/2024</t>
        </is>
      </c>
      <c r="B5231" s="8" t="n">
        <v>142.7466393704</v>
      </c>
      <c r="C5231" s="15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9" t="inlineStr">
        <is>
          <t>25/06/2024</t>
        </is>
      </c>
      <c r="B5232" s="8" t="n">
        <v>140.9319308696</v>
      </c>
      <c r="C5232" s="15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9" t="inlineStr">
        <is>
          <t>26/06/2024</t>
        </is>
      </c>
      <c r="B5233" s="8" t="n">
        <v>139.1693691648</v>
      </c>
      <c r="C5233" s="15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9" t="inlineStr">
        <is>
          <t>27/06/2024</t>
        </is>
      </c>
      <c r="B5234" s="8" t="n">
        <v>138.9503526216</v>
      </c>
      <c r="C5234" s="15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9" t="inlineStr">
        <is>
          <t>28/06/2024</t>
        </is>
      </c>
      <c r="B5235" s="8" t="n">
        <v>138.5644663312</v>
      </c>
      <c r="C5235" s="15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9" t="inlineStr">
        <is>
          <t>01/07/2024</t>
        </is>
      </c>
      <c r="B5236" s="8" t="n">
        <v>137.1956762865</v>
      </c>
      <c r="C5236" s="15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9" t="inlineStr">
        <is>
          <t>02/07/2024</t>
        </is>
      </c>
      <c r="B5237" s="8" t="n">
        <v>137.3926326786</v>
      </c>
      <c r="C5237" s="15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9" t="inlineStr">
        <is>
          <t>03/07/2024</t>
        </is>
      </c>
      <c r="B5238" s="8" t="n">
        <v>138.8438903046</v>
      </c>
      <c r="C5238" s="15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9" t="inlineStr">
        <is>
          <t>04/07/2024</t>
        </is>
      </c>
      <c r="B5239" s="8" t="n">
        <v>138.8853548082</v>
      </c>
      <c r="C5239" s="15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9" t="inlineStr">
        <is>
          <t>05/07/2024</t>
        </is>
      </c>
      <c r="B5240" s="8" t="n">
        <v>138.2737533801</v>
      </c>
      <c r="C5240" s="15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9" t="inlineStr">
        <is>
          <t>08/07/2024</t>
        </is>
      </c>
      <c r="B5241" s="8" t="n">
        <v>137.765813211</v>
      </c>
      <c r="C5241" s="15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9" t="inlineStr">
        <is>
          <t>09/07/2024</t>
        </is>
      </c>
      <c r="B5242" s="8" t="n">
        <v>137.765813211</v>
      </c>
      <c r="C5242" s="15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9" t="inlineStr">
        <is>
          <t>10/07/2024</t>
        </is>
      </c>
      <c r="B5243" s="8" t="n">
        <v>137.8072777146</v>
      </c>
      <c r="C5243" s="15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9" t="inlineStr">
        <is>
          <t>11/07/2024</t>
        </is>
      </c>
      <c r="B5244" s="8" t="n">
        <v>137.8487422182</v>
      </c>
      <c r="C5244" s="15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9" t="inlineStr">
        <is>
          <t>12/07/2024</t>
        </is>
      </c>
      <c r="B5245" s="8" t="n">
        <v>136.8846925095</v>
      </c>
      <c r="C5245" s="15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9" t="inlineStr">
        <is>
          <t>15/07/2024</t>
        </is>
      </c>
      <c r="B5246" s="8" t="n">
        <v>137.2993375455</v>
      </c>
      <c r="C5246" s="15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9" t="inlineStr">
        <is>
          <t>16/07/2024</t>
        </is>
      </c>
      <c r="B5247" s="8" t="n">
        <v>137.0298182721</v>
      </c>
      <c r="C5247" s="15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9" t="inlineStr">
        <is>
          <t>17/07/2024</t>
        </is>
      </c>
      <c r="B5248" s="8" t="n">
        <v>140.0774592867</v>
      </c>
      <c r="C5248" s="15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9" t="inlineStr">
        <is>
          <t>18/07/2024</t>
        </is>
      </c>
      <c r="B5249" s="8" t="n">
        <v>139.1859724593</v>
      </c>
      <c r="C5249" s="15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9" t="inlineStr">
        <is>
          <t>19/07/2024</t>
        </is>
      </c>
      <c r="B5250" s="8" t="n">
        <v>138.2426550024</v>
      </c>
      <c r="C5250" s="15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9" t="inlineStr">
        <is>
          <t>22/07/2024</t>
        </is>
      </c>
      <c r="B5251" s="8" t="n">
        <v>137.3304359232</v>
      </c>
      <c r="C5251" s="15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9" t="inlineStr">
        <is>
          <t>23/07/2024</t>
        </is>
      </c>
      <c r="B5252" s="8" t="n">
        <v>137.9109389736</v>
      </c>
      <c r="C5252" s="15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9" t="inlineStr">
        <is>
          <t>24/07/2024</t>
        </is>
      </c>
      <c r="B5253" s="8" t="n">
        <v>139.2585353406</v>
      </c>
      <c r="C5253" s="15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9" t="inlineStr">
        <is>
          <t>25/07/2024</t>
        </is>
      </c>
      <c r="B5254" s="8" t="n">
        <v>137.1542117829</v>
      </c>
      <c r="C5254" s="15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9" t="inlineStr">
        <is>
          <t>26/07/2024</t>
        </is>
      </c>
      <c r="B5255" s="8" t="n">
        <v>137.86947447</v>
      </c>
      <c r="C5255" s="15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9" t="inlineStr">
        <is>
          <t>29/07/2024</t>
        </is>
      </c>
      <c r="B5256" s="8" t="n">
        <v>138.0664308621</v>
      </c>
      <c r="C5256" s="15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9" t="inlineStr">
        <is>
          <t>30/07/2024</t>
        </is>
      </c>
      <c r="B5257" s="8" t="n">
        <v>137.2267746642</v>
      </c>
      <c r="C5257" s="15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9" t="inlineStr">
        <is>
          <t>31/07/2024</t>
        </is>
      </c>
      <c r="B5258" s="8" t="n">
        <v>138.6883984161</v>
      </c>
      <c r="C5258" s="15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9" t="inlineStr">
        <is>
          <t>01/08/2024</t>
        </is>
      </c>
      <c r="B5259" s="8" t="n">
        <v>136.933328448</v>
      </c>
      <c r="C5259" s="15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9" t="inlineStr">
        <is>
          <t>02/08/2024</t>
        </is>
      </c>
      <c r="B5260" s="8" t="n">
        <v>136.509546257</v>
      </c>
      <c r="C5260" s="15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9" t="inlineStr">
        <is>
          <t>05/08/2024</t>
        </is>
      </c>
      <c r="B5261" s="8" t="n">
        <v>137.140051468</v>
      </c>
      <c r="C5261" s="15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9" t="inlineStr">
        <is>
          <t>06/08/2024</t>
        </is>
      </c>
      <c r="B5262" s="8" t="n">
        <v>135.858368744</v>
      </c>
      <c r="C5262" s="15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9" t="inlineStr">
        <is>
          <t>07/08/2024</t>
        </is>
      </c>
      <c r="B5263" s="8" t="n">
        <v>135.765343385</v>
      </c>
      <c r="C5263" s="15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9" t="inlineStr">
        <is>
          <t>08/08/2024</t>
        </is>
      </c>
      <c r="B5264" s="8" t="n">
        <v>136.974673052</v>
      </c>
      <c r="C5264" s="15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9" t="inlineStr">
        <is>
          <t>09/08/2024</t>
        </is>
      </c>
      <c r="B5265" s="8" t="n">
        <v>135.155510476</v>
      </c>
      <c r="C5265" s="15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9" t="inlineStr">
        <is>
          <t>12/08/2024</t>
        </is>
      </c>
      <c r="B5266" s="8" t="n">
        <v>134.597358322</v>
      </c>
      <c r="C5266" s="15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9" t="inlineStr">
        <is>
          <t>13/08/2024</t>
        </is>
      </c>
      <c r="B5267" s="8" t="n">
        <v>134.545677567</v>
      </c>
      <c r="C5267" s="15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9" t="inlineStr">
        <is>
          <t>14/08/2024</t>
        </is>
      </c>
      <c r="B5268" s="8" t="n">
        <v>134.142567678</v>
      </c>
      <c r="C5268" s="15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9" t="inlineStr">
        <is>
          <t>15/08/2024</t>
        </is>
      </c>
      <c r="B5269" s="8" t="n">
        <v>133.677440883</v>
      </c>
      <c r="C5269" s="15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9" t="inlineStr">
        <is>
          <t>16/08/2024</t>
        </is>
      </c>
      <c r="B5270" s="8" t="n">
        <v>135.599964969</v>
      </c>
      <c r="C5270" s="15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9" t="inlineStr">
        <is>
          <t>19/08/2024</t>
        </is>
      </c>
      <c r="B5271" s="8" t="n">
        <v>133.057271823</v>
      </c>
      <c r="C5271" s="15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9" t="inlineStr">
        <is>
          <t>20/08/2024</t>
        </is>
      </c>
      <c r="B5272" s="8" t="n">
        <v>134.287273792</v>
      </c>
      <c r="C5272" s="15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9" t="inlineStr">
        <is>
          <t>21/08/2024</t>
        </is>
      </c>
      <c r="B5273" s="8" t="n">
        <v>133.811810846</v>
      </c>
      <c r="C5273" s="15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9" t="inlineStr">
        <is>
          <t>22/08/2024</t>
        </is>
      </c>
      <c r="B5274" s="8" t="n">
        <v>132.71617884</v>
      </c>
      <c r="C5274" s="15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9" t="inlineStr">
        <is>
          <t>23/08/2024</t>
        </is>
      </c>
      <c r="B5275" s="8" t="n">
        <v>134.070214621</v>
      </c>
      <c r="C5275" s="15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9" t="inlineStr">
        <is>
          <t>26/08/2024</t>
        </is>
      </c>
      <c r="B5276" s="8" t="n">
        <v>136.147780972</v>
      </c>
      <c r="C5276" s="15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9" t="inlineStr">
        <is>
          <t>27/08/2024</t>
        </is>
      </c>
      <c r="B5277" s="8" t="n">
        <v>135.052148966</v>
      </c>
      <c r="C5277" s="15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9" t="inlineStr">
        <is>
          <t>28/08/2024</t>
        </is>
      </c>
      <c r="B5278" s="8" t="n">
        <v>135.124502023</v>
      </c>
      <c r="C5278" s="15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9" t="inlineStr">
        <is>
          <t>29/08/2024</t>
        </is>
      </c>
      <c r="B5279" s="8" t="n">
        <v>133.780802393</v>
      </c>
      <c r="C5279" s="15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9" t="inlineStr">
        <is>
          <t>30/08/2024</t>
        </is>
      </c>
      <c r="B5280" s="8" t="n">
        <v>137.925598944</v>
      </c>
      <c r="C5280" s="15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9" t="inlineStr">
        <is>
          <t>02/09/2024</t>
        </is>
      </c>
      <c r="B5281" s="8" t="n">
        <v>139.4075790878</v>
      </c>
      <c r="C5281" s="15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9" t="inlineStr">
        <is>
          <t>03/09/2024</t>
        </is>
      </c>
      <c r="B5282" s="8" t="n">
        <v>139.6746630946</v>
      </c>
      <c r="C5282" s="15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9" t="inlineStr">
        <is>
          <t>04/09/2024</t>
        </is>
      </c>
      <c r="B5283" s="8" t="n">
        <v>140.6710918892</v>
      </c>
      <c r="C5283" s="15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9" t="inlineStr">
        <is>
          <t>05/09/2024</t>
        </is>
      </c>
      <c r="B5284" s="8" t="n">
        <v>140.3937354206</v>
      </c>
      <c r="C5284" s="15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9" t="inlineStr">
        <is>
          <t>06/09/2024</t>
        </is>
      </c>
      <c r="B5285" s="8" t="n">
        <v>140.7943614308</v>
      </c>
      <c r="C5285" s="15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9" t="inlineStr">
        <is>
          <t>09/09/2024</t>
        </is>
      </c>
      <c r="B5286" s="8" t="n">
        <v>142.6742219402</v>
      </c>
      <c r="C5286" s="15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9" t="inlineStr">
        <is>
          <t>10/09/2024</t>
        </is>
      </c>
      <c r="B5287" s="8" t="n">
        <v>142.684494402</v>
      </c>
      <c r="C5287" s="15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9" t="inlineStr">
        <is>
          <t>11/09/2024</t>
        </is>
      </c>
      <c r="B5288" s="8" t="n">
        <v>143.7939202764</v>
      </c>
      <c r="C5288" s="15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9" t="inlineStr">
        <is>
          <t>12/09/2024</t>
        </is>
      </c>
      <c r="B5289" s="8" t="n">
        <v>144.071276745</v>
      </c>
      <c r="C5289" s="15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9" t="inlineStr">
        <is>
          <t>13/09/2024</t>
        </is>
      </c>
      <c r="B5290" s="8" t="n">
        <v>144.2869984428</v>
      </c>
      <c r="C5290" s="15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9" t="inlineStr">
        <is>
          <t>16/09/2024</t>
        </is>
      </c>
      <c r="B5291" s="8" t="n">
        <v>146.279856032</v>
      </c>
      <c r="C5291" s="15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9" t="inlineStr">
        <is>
          <t>17/09/2024</t>
        </is>
      </c>
      <c r="B5292" s="8" t="n">
        <v>145.5402387824</v>
      </c>
      <c r="C5292" s="15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9" t="inlineStr">
        <is>
          <t>18/09/2024</t>
        </is>
      </c>
      <c r="B5293" s="8" t="n">
        <v>145.6943257094</v>
      </c>
      <c r="C5293" s="15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9" t="inlineStr">
        <is>
          <t>19/09/2024</t>
        </is>
      </c>
      <c r="B5294" s="8" t="n">
        <v>145.2936996992</v>
      </c>
      <c r="C5294" s="15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9" t="inlineStr">
        <is>
          <t>20/09/2024</t>
        </is>
      </c>
      <c r="B5295" s="8" t="n">
        <v>147.4509166772</v>
      </c>
      <c r="C5295" s="15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9" t="inlineStr">
        <is>
          <t>23/09/2024</t>
        </is>
      </c>
      <c r="B5296" s="8" t="n">
        <v>148.231623774</v>
      </c>
      <c r="C5296" s="15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9" t="inlineStr">
        <is>
          <t>24/09/2024</t>
        </is>
      </c>
      <c r="B5297" s="8" t="n">
        <v>147.4714616008</v>
      </c>
      <c r="C5297" s="15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9" t="inlineStr">
        <is>
          <t>25/09/2024</t>
        </is>
      </c>
      <c r="B5298" s="8" t="n">
        <v>148.3959831628</v>
      </c>
      <c r="C5298" s="15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9" t="inlineStr">
        <is>
          <t>26/09/2024</t>
        </is>
      </c>
      <c r="B5299" s="8" t="n">
        <v>150.5634726026</v>
      </c>
      <c r="C5299" s="15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9" t="inlineStr">
        <is>
          <t>27/09/2024</t>
        </is>
      </c>
      <c r="B5300" s="8" t="n">
        <v>150.7894667622</v>
      </c>
      <c r="C5300" s="15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9" t="inlineStr">
        <is>
          <t>30/09/2024</t>
        </is>
      </c>
      <c r="B5301" s="8" t="n">
        <v>150.3066610576</v>
      </c>
      <c r="C5301" s="15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9" t="inlineStr">
        <is>
          <t>01/10/2024</t>
        </is>
      </c>
      <c r="B5302" s="8" t="n">
        <v>147.0544596206</v>
      </c>
      <c r="C5302" s="15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9" t="inlineStr">
        <is>
          <t>02/10/2024</t>
        </is>
      </c>
      <c r="B5303" s="8" t="n">
        <v>146.821730482</v>
      </c>
      <c r="C5303" s="15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9" t="inlineStr">
        <is>
          <t>03/10/2024</t>
        </is>
      </c>
      <c r="B5304" s="8" t="n">
        <v>147.5199178978</v>
      </c>
      <c r="C5304" s="15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9" t="inlineStr">
        <is>
          <t>04/10/2024</t>
        </is>
      </c>
      <c r="B5305" s="8" t="n">
        <v>148.7139195654</v>
      </c>
      <c r="C5305" s="15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9" t="inlineStr">
        <is>
          <t>07/10/2024</t>
        </is>
      </c>
      <c r="B5306" s="8" t="n">
        <v>148.6026143252</v>
      </c>
      <c r="C5306" s="15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9" t="inlineStr">
        <is>
          <t>08/10/2024</t>
        </is>
      </c>
      <c r="B5307" s="8" t="n">
        <v>148.5621396924</v>
      </c>
      <c r="C5307" s="15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9" t="inlineStr">
        <is>
          <t>09/10/2024</t>
        </is>
      </c>
      <c r="B5308" s="8" t="n">
        <v>147.934782884</v>
      </c>
      <c r="C5308" s="15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9" t="inlineStr">
        <is>
          <t>10/10/2024</t>
        </is>
      </c>
      <c r="B5309" s="8" t="n">
        <v>150.2013623208</v>
      </c>
      <c r="C5309" s="15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9" t="inlineStr">
        <is>
          <t>11/10/2024</t>
        </is>
      </c>
      <c r="B5310" s="8" t="n">
        <v>151.779873</v>
      </c>
      <c r="C5310" s="15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9" t="inlineStr">
        <is>
          <t>14/10/2024</t>
        </is>
      </c>
      <c r="B5311" s="8" t="n">
        <v>152.134026037</v>
      </c>
      <c r="C5311" s="15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9" t="inlineStr">
        <is>
          <t>15/10/2024</t>
        </is>
      </c>
      <c r="B5312" s="8" t="n">
        <v>153.4393329448</v>
      </c>
      <c r="C5312" s="15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9" t="inlineStr">
        <is>
          <t>16/10/2024</t>
        </is>
      </c>
      <c r="B5313" s="8" t="n">
        <v>153.80360464</v>
      </c>
      <c r="C5313" s="15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9" t="inlineStr">
        <is>
          <t>17/10/2024</t>
        </is>
      </c>
      <c r="B5314" s="8" t="n">
        <v>155.8475735964</v>
      </c>
      <c r="C5314" s="15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9" t="inlineStr">
        <is>
          <t>18/10/2024</t>
        </is>
      </c>
      <c r="B5315" s="8" t="n">
        <v>157.243948428</v>
      </c>
      <c r="C5315" s="15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9" t="inlineStr">
        <is>
          <t>21/10/2024</t>
        </is>
      </c>
      <c r="B5316" s="8" t="n">
        <v>157.3248976936</v>
      </c>
      <c r="C5316" s="15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9" t="inlineStr">
        <is>
          <t>22/10/2024</t>
        </is>
      </c>
      <c r="B5317" s="8" t="n">
        <v>158.154627666</v>
      </c>
      <c r="C5317" s="15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9" t="inlineStr">
        <is>
          <t>23/10/2024</t>
        </is>
      </c>
      <c r="B5318" s="8" t="n">
        <v>159.773612978</v>
      </c>
      <c r="C5318" s="15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9" t="inlineStr">
        <is>
          <t>24/10/2024</t>
        </is>
      </c>
      <c r="B5319" s="8" t="n">
        <v>160.1378846732</v>
      </c>
      <c r="C5319" s="15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9" t="inlineStr">
        <is>
          <t>25/10/2024</t>
        </is>
      </c>
      <c r="B5320" s="8" t="n">
        <v>160.1378846732</v>
      </c>
      <c r="C5320" s="15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9" t="inlineStr">
        <is>
          <t>28/10/2024</t>
        </is>
      </c>
      <c r="B5321" s="8" t="n">
        <v>159.4498159156</v>
      </c>
      <c r="C5321" s="15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9" t="inlineStr">
        <is>
          <t>29/10/2024</t>
        </is>
      </c>
      <c r="B5322" s="8" t="n">
        <v>161.9288871746</v>
      </c>
      <c r="C5322" s="15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9" t="inlineStr">
        <is>
          <t>30/10/2024</t>
        </is>
      </c>
      <c r="B5323" s="8" t="n">
        <v>164.2055852696</v>
      </c>
      <c r="C5323" s="15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9" t="inlineStr">
        <is>
          <t>31/10/2024</t>
        </is>
      </c>
      <c r="B5324" s="8" t="n">
        <v>165.7335026578</v>
      </c>
      <c r="C5324" s="15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9" t="inlineStr">
        <is>
          <t>01/11/2024</t>
        </is>
      </c>
      <c r="B5325" s="8" t="n">
        <v>164.4756417242</v>
      </c>
      <c r="C5325" s="15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9" t="inlineStr">
        <is>
          <t>04/11/2024</t>
        </is>
      </c>
      <c r="B5326" s="8" t="n">
        <v>165.5943877386</v>
      </c>
      <c r="C5326" s="15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9" t="inlineStr">
        <is>
          <t>05/11/2024</t>
        </is>
      </c>
      <c r="B5327" s="8" t="n">
        <v>165.6842869719</v>
      </c>
      <c r="C5327" s="15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9" t="inlineStr">
        <is>
          <t>06/11/2024</t>
        </is>
      </c>
      <c r="B5328" s="8" t="n">
        <v>165.6443317571</v>
      </c>
      <c r="C5328" s="15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9" t="inlineStr">
        <is>
          <t>07/11/2024</t>
        </is>
      </c>
      <c r="B5329" s="8" t="n">
        <v>165.9040406533</v>
      </c>
      <c r="C5329" s="15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9" t="inlineStr">
        <is>
          <t>08/11/2024</t>
        </is>
      </c>
      <c r="B5330" s="8" t="n">
        <v>166.2736263902</v>
      </c>
      <c r="C5330" s="15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9" t="inlineStr">
        <is>
          <t>11/11/2024</t>
        </is>
      </c>
      <c r="B5331" s="8" t="n">
        <v>166.5732905012</v>
      </c>
      <c r="C5331" s="15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9" t="inlineStr">
        <is>
          <t>12/11/2024</t>
        </is>
      </c>
      <c r="B5332" s="8" t="n">
        <v>167.3424283861</v>
      </c>
      <c r="C5332" s="15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9" t="inlineStr">
        <is>
          <t>13/11/2024</t>
        </is>
      </c>
      <c r="B5333" s="8" t="n">
        <v>167.0028090603</v>
      </c>
      <c r="C5333" s="15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9" t="inlineStr">
        <is>
          <t>14/11/2024</t>
        </is>
      </c>
      <c r="B5334" s="8" t="n">
        <v>167.5322156564</v>
      </c>
      <c r="C5334" s="15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9" t="inlineStr">
        <is>
          <t>18/11/2024</t>
        </is>
      </c>
      <c r="B5335" s="8" t="n">
        <v>167.9717230192</v>
      </c>
      <c r="C5335" s="15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9" t="inlineStr">
        <is>
          <t>19/11/2024</t>
        </is>
      </c>
      <c r="B5336" s="8" t="n">
        <v>167.6420924971</v>
      </c>
      <c r="C5336" s="15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9" t="inlineStr">
        <is>
          <t>21/11/2024</t>
        </is>
      </c>
      <c r="B5337" s="8" t="n">
        <v>167.7819357489</v>
      </c>
      <c r="C5337" s="15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9" t="inlineStr">
        <is>
          <t>22/11/2024</t>
        </is>
      </c>
      <c r="B5338" s="8" t="n">
        <v>166.9828314529</v>
      </c>
      <c r="C5338" s="15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9" t="inlineStr">
        <is>
          <t>25/11/2024</t>
        </is>
      </c>
      <c r="B5339" s="8" t="n">
        <v>166.213693568</v>
      </c>
      <c r="C5339" s="15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9" t="inlineStr">
        <is>
          <t>26/11/2024</t>
        </is>
      </c>
      <c r="B5340" s="8" t="n">
        <v>166.3835032309</v>
      </c>
      <c r="C5340" s="15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9" t="inlineStr">
        <is>
          <t>27/11/2024</t>
        </is>
      </c>
      <c r="B5341" s="8" t="n">
        <v>165.3446676461</v>
      </c>
      <c r="C5341" s="15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9" t="inlineStr">
        <is>
          <t>28/11/2024</t>
        </is>
      </c>
      <c r="B5342" s="8" t="n">
        <v>164.4057200983</v>
      </c>
      <c r="C5342" s="15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9" t="inlineStr">
        <is>
          <t>29/11/2024</t>
        </is>
      </c>
      <c r="B5343" s="8" t="n">
        <v>164.3657648835</v>
      </c>
      <c r="C5343" s="15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9" t="inlineStr">
        <is>
          <t>02/12/2024</t>
        </is>
      </c>
      <c r="B5344" s="8" t="n">
        <v>161.895014788</v>
      </c>
      <c r="C5344" s="15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9" t="inlineStr">
        <is>
          <t>03/12/2024</t>
        </is>
      </c>
      <c r="B5345" s="8" t="n">
        <v>160.6283545256</v>
      </c>
      <c r="C5345" s="15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9" t="inlineStr">
        <is>
          <t>04/12/2024</t>
        </is>
      </c>
      <c r="B5346" s="8" t="n">
        <v>162.8054268516</v>
      </c>
      <c r="C5346" s="15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9" t="inlineStr">
        <is>
          <t>05/12/2024</t>
        </is>
      </c>
      <c r="B5347" s="8" t="n">
        <v>162.4788660027</v>
      </c>
      <c r="C5347" s="15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9" t="inlineStr">
        <is>
          <t>06/12/2024</t>
        </is>
      </c>
      <c r="B5348" s="8" t="n">
        <v>161.7069949053</v>
      </c>
      <c r="C5348" s="15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9" t="inlineStr">
        <is>
          <t>09/12/2024</t>
        </is>
      </c>
      <c r="B5349" s="8" t="n">
        <v>161.400225623</v>
      </c>
      <c r="C5349" s="15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9" t="inlineStr">
        <is>
          <t>10/12/2024</t>
        </is>
      </c>
      <c r="B5350" s="8" t="n">
        <v>159.3419026966</v>
      </c>
      <c r="C5350" s="15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9" t="inlineStr">
        <is>
          <t>11/12/2024</t>
        </is>
      </c>
      <c r="B5351" s="8" t="n">
        <v>158.1247213507</v>
      </c>
      <c r="C5351" s="15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9" t="inlineStr">
        <is>
          <t>12/12/2024</t>
        </is>
      </c>
      <c r="B5352" s="8" t="n">
        <v>159.6486719789</v>
      </c>
      <c r="C5352" s="15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9" t="inlineStr">
        <is>
          <t>13/12/2024</t>
        </is>
      </c>
      <c r="B5353" s="8" t="n">
        <v>159.6090888457</v>
      </c>
      <c r="C5353" s="15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9" t="inlineStr">
        <is>
          <t>16/12/2024</t>
        </is>
      </c>
      <c r="B5354" s="8" t="n">
        <v>159.0945081141</v>
      </c>
      <c r="C5354" s="15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9" t="inlineStr">
        <is>
          <t>17/12/2024</t>
        </is>
      </c>
      <c r="B5355" s="8" t="n">
        <v>158.7580514819</v>
      </c>
      <c r="C5355" s="15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9" t="inlineStr">
        <is>
          <t>18/12/2024</t>
        </is>
      </c>
      <c r="B5356" s="8" t="n">
        <v>159.4705478795</v>
      </c>
      <c r="C5356" s="15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9" t="inlineStr">
        <is>
          <t>19/12/2024</t>
        </is>
      </c>
      <c r="B5357" s="8" t="n">
        <v>159.3122153467</v>
      </c>
      <c r="C5357" s="15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9" t="inlineStr">
        <is>
          <t>20/12/2024</t>
        </is>
      </c>
      <c r="B5358" s="8" t="n">
        <v>159.3122153467</v>
      </c>
      <c r="C5358" s="15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9" t="inlineStr">
        <is>
          <t>23/12/2024</t>
        </is>
      </c>
      <c r="B5359" s="8" t="n">
        <v>158.9163840147</v>
      </c>
      <c r="C5359" s="15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9" t="inlineStr">
        <is>
          <t>26/12/2024</t>
        </is>
      </c>
      <c r="B5360" s="8" t="n">
        <v>157.9070141181</v>
      </c>
      <c r="C5360" s="15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9" t="inlineStr">
        <is>
          <t>27/12/2024</t>
        </is>
      </c>
      <c r="B5361" s="8" t="n">
        <v>159.0945081141</v>
      </c>
      <c r="C5361" s="15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9" t="inlineStr">
        <is>
          <t>30/12/2024</t>
        </is>
      </c>
      <c r="B5362" s="8" t="n">
        <v>159.5892972791</v>
      </c>
      <c r="C5362" s="15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9" t="inlineStr">
        <is>
          <t>02/01/2025</t>
        </is>
      </c>
      <c r="B5363" s="8" t="n">
        <v>157.8667106532</v>
      </c>
      <c r="C5363" s="15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9" t="inlineStr">
        <is>
          <t>03/01/2025</t>
        </is>
      </c>
      <c r="B5364" s="8" t="n">
        <v>157.9752711569</v>
      </c>
      <c r="C5364" s="15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9" t="inlineStr">
        <is>
          <t>06/01/2025</t>
        </is>
      </c>
      <c r="B5365" s="8" t="n">
        <v>158.8634934599</v>
      </c>
      <c r="C5365" s="15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9" t="inlineStr">
        <is>
          <t>07/01/2025</t>
        </is>
      </c>
      <c r="B5366" s="8" t="n">
        <v>156.9094043933</v>
      </c>
      <c r="C5366" s="15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9" t="inlineStr">
        <is>
          <t>08/01/2025</t>
        </is>
      </c>
      <c r="B5367" s="8" t="n">
        <v>156.4554241051</v>
      </c>
      <c r="C5367" s="15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9" t="inlineStr">
        <is>
          <t>09/01/2025</t>
        </is>
      </c>
      <c r="B5368" s="8" t="n">
        <v>156.1100043206</v>
      </c>
      <c r="C5368" s="15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9" t="inlineStr">
        <is>
          <t>10/01/2025</t>
        </is>
      </c>
      <c r="B5369" s="8" t="n">
        <v>157.6890661926</v>
      </c>
      <c r="C5369" s="15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9" t="inlineStr">
        <is>
          <t>13/01/2025</t>
        </is>
      </c>
      <c r="B5370" s="8" t="n">
        <v>156.2876487812</v>
      </c>
      <c r="C5370" s="15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9" t="inlineStr">
        <is>
          <t>14/01/2025</t>
        </is>
      </c>
      <c r="B5371" s="8" t="n">
        <v>154.8961005065</v>
      </c>
      <c r="C5371" s="15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9" t="inlineStr">
        <is>
          <t>15/01/2025</t>
        </is>
      </c>
      <c r="B5372" s="8" t="n">
        <v>151.3629495679</v>
      </c>
      <c r="C5372" s="15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9" t="inlineStr">
        <is>
          <t>16/01/2025</t>
        </is>
      </c>
      <c r="B5373" s="8" t="n">
        <v>151.4024261147</v>
      </c>
      <c r="C5373" s="15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9" t="inlineStr">
        <is>
          <t>17/01/2025</t>
        </is>
      </c>
      <c r="B5374" s="8" t="n">
        <v>150.800408776</v>
      </c>
      <c r="C5374" s="15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9" t="inlineStr">
        <is>
          <t>20/01/2025</t>
        </is>
      </c>
      <c r="B5375" s="8" t="n">
        <v>152.7051521591</v>
      </c>
      <c r="C5375" s="15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9" t="inlineStr">
        <is>
          <t>21/01/2025</t>
        </is>
      </c>
      <c r="B5376" s="8" t="n">
        <v>151.5603323019</v>
      </c>
      <c r="C5376" s="15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9" t="inlineStr">
        <is>
          <t>22/01/2025</t>
        </is>
      </c>
      <c r="B5377" s="8" t="n">
        <v>151.195174244</v>
      </c>
      <c r="C5377" s="15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9" t="inlineStr">
        <is>
          <t>23/01/2025</t>
        </is>
      </c>
      <c r="B5378" s="8" t="n">
        <v>152.7643669793</v>
      </c>
      <c r="C5378" s="15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9" t="inlineStr">
        <is>
          <t>24/01/2025</t>
        </is>
      </c>
      <c r="B5379" s="8" t="n">
        <v>151.589939712</v>
      </c>
      <c r="C5379" s="15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9" t="inlineStr">
        <is>
          <t>27/01/2025</t>
        </is>
      </c>
      <c r="B5380" s="8" t="n">
        <v>148.7476283424</v>
      </c>
      <c r="C5380" s="15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9" t="inlineStr">
        <is>
          <t>28/01/2025</t>
        </is>
      </c>
      <c r="B5381" s="8" t="n">
        <v>147.6718924421</v>
      </c>
      <c r="C5381" s="15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9" t="inlineStr">
        <is>
          <t>29/01/2025</t>
        </is>
      </c>
      <c r="B5382" s="8" t="n">
        <v>149.8036259693</v>
      </c>
      <c r="C5382" s="15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9" t="inlineStr">
        <is>
          <t>30/01/2025</t>
        </is>
      </c>
      <c r="B5383" s="8" t="n">
        <v>148.2443023707</v>
      </c>
      <c r="C5383" s="15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9" t="inlineStr">
        <is>
          <t>31/01/2025</t>
        </is>
      </c>
      <c r="B5384" s="8" t="n">
        <v>151.2445199275</v>
      </c>
      <c r="C5384" s="15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9" t="inlineStr">
        <is>
          <t>03/02/2025</t>
        </is>
      </c>
      <c r="B5385" s="8" t="n">
        <v>146.5331446055</v>
      </c>
      <c r="C5385" s="15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9" t="inlineStr">
        <is>
          <t>04/02/2025</t>
        </is>
      </c>
      <c r="B5386" s="8" t="n">
        <v>144.8046296708</v>
      </c>
      <c r="C5386" s="15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9" t="inlineStr">
        <is>
          <t>05/02/2025</t>
        </is>
      </c>
      <c r="B5387" s="8" t="n">
        <v>145.0585358194</v>
      </c>
      <c r="C5387" s="15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9" t="inlineStr">
        <is>
          <t>06/02/2025</t>
        </is>
      </c>
      <c r="B5388" s="8" t="n">
        <v>145.7323636753</v>
      </c>
      <c r="C5388" s="15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9" t="inlineStr">
        <is>
          <t>07/02/2025</t>
        </is>
      </c>
      <c r="B5389" s="8" t="n">
        <v>143.2714271581</v>
      </c>
      <c r="C5389" s="15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9" t="inlineStr">
        <is>
          <t>10/02/2025</t>
        </is>
      </c>
      <c r="B5390" s="8" t="n">
        <v>143.847598803</v>
      </c>
      <c r="C5390" s="15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9" t="inlineStr">
        <is>
          <t>11/02/2025</t>
        </is>
      </c>
      <c r="B5391" s="8" t="n">
        <v>141.4940841179</v>
      </c>
      <c r="C5391" s="15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9" t="inlineStr">
        <is>
          <t>12/02/2025</t>
        </is>
      </c>
      <c r="B5392" s="8" t="n">
        <v>140.4882251446</v>
      </c>
      <c r="C5392" s="15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9" t="inlineStr">
        <is>
          <t>13/02/2025</t>
        </is>
      </c>
      <c r="B5393" s="8" t="n">
        <v>139.5702567612</v>
      </c>
      <c r="C5393" s="15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9" t="inlineStr">
        <is>
          <t>14/02/2025</t>
        </is>
      </c>
      <c r="B5394" s="8" t="n">
        <v>139.2089287805</v>
      </c>
      <c r="C5394" s="15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9" t="inlineStr">
        <is>
          <t>17/02/2025</t>
        </is>
      </c>
      <c r="B5395" s="8" t="n">
        <v>138.9940851163</v>
      </c>
      <c r="C5395" s="15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9" t="inlineStr">
        <is>
          <t>18/02/2025</t>
        </is>
      </c>
      <c r="B5396" s="8" t="n">
        <v>138.7597102099</v>
      </c>
      <c r="C5396" s="15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9" t="inlineStr">
        <is>
          <t>19/02/2025</t>
        </is>
      </c>
      <c r="B5397" s="8" t="n">
        <v>135.9765081964</v>
      </c>
      <c r="C5397" s="15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9" t="inlineStr">
        <is>
          <t>20/02/2025</t>
        </is>
      </c>
      <c r="B5398" s="8" t="n">
        <v>138.7890070732</v>
      </c>
      <c r="C5398" s="15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9" t="inlineStr">
        <is>
          <t>21/02/2025</t>
        </is>
      </c>
      <c r="B5399" s="8" t="n">
        <v>138.3397885026</v>
      </c>
      <c r="C5399" s="15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9" t="inlineStr">
        <is>
          <t>24/02/2025</t>
        </is>
      </c>
      <c r="B5400" s="8" t="n">
        <v>138.7401789677</v>
      </c>
      <c r="C5400" s="15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9" t="inlineStr">
        <is>
          <t>25/02/2025</t>
        </is>
      </c>
      <c r="B5401" s="8" t="n">
        <v>136.6601016734</v>
      </c>
      <c r="C5401" s="15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9" t="inlineStr">
        <is>
          <t>26/02/2025</t>
        </is>
      </c>
      <c r="B5402" s="8" t="n">
        <v>138.4960384402</v>
      </c>
      <c r="C5402" s="15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9" t="inlineStr">
        <is>
          <t>27/02/2025</t>
        </is>
      </c>
      <c r="B5403" s="8" t="n">
        <v>137.0507265174</v>
      </c>
      <c r="C5403" s="15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9" t="inlineStr">
        <is>
          <t>28/02/2025</t>
        </is>
      </c>
      <c r="B5404" s="8" t="n">
        <v>135.6151802157</v>
      </c>
      <c r="C5404" s="15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9" t="inlineStr">
        <is>
          <t>05/03/2025</t>
        </is>
      </c>
      <c r="B5405" s="8" t="n">
        <v>138.3903943125</v>
      </c>
      <c r="C5405" s="15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9" t="inlineStr">
        <is>
          <t>06/03/2025</t>
        </is>
      </c>
      <c r="B5406" s="8" t="n">
        <v>137.1361303125</v>
      </c>
      <c r="C5406" s="15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9" t="inlineStr">
        <is>
          <t>07/03/2025</t>
        </is>
      </c>
      <c r="B5407" s="8" t="n">
        <v>140.2129966875</v>
      </c>
      <c r="C5407" s="15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9" t="inlineStr">
        <is>
          <t>10/03/2025</t>
        </is>
      </c>
      <c r="B5408" s="8" t="n">
        <v>137.5770825</v>
      </c>
      <c r="C5408" s="15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9" t="inlineStr">
        <is>
          <t>11/03/2025</t>
        </is>
      </c>
      <c r="B5409" s="8" t="n">
        <v>137.45949525</v>
      </c>
      <c r="C5409" s="15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9" t="inlineStr">
        <is>
          <t>12/03/2025</t>
        </is>
      </c>
      <c r="B5410" s="8" t="n">
        <v>137.126331375</v>
      </c>
      <c r="C5410" s="15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9" t="inlineStr">
        <is>
          <t>13/03/2025</t>
        </is>
      </c>
      <c r="B5411" s="8" t="n">
        <v>139.88963175</v>
      </c>
      <c r="C5411" s="15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9" t="inlineStr">
        <is>
          <t>14/03/2025</t>
        </is>
      </c>
      <c r="B5412" s="8" t="n">
        <v>136.695178125</v>
      </c>
      <c r="C5412" s="15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9" t="inlineStr">
        <is>
          <t>17/03/2025</t>
        </is>
      </c>
      <c r="B5413" s="8" t="n">
        <v>137.0577388125</v>
      </c>
      <c r="C5413" s="15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9" t="inlineStr">
        <is>
          <t>18/03/2025</t>
        </is>
      </c>
      <c r="B5414" s="8" t="n">
        <v>135.4703109375</v>
      </c>
      <c r="C5414" s="15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9" t="inlineStr">
        <is>
          <t>19/03/2025</t>
        </is>
      </c>
      <c r="B5415" s="8" t="n">
        <v>137.126331375</v>
      </c>
      <c r="C5415" s="15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9" t="inlineStr">
        <is>
          <t>20/03/2025</t>
        </is>
      </c>
      <c r="B5416" s="8" t="n">
        <v>134.1964490625</v>
      </c>
      <c r="C5416" s="15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9" t="inlineStr">
        <is>
          <t>21/03/2025</t>
        </is>
      </c>
      <c r="B5417" s="8" t="n">
        <v>136.342416375</v>
      </c>
      <c r="C5417" s="15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9" t="inlineStr">
        <is>
          <t>24/03/2025</t>
        </is>
      </c>
      <c r="B5418" s="8" t="n">
        <v>135.2351364375</v>
      </c>
      <c r="C5418" s="15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9" t="inlineStr">
        <is>
          <t>25/03/2025</t>
        </is>
      </c>
      <c r="B5419" s="8" t="n">
        <v>135.1175491875</v>
      </c>
      <c r="C5419" s="15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9" t="inlineStr">
        <is>
          <t>26/03/2025</t>
        </is>
      </c>
      <c r="B5420" s="8" t="n">
        <v>136.8225643125</v>
      </c>
      <c r="C5420" s="15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9" t="inlineStr">
        <is>
          <t>27/03/2025</t>
        </is>
      </c>
      <c r="B5421" s="8" t="n">
        <v>135.18614175</v>
      </c>
      <c r="C5421" s="15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9" t="inlineStr">
        <is>
          <t>28/03/2025</t>
        </is>
      </c>
      <c r="B5422" s="8" t="n">
        <v>136.616786625</v>
      </c>
      <c r="C5422" s="15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9" t="inlineStr">
        <is>
          <t>31/03/2025</t>
        </is>
      </c>
      <c r="B5423" s="8" t="n">
        <v>136.91075475</v>
      </c>
      <c r="C5423" s="15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9" t="inlineStr">
        <is>
          <t>01/04/2025</t>
        </is>
      </c>
      <c r="B5424" s="8" t="n">
        <v>137.8635422589</v>
      </c>
      <c r="C5424" s="15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9" t="inlineStr">
        <is>
          <t>02/04/2025</t>
        </is>
      </c>
      <c r="B5425" s="8" t="n">
        <v>138.4989482184</v>
      </c>
      <c r="C5425" s="15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9" t="inlineStr">
        <is>
          <t>03/04/2025</t>
        </is>
      </c>
      <c r="B5426" s="8" t="n">
        <v>135.87912057</v>
      </c>
      <c r="C5426" s="15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9" t="inlineStr">
        <is>
          <t>04/04/2025</t>
        </is>
      </c>
      <c r="B5427" s="8" t="n">
        <v>136.7002605792</v>
      </c>
      <c r="C5427" s="15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9" t="inlineStr">
        <is>
          <t>07/04/2025</t>
        </is>
      </c>
      <c r="B5428" s="8" t="n">
        <v>137.2672382046</v>
      </c>
      <c r="C5428" s="15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9" t="inlineStr">
        <is>
          <t>08/04/2025</t>
        </is>
      </c>
      <c r="B5429" s="8" t="n">
        <v>138.0590517849</v>
      </c>
      <c r="C5429" s="15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9" t="inlineStr">
        <is>
          <t>09/04/2025</t>
        </is>
      </c>
      <c r="B5430" s="8" t="n">
        <v>138.1177046427</v>
      </c>
      <c r="C5430" s="15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9" t="inlineStr">
        <is>
          <t>10/04/2025</t>
        </is>
      </c>
      <c r="B5431" s="8" t="n">
        <v>139.0854767964</v>
      </c>
      <c r="C5431" s="15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9" t="inlineStr">
        <is>
          <t>11/04/2025</t>
        </is>
      </c>
      <c r="B5432" s="8" t="n">
        <v>138.4109689317</v>
      </c>
      <c r="C5432" s="15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9" t="inlineStr">
        <is>
          <t>14/04/2025</t>
        </is>
      </c>
      <c r="B5433" s="8" t="n">
        <v>139.1539051305</v>
      </c>
      <c r="C5433" s="15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9" t="inlineStr">
        <is>
          <t>15/04/2025</t>
        </is>
      </c>
      <c r="B5434" s="8" t="n">
        <v>139.4764958484</v>
      </c>
      <c r="C5434" s="15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9" t="inlineStr">
        <is>
          <t>16/04/2025</t>
        </is>
      </c>
      <c r="B5435" s="8" t="n">
        <v>139.2712108461</v>
      </c>
      <c r="C5435" s="15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9" t="inlineStr">
        <is>
          <t>17/04/2025</t>
        </is>
      </c>
      <c r="B5436" s="8" t="n">
        <v>141.0698984853</v>
      </c>
      <c r="C5436" s="15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9" t="inlineStr">
        <is>
          <t>22/04/2025</t>
        </is>
      </c>
      <c r="B5437" s="8" t="n">
        <v>141.6173251581</v>
      </c>
      <c r="C5437" s="15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9" t="inlineStr">
        <is>
          <t>23/04/2025</t>
        </is>
      </c>
      <c r="B5438" s="8" t="n">
        <v>141.3924892032</v>
      </c>
      <c r="C5438" s="15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9" t="inlineStr">
        <is>
          <t>24/04/2025</t>
        </is>
      </c>
      <c r="B5439" s="8" t="n">
        <v>140.3953906206</v>
      </c>
      <c r="C5439" s="15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9" t="inlineStr">
        <is>
          <t>25/04/2025</t>
        </is>
      </c>
      <c r="B5440" s="8" t="n">
        <v>140.5811246703</v>
      </c>
      <c r="C5440" s="15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9" t="inlineStr">
        <is>
          <t>28/04/2025</t>
        </is>
      </c>
      <c r="B5441" s="8" t="n">
        <v>139.8284129952</v>
      </c>
      <c r="C5441" s="15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9" t="inlineStr">
        <is>
          <t>29/04/2025</t>
        </is>
      </c>
      <c r="B5442" s="8" t="n">
        <v>139.6329034692</v>
      </c>
      <c r="C5442" s="15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9" t="inlineStr">
        <is>
          <t>30/04/2025</t>
        </is>
      </c>
      <c r="B5443" s="8" t="n">
        <v>140.6886549096</v>
      </c>
      <c r="C5443" s="15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9" t="inlineStr">
        <is>
          <t>02/05/2025</t>
        </is>
      </c>
      <c r="B5444" s="8" t="n">
        <v>139.141640368</v>
      </c>
      <c r="C5444" s="15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9" t="inlineStr">
        <is>
          <t>05/05/2025</t>
        </is>
      </c>
      <c r="B5445" s="8" t="n">
        <v>139.318465384</v>
      </c>
      <c r="C5445" s="15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9" t="inlineStr">
        <is>
          <t>06/05/2025</t>
        </is>
      </c>
      <c r="B5446" s="8" t="n">
        <v>139.564055684</v>
      </c>
      <c r="C5446" s="15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9" t="inlineStr">
        <is>
          <t>07/05/2025</t>
        </is>
      </c>
      <c r="B5447" s="8" t="n">
        <v>139.2497001</v>
      </c>
      <c r="C5447" s="15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9" t="inlineStr">
        <is>
          <t>08/05/2025</t>
        </is>
      </c>
      <c r="B5448" s="8" t="n">
        <v>138.866579232</v>
      </c>
      <c r="C5448" s="15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9" t="inlineStr">
        <is>
          <t>09/05/2025</t>
        </is>
      </c>
      <c r="B5449" s="8" t="n">
        <v>138.797813948</v>
      </c>
      <c r="C5449" s="15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9" t="inlineStr">
        <is>
          <t>12/05/2025</t>
        </is>
      </c>
      <c r="B5450" s="8" t="n">
        <v>138.66028338</v>
      </c>
      <c r="C5450" s="15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9" t="inlineStr">
        <is>
          <t>13/05/2025</t>
        </is>
      </c>
      <c r="B5451" s="8" t="n">
        <v>136.99026934</v>
      </c>
      <c r="C5451" s="15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9" t="inlineStr">
        <is>
          <t>14/05/2025</t>
        </is>
      </c>
      <c r="B5452" s="8" t="n">
        <v>136.263322052</v>
      </c>
      <c r="C5452" s="15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9" t="inlineStr">
        <is>
          <t>15/05/2025</t>
        </is>
      </c>
      <c r="B5453" s="8" t="n">
        <v>135.585492824</v>
      </c>
      <c r="C5453" s="15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9" t="inlineStr">
        <is>
          <t>16/05/2025</t>
        </is>
      </c>
      <c r="B5454" s="8" t="n">
        <v>134.524542728</v>
      </c>
      <c r="C5454" s="15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9" t="inlineStr">
        <is>
          <t>19/05/2025</t>
        </is>
      </c>
      <c r="B5455" s="8" t="n">
        <v>132.559820328</v>
      </c>
      <c r="C5455" s="15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9" t="inlineStr">
        <is>
          <t>20/05/2025</t>
        </is>
      </c>
      <c r="B5456" s="8" t="n">
        <v>130.919277124</v>
      </c>
      <c r="C5456" s="15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9" t="inlineStr">
        <is>
          <t>21/05/2025</t>
        </is>
      </c>
      <c r="B5457" s="8" t="n">
        <v>132.638409224</v>
      </c>
      <c r="C5457" s="15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9" t="inlineStr">
        <is>
          <t>22/05/2025</t>
        </is>
      </c>
      <c r="B5458" s="8" t="n">
        <v>130.840688228</v>
      </c>
      <c r="C5458" s="15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9" t="inlineStr">
        <is>
          <t>23/05/2025</t>
        </is>
      </c>
      <c r="B5459" s="8" t="n">
        <v>131.93110916</v>
      </c>
      <c r="C5459" s="15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9" t="inlineStr">
        <is>
          <t>26/05/2025</t>
        </is>
      </c>
      <c r="B5460" s="8" t="n">
        <v>132.32405364</v>
      </c>
      <c r="C5460" s="15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9" t="inlineStr">
        <is>
          <t>27/05/2025</t>
        </is>
      </c>
      <c r="B5461" s="8" t="n">
        <v>130.978218796</v>
      </c>
      <c r="C5461" s="15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9" t="inlineStr">
        <is>
          <t>28/05/2025</t>
        </is>
      </c>
      <c r="B5462" s="8" t="n">
        <v>132.255288356</v>
      </c>
      <c r="C5462" s="15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9" t="inlineStr">
        <is>
          <t>29/05/2025</t>
        </is>
      </c>
      <c r="B5463" s="8" t="n">
        <v>134.013714904</v>
      </c>
      <c r="C5463" s="15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9" t="inlineStr">
        <is>
          <t>30/05/2025</t>
        </is>
      </c>
      <c r="B5464" s="8" t="n">
        <v>131.233632708</v>
      </c>
      <c r="C5464" s="15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9" t="inlineStr">
        <is>
          <t>02/06/2025</t>
        </is>
      </c>
      <c r="B5465" s="8" t="n">
        <v>133.8820552926</v>
      </c>
      <c r="C5465" s="15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9" t="inlineStr">
        <is>
          <t>03/06/2025</t>
        </is>
      </c>
      <c r="B5466" s="8" t="n">
        <v>134.571396522</v>
      </c>
      <c r="C5466" s="15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9" t="inlineStr">
        <is>
          <t>04/06/2025</t>
        </is>
      </c>
      <c r="B5467" s="8" t="n">
        <v>134.0419025342</v>
      </c>
      <c r="C5467" s="15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9" t="inlineStr">
        <is>
          <t>05/06/2025</t>
        </is>
      </c>
      <c r="B5468" s="8" t="n">
        <v>131.274547164</v>
      </c>
      <c r="C5468" s="15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9" t="inlineStr">
        <is>
          <t>06/06/2025</t>
        </is>
      </c>
      <c r="B5469" s="8" t="n">
        <v>131.674165268</v>
      </c>
      <c r="C5469" s="15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9" t="inlineStr">
        <is>
          <t>09/06/2025</t>
        </is>
      </c>
      <c r="B5470" s="8" t="n">
        <v>132.3535160448</v>
      </c>
      <c r="C5470" s="15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9" t="inlineStr">
        <is>
          <t>10/06/2025</t>
        </is>
      </c>
      <c r="B5471" s="8" t="n">
        <v>129.9558074208</v>
      </c>
      <c r="C5471" s="15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9" t="inlineStr">
        <is>
          <t>11/06/2025</t>
        </is>
      </c>
      <c r="B5472" s="8" t="n">
        <v>126.9386907356</v>
      </c>
      <c r="C5472" s="15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9" t="inlineStr">
        <is>
          <t>12/06/2025</t>
        </is>
      </c>
      <c r="B5473" s="8" t="n">
        <v>126.4391681056</v>
      </c>
      <c r="C5473" s="15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9" t="inlineStr">
        <is>
          <t>13/06/2025</t>
        </is>
      </c>
      <c r="B5474" s="8" t="n">
        <v>125.4101514878</v>
      </c>
      <c r="C5474" s="15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9" t="inlineStr">
        <is>
          <t>16/06/2025</t>
        </is>
      </c>
      <c r="B5475" s="8" t="n">
        <v>128.0975832372</v>
      </c>
      <c r="C5475" s="15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9" t="inlineStr">
        <is>
          <t>17/06/2025</t>
        </is>
      </c>
      <c r="B5476" s="8" t="n">
        <v>126.7688530414</v>
      </c>
      <c r="C5476" s="15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9" t="inlineStr">
        <is>
          <t>18/06/2025</t>
        </is>
      </c>
      <c r="B5477" s="8" t="n">
        <v>124.8706670474</v>
      </c>
      <c r="C5477" s="15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9" t="inlineStr">
        <is>
          <t>20/06/2025</t>
        </is>
      </c>
      <c r="B5478" s="8" t="n">
        <v>122.9025478852</v>
      </c>
      <c r="C5478" s="15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9" t="inlineStr">
        <is>
          <t>23/06/2025</t>
        </is>
      </c>
      <c r="B5479" s="8" t="n">
        <v>124.0914117446</v>
      </c>
      <c r="C5479" s="15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9" t="inlineStr">
        <is>
          <t>24/06/2025</t>
        </is>
      </c>
      <c r="B5480" s="8" t="n">
        <v>120.6147342398</v>
      </c>
      <c r="C5480" s="15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9" t="inlineStr">
        <is>
          <t>25/06/2025</t>
        </is>
      </c>
      <c r="B5481" s="8" t="n">
        <v>119.7255839584</v>
      </c>
      <c r="C5481" s="15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9" t="inlineStr">
        <is>
          <t>26/06/2025</t>
        </is>
      </c>
      <c r="B5482" s="8" t="n">
        <v>118.6466150776</v>
      </c>
      <c r="C5482" s="15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9" t="inlineStr">
        <is>
          <t>27/06/2025</t>
        </is>
      </c>
      <c r="B5483" s="8" t="n">
        <v>117.5776366494</v>
      </c>
      <c r="C5483" s="15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9" t="inlineStr">
        <is>
          <t>30/06/2025</t>
        </is>
      </c>
      <c r="B5484" s="8" t="n">
        <v>116.4986677686</v>
      </c>
      <c r="C5484" s="15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9" t="inlineStr">
        <is>
          <t>01/07/2025</t>
        </is>
      </c>
      <c r="B5485" s="8" t="n">
        <v>117.251648496</v>
      </c>
      <c r="C5485" s="15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9" t="inlineStr">
        <is>
          <t>02/07/2025</t>
        </is>
      </c>
      <c r="B5486" s="8" t="n">
        <v>116.73818172</v>
      </c>
      <c r="C5486" s="15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9" t="inlineStr">
        <is>
          <t>03/07/2025</t>
        </is>
      </c>
      <c r="B5487" s="8" t="n">
        <v>117.362396232</v>
      </c>
      <c r="C5487" s="15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9" t="inlineStr">
        <is>
          <t>04/07/2025</t>
        </is>
      </c>
      <c r="B5488" s="8" t="n">
        <v>117.523483848</v>
      </c>
      <c r="C5488" s="15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9" t="inlineStr">
        <is>
          <t>07/07/2025</t>
        </is>
      </c>
      <c r="B5489" s="8" t="n">
        <v>118.238310144</v>
      </c>
      <c r="C5489" s="15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9" t="inlineStr">
        <is>
          <t>08/07/2025</t>
        </is>
      </c>
      <c r="B5490" s="8" t="n">
        <v>116.879133384</v>
      </c>
      <c r="C5490" s="15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9" t="inlineStr">
        <is>
          <t>09/07/2025</t>
        </is>
      </c>
      <c r="B5491" s="8" t="n">
        <v>116.879133384</v>
      </c>
      <c r="C5491" s="15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9" t="inlineStr">
        <is>
          <t>10/07/2025</t>
        </is>
      </c>
      <c r="B5492" s="8" t="n">
        <v>116.68784184</v>
      </c>
      <c r="C5492" s="15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9" t="inlineStr">
        <is>
          <t>11/07/2025</t>
        </is>
      </c>
      <c r="B5493" s="8" t="n">
        <v>116.879133384</v>
      </c>
      <c r="C5493" s="15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9" t="inlineStr">
        <is>
          <t>14/07/2025</t>
        </is>
      </c>
      <c r="B5494" s="8" t="n">
        <v>117.724843368</v>
      </c>
      <c r="C5494" s="15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9" t="inlineStr">
        <is>
          <t>15/07/2025</t>
        </is>
      </c>
      <c r="B5495" s="8" t="n">
        <v>118.117494432</v>
      </c>
      <c r="C5495" s="15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9" t="inlineStr">
        <is>
          <t>16/07/2025</t>
        </is>
      </c>
      <c r="B5496" s="8" t="n">
        <v>119.084020128</v>
      </c>
      <c r="C5496" s="15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9" t="inlineStr">
        <is>
          <t>17/07/2025</t>
        </is>
      </c>
      <c r="B5497" s="8" t="n">
        <v>120.926459736</v>
      </c>
      <c r="C5497" s="15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9" t="inlineStr">
        <is>
          <t>18/07/2025</t>
        </is>
      </c>
      <c r="B5498" s="8" t="n">
        <v>122.044005072</v>
      </c>
      <c r="C5498" s="15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9" t="inlineStr">
        <is>
          <t>21/07/2025</t>
        </is>
      </c>
      <c r="B5499" s="8" t="n">
        <v>121.137887232</v>
      </c>
      <c r="C5499" s="15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9" t="inlineStr">
        <is>
          <t>22/07/2025</t>
        </is>
      </c>
      <c r="B5500" s="8" t="n">
        <v>121.007003544</v>
      </c>
      <c r="C5500" s="15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9" t="inlineStr">
        <is>
          <t>23/07/2025</t>
        </is>
      </c>
      <c r="B5501" s="8" t="n">
        <v>120.644556408</v>
      </c>
      <c r="C5501" s="15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9" t="inlineStr">
        <is>
          <t>24/07/2025</t>
        </is>
      </c>
      <c r="B5502" s="8" t="n">
        <v>120.91639176</v>
      </c>
      <c r="C5502" s="15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9" t="inlineStr">
        <is>
          <t>25/07/2025</t>
        </is>
      </c>
      <c r="B5503" s="8" t="n">
        <v>121.913121384</v>
      </c>
      <c r="C5503" s="15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9" t="inlineStr">
        <is>
          <t>28/07/2025</t>
        </is>
      </c>
      <c r="B5504" s="8" t="n">
        <v>121.762101744</v>
      </c>
      <c r="C5504" s="15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9" t="inlineStr">
        <is>
          <t>29/07/2025</t>
        </is>
      </c>
      <c r="B5505" s="8" t="n">
        <v>121.439926512</v>
      </c>
      <c r="C5505" s="15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9" t="inlineStr">
        <is>
          <t>30/07/2025</t>
        </is>
      </c>
      <c r="B5506" s="8" t="n">
        <v>121.41979056</v>
      </c>
      <c r="C5506" s="15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9" t="inlineStr">
        <is>
          <t>31/07/2025</t>
        </is>
      </c>
      <c r="B5507" s="8" t="n">
        <v>121.26877092</v>
      </c>
      <c r="C5507" s="15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9" t="inlineStr">
        <is>
          <t>01/08/2025</t>
        </is>
      </c>
      <c r="B5508" s="8" t="n">
        <v>119.7202327542</v>
      </c>
      <c r="C5508" s="15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9" t="inlineStr">
        <is>
          <t>04/08/2025</t>
        </is>
      </c>
      <c r="B5509" s="8" t="n">
        <v>119.6199141412</v>
      </c>
      <c r="C5509" s="15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9" t="inlineStr">
        <is>
          <t>05/08/2025</t>
        </is>
      </c>
      <c r="B5510" s="8" t="n">
        <v>120.9240561102</v>
      </c>
      <c r="C5510" s="15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9" t="inlineStr">
        <is>
          <t>06/08/2025</t>
        </is>
      </c>
      <c r="B5511" s="8" t="n">
        <v>120.7434826068</v>
      </c>
      <c r="C5511" s="15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9" t="inlineStr">
        <is>
          <t>07/08/2025</t>
        </is>
      </c>
      <c r="B5512" s="8" t="n">
        <v>120.4224630452</v>
      </c>
      <c r="C5512" s="15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9" t="inlineStr">
        <is>
          <t>08/08/2025</t>
        </is>
      </c>
      <c r="B5513" s="8" t="n">
        <v>120.2117939579</v>
      </c>
      <c r="C5513" s="15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9" t="inlineStr">
        <is>
          <t>11/08/2025</t>
        </is>
      </c>
      <c r="B5514" s="8" t="n">
        <v>119.7102008929</v>
      </c>
      <c r="C5514" s="15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9" t="inlineStr">
        <is>
          <t>12/08/2025</t>
        </is>
      </c>
      <c r="B5515" s="8" t="n">
        <v>120.3020807096</v>
      </c>
      <c r="C5515" s="15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9" t="inlineStr">
        <is>
          <t>13/08/2025</t>
        </is>
      </c>
      <c r="B5516" s="8" t="n">
        <v>120.2318576805</v>
      </c>
      <c r="C5516" s="15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9" t="inlineStr">
        <is>
          <t>14/08/2025</t>
        </is>
      </c>
      <c r="B5517" s="8" t="n">
        <v>120.0312204545</v>
      </c>
      <c r="C5517" s="15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9" t="inlineStr">
        <is>
          <t>15/08/2025</t>
        </is>
      </c>
      <c r="B5518" s="8" t="n">
        <v>121.5660952334</v>
      </c>
      <c r="C5518" s="15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9" t="inlineStr">
        <is>
          <t>18/08/2025</t>
        </is>
      </c>
      <c r="B5519" s="8" t="n">
        <v>121.4958722043</v>
      </c>
      <c r="C5519" s="15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9" t="inlineStr">
        <is>
          <t>19/08/2025</t>
        </is>
      </c>
      <c r="B5520" s="8" t="n">
        <v>120.8738968037</v>
      </c>
      <c r="C5520" s="15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9" t="inlineStr">
        <is>
          <t>20/08/2025</t>
        </is>
      </c>
      <c r="B5521" s="8" t="n">
        <v>119.7202327542</v>
      </c>
      <c r="C5521" s="15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9" t="inlineStr">
        <is>
          <t>21/08/2025</t>
        </is>
      </c>
      <c r="B5522" s="8" t="n">
        <v>120.5930046873</v>
      </c>
      <c r="C5522" s="15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9" t="inlineStr">
        <is>
          <t>22/08/2025</t>
        </is>
      </c>
      <c r="B5523" s="8" t="n">
        <v>120.8036737746</v>
      </c>
      <c r="C5523" s="15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9" t="inlineStr">
        <is>
          <t>25/08/2025</t>
        </is>
      </c>
      <c r="B5524" s="8" t="n">
        <v>119.9208699802</v>
      </c>
      <c r="C5524" s="15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9" t="inlineStr">
        <is>
          <t>26/08/2025</t>
        </is>
      </c>
      <c r="B5525" s="8" t="n">
        <v>119.4192769152</v>
      </c>
      <c r="C5525" s="15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9" t="inlineStr">
        <is>
          <t>27/08/2025</t>
        </is>
      </c>
      <c r="B5526" s="8" t="n">
        <v>118.2054216979</v>
      </c>
      <c r="C5526" s="15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9" t="inlineStr">
        <is>
          <t>28/08/2025</t>
        </is>
      </c>
      <c r="B5527" s="8" t="n">
        <v>118.977875018</v>
      </c>
      <c r="C5527" s="15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9" t="inlineStr">
        <is>
          <t>29/08/2025</t>
        </is>
      </c>
      <c r="B5528" s="8" t="n">
        <v>118.8173652372</v>
      </c>
      <c r="C5528" s="15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9" t="inlineStr">
        <is>
          <t>01/09/2025</t>
        </is>
      </c>
      <c r="B5529" s="8" t="n">
        <v>118.7200155708</v>
      </c>
      <c r="C5529" s="15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9" t="inlineStr">
        <is>
          <t>02/09/2025</t>
        </is>
      </c>
      <c r="B5530" s="8" t="n">
        <v>118.8698641263</v>
      </c>
      <c r="C5530" s="15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9" t="inlineStr">
        <is>
          <t>03/09/2025</t>
        </is>
      </c>
      <c r="B5531" s="8" t="n">
        <v>117.6910554897</v>
      </c>
      <c r="C5531" s="15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9" t="inlineStr">
        <is>
          <t>04/09/2025</t>
        </is>
      </c>
      <c r="B5532" s="8" t="n">
        <v>117.2115401121</v>
      </c>
      <c r="C5532" s="15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9" t="inlineStr">
        <is>
          <t>05/09/2025</t>
        </is>
      </c>
      <c r="B5533" s="8" t="n">
        <v>119.5291977705</v>
      </c>
      <c r="C5533" s="15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9" t="inlineStr">
        <is>
          <t>08/09/2025</t>
        </is>
      </c>
      <c r="B5534" s="8" t="n">
        <v>118.7200155708</v>
      </c>
      <c r="C5534" s="15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9" t="inlineStr">
        <is>
          <t>09/09/2025</t>
        </is>
      </c>
      <c r="B5535" s="8" t="n">
        <v>119.3993290224</v>
      </c>
      <c r="C5535" s="15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9" t="inlineStr">
        <is>
          <t>10/09/2025</t>
        </is>
      </c>
      <c r="B5536" s="8" t="n">
        <v>119.2694602743</v>
      </c>
      <c r="C5536" s="15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9" t="inlineStr">
        <is>
          <t>11/09/2025</t>
        </is>
      </c>
      <c r="B5537" s="8" t="n">
        <v>118.8398944152</v>
      </c>
      <c r="C5537" s="15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9" t="inlineStr">
        <is>
          <t>12/09/2025</t>
        </is>
      </c>
      <c r="B5538" s="8" t="n">
        <v>117.1116410751</v>
      </c>
      <c r="C5538" s="15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9" t="inlineStr">
        <is>
          <t>15/09/2025</t>
        </is>
      </c>
      <c r="B5539" s="8" t="n">
        <v>117.6510958749</v>
      </c>
      <c r="C5539" s="15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9" t="inlineStr">
        <is>
          <t>16/09/2025</t>
        </is>
      </c>
      <c r="B5540" s="8" t="n">
        <v>117.8708737563</v>
      </c>
      <c r="C5540" s="15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9" t="inlineStr">
        <is>
          <t>17/09/2025</t>
        </is>
      </c>
      <c r="B5541" s="8" t="n">
        <v>119.2494804669</v>
      </c>
      <c r="C5541" s="15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9" t="inlineStr">
        <is>
          <t>18/09/2025</t>
        </is>
      </c>
      <c r="B5542" s="8" t="n">
        <v>119.2095208521</v>
      </c>
      <c r="C5542" s="15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9" t="inlineStr">
        <is>
          <t>19/09/2025</t>
        </is>
      </c>
      <c r="B5543" s="8" t="n">
        <v>120.3283900665</v>
      </c>
      <c r="C5543" s="15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9" t="inlineStr">
        <is>
          <t>22/09/2025</t>
        </is>
      </c>
      <c r="B5544" s="8" t="n">
        <v>119.579147289</v>
      </c>
      <c r="C5544" s="15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9" t="inlineStr">
        <is>
          <t>23/09/2025</t>
        </is>
      </c>
      <c r="B5545" s="8" t="n">
        <v>119.6690564223</v>
      </c>
      <c r="C5545" s="15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9" t="inlineStr">
        <is>
          <t>24/09/2025</t>
        </is>
      </c>
      <c r="B5546" s="8" t="n">
        <v>118.580156919</v>
      </c>
      <c r="C5546" s="15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9" t="inlineStr">
        <is>
          <t>25/09/2025</t>
        </is>
      </c>
      <c r="B5547" s="8" t="n">
        <v>118.3204194228</v>
      </c>
      <c r="C5547" s="15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9" t="inlineStr">
        <is>
          <t>26/09/2025</t>
        </is>
      </c>
      <c r="B5548" s="8" t="n">
        <v>117.4912574157</v>
      </c>
      <c r="C5548" s="15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9" t="inlineStr">
        <is>
          <t>29/09/2025</t>
        </is>
      </c>
      <c r="B5549" s="8" t="n">
        <v>117.081671364</v>
      </c>
      <c r="C5549" s="15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9" t="inlineStr">
        <is>
          <t>30/09/2025</t>
        </is>
      </c>
      <c r="B5550" s="8" t="n">
        <v>117.2115401121</v>
      </c>
      <c r="C5550" s="15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9" t="inlineStr">
        <is>
          <t>01/10/2025</t>
        </is>
      </c>
      <c r="B5551" s="8" t="n">
        <v>115.9406327772</v>
      </c>
      <c r="C5551" s="15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9" t="inlineStr">
        <is>
          <t>02/10/2025</t>
        </is>
      </c>
      <c r="B5552" s="8" t="n">
        <v>117.9157542453</v>
      </c>
      <c r="C5552" s="15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9" t="inlineStr">
        <is>
          <t>03/10/2025</t>
        </is>
      </c>
      <c r="B5553" s="8" t="n">
        <v>116.7627645558</v>
      </c>
      <c r="C5553" s="15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9" t="inlineStr">
        <is>
          <t>06/10/2025</t>
        </is>
      </c>
      <c r="B5554" s="8" t="n">
        <v>117.8656242588</v>
      </c>
      <c r="C5554" s="15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9" t="inlineStr">
        <is>
          <t>07/10/2025</t>
        </is>
      </c>
      <c r="B5555" s="8" t="n">
        <v>118.2967421427</v>
      </c>
      <c r="C5555" s="15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9" t="inlineStr">
        <is>
          <t>08/10/2025</t>
        </is>
      </c>
      <c r="B5556" s="8" t="n">
        <v>117.5147143533</v>
      </c>
      <c r="C5556" s="15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9" t="inlineStr">
        <is>
          <t>09/10/2025</t>
        </is>
      </c>
      <c r="B5557" s="8" t="n">
        <v>117.2841164154</v>
      </c>
      <c r="C5557" s="15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9" t="inlineStr">
        <is>
          <t>10/10/2025</t>
        </is>
      </c>
      <c r="B5558" s="8" t="n">
        <v>117.3542983965</v>
      </c>
      <c r="C5558" s="15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9" t="inlineStr">
        <is>
          <t>13/10/2025</t>
        </is>
      </c>
      <c r="B5559" s="8" t="n">
        <v>117.0334664829</v>
      </c>
      <c r="C5559" s="15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9" t="inlineStr">
        <is>
          <t>14/10/2025</t>
        </is>
      </c>
      <c r="B5560" s="8" t="n">
        <v>116.1411527232</v>
      </c>
      <c r="C5560" s="15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9" t="inlineStr">
        <is>
          <t>15/10/2025</t>
        </is>
      </c>
      <c r="B5561" s="8" t="n">
        <v>116.8229205396</v>
      </c>
      <c r="C5561" s="15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9" t="inlineStr">
        <is>
          <t>16/10/2025</t>
        </is>
      </c>
      <c r="B5562" s="8" t="n">
        <v>115.9707107691</v>
      </c>
      <c r="C5562" s="15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9" t="inlineStr">
        <is>
          <t>17/10/2025</t>
        </is>
      </c>
      <c r="B5563" s="8" t="n">
        <v>116.401828653</v>
      </c>
      <c r="C5563" s="15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9" t="inlineStr">
        <is>
          <t>20/10/2025</t>
        </is>
      </c>
      <c r="B5564" s="8" t="n">
        <v>115.098449004</v>
      </c>
      <c r="C5564" s="15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9" t="inlineStr">
        <is>
          <t>21/10/2025</t>
        </is>
      </c>
      <c r="B5565" s="8" t="n">
        <v>113.8451993415</v>
      </c>
      <c r="C5565" s="15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9" t="inlineStr">
        <is>
          <t>22/10/2025</t>
        </is>
      </c>
      <c r="B5566" s="8" t="n">
        <v>112.3112217546</v>
      </c>
      <c r="C5566" s="15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9" t="inlineStr">
        <is>
          <t>23/10/2025</t>
        </is>
      </c>
      <c r="B5567" s="8" t="n">
        <v>112.5718976844</v>
      </c>
      <c r="C5567" s="15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9" t="inlineStr">
        <is>
          <t>24/10/2025</t>
        </is>
      </c>
      <c r="B5568" s="8" t="n">
        <v>113.7750173604</v>
      </c>
      <c r="C5568" s="15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9" t="inlineStr">
        <is>
          <t>27/10/2025</t>
        </is>
      </c>
      <c r="B5569" s="8" t="n">
        <v>111.4189079949</v>
      </c>
      <c r="C5569" s="15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9" t="inlineStr">
        <is>
          <t>28/10/2025</t>
        </is>
      </c>
      <c r="B5570" s="8" t="n">
        <v>111.3286740192</v>
      </c>
      <c r="C5570" s="15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9" t="inlineStr">
        <is>
          <t>29/10/2025</t>
        </is>
      </c>
      <c r="B5571" s="8" t="n">
        <v>112.0605718221</v>
      </c>
      <c r="C5571" s="15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9" t="inlineStr">
        <is>
          <t>30/10/2025</t>
        </is>
      </c>
      <c r="B5572" s="8" t="n">
        <v>113.2135615116</v>
      </c>
      <c r="C5572" s="15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9" t="inlineStr">
        <is>
          <t>31/10/2025</t>
        </is>
      </c>
      <c r="B5573" s="8" t="n">
        <v>113.9454593145</v>
      </c>
      <c r="C5573" s="15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9" t="inlineStr">
        <is>
          <t>03/11/2025</t>
        </is>
      </c>
      <c r="B5574" s="8" t="n">
        <v>112.328766</v>
      </c>
      <c r="C5574" s="15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9" t="inlineStr">
        <is>
          <t>04/11/2025</t>
        </is>
      </c>
      <c r="B5575" s="8" t="n">
        <v>109.669032</v>
      </c>
      <c r="C5575" s="15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9" t="inlineStr">
        <is>
          <t>05/11/2025</t>
        </is>
      </c>
      <c r="B5576" s="8" t="n">
        <v>108.959103</v>
      </c>
      <c r="C5576" s="15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9" t="inlineStr">
        <is>
          <t>06/11/2025</t>
        </is>
      </c>
      <c r="B5577" s="8" t="n">
        <v>108.309168</v>
      </c>
      <c r="C5577" s="15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9" t="inlineStr">
        <is>
          <t>07/11/2025</t>
        </is>
      </c>
      <c r="B5578" s="8" t="n">
        <v>107.149284</v>
      </c>
      <c r="C5578" s="15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9" t="inlineStr">
        <is>
          <t>10/11/2025</t>
        </is>
      </c>
      <c r="B5579" s="8" t="n">
        <v>107.829216</v>
      </c>
      <c r="C5579" s="15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9" t="inlineStr">
        <is>
          <t>11/11/2025</t>
        </is>
      </c>
      <c r="B5580" s="8" t="n">
        <v>108.699129</v>
      </c>
      <c r="C5580" s="15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9" t="inlineStr">
        <is>
          <t>12/11/2025</t>
        </is>
      </c>
      <c r="B5581" s="8" t="n">
        <v>107.129286</v>
      </c>
      <c r="C5581" s="15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9" t="inlineStr">
        <is>
          <t>13/11/2025</t>
        </is>
      </c>
      <c r="B5582" s="8" t="n">
        <v>107.049294</v>
      </c>
      <c r="C5582" s="15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9" t="inlineStr">
        <is>
          <t>14/11/2025</t>
        </is>
      </c>
      <c r="B5583" s="8" t="n">
        <v>106.399359</v>
      </c>
      <c r="C5583" s="15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9" t="inlineStr">
        <is>
          <t>17/11/2025</t>
        </is>
      </c>
      <c r="B5584" s="8" t="n">
        <v>106.239375</v>
      </c>
      <c r="C5584" s="15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9" t="inlineStr">
        <is>
          <t>18/11/2025</t>
        </is>
      </c>
      <c r="B5585" s="8" t="n">
        <v>107.149284</v>
      </c>
      <c r="C5585" s="15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9" t="inlineStr">
        <is>
          <t>19/11/2025</t>
        </is>
      </c>
      <c r="B5586" s="8" t="n">
        <v>106.799319</v>
      </c>
      <c r="C5586" s="15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9" t="inlineStr">
        <is>
          <t>21/11/2025</t>
        </is>
      </c>
      <c r="B5587" s="8" t="n">
        <v>106.48935</v>
      </c>
      <c r="C5587" s="15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9" t="inlineStr">
        <is>
          <t>24/11/2025</t>
        </is>
      </c>
      <c r="B5588" s="8" t="n">
        <v>106.109388</v>
      </c>
      <c r="C5588" s="15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9" t="inlineStr">
        <is>
          <t>25/11/2025</t>
        </is>
      </c>
      <c r="B5589" s="8" t="n">
        <v>105.509448</v>
      </c>
      <c r="C5589" s="15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9" t="inlineStr">
        <is>
          <t>26/11/2025</t>
        </is>
      </c>
      <c r="B5590" s="8" t="n">
        <v>106.969302</v>
      </c>
      <c r="C5590" s="15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9" t="inlineStr">
        <is>
          <t>27/11/2025</t>
        </is>
      </c>
      <c r="B5591" s="8" t="n">
        <v>107.439255</v>
      </c>
      <c r="C5591" s="15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9" t="inlineStr">
        <is>
          <t>28/11/2025</t>
        </is>
      </c>
      <c r="B5592" s="8" t="n">
        <v>108.48915</v>
      </c>
      <c r="C5592" s="15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9" t="inlineStr">
        <is>
          <t>01/12/2025</t>
        </is>
      </c>
      <c r="B5593" s="8" t="n">
        <v>109.02</v>
      </c>
      <c r="C5593" s="15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9" t="inlineStr">
        <is>
          <t>02/12/2025</t>
        </is>
      </c>
      <c r="B5594" s="8" t="n">
        <v>108.77</v>
      </c>
      <c r="C5594" s="15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9" t="inlineStr">
        <is>
          <t>03/12/2025</t>
        </is>
      </c>
      <c r="B5595" s="8" t="n">
        <v>107.42</v>
      </c>
      <c r="C5595" s="15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9" t="inlineStr">
        <is>
          <t>04/12/2025</t>
        </is>
      </c>
      <c r="B5596" s="8" t="n">
        <v>107.58</v>
      </c>
      <c r="C5596" s="15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9" t="inlineStr">
        <is>
          <t>05/12/2025</t>
        </is>
      </c>
      <c r="B5597" s="8" t="n">
        <v>107.39</v>
      </c>
      <c r="C5597" s="15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9" t="inlineStr">
        <is>
          <t>08/12/2025</t>
        </is>
      </c>
      <c r="B5598" s="8" t="n">
        <v>107.39</v>
      </c>
      <c r="C5598" s="15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9" t="inlineStr">
        <is>
          <t>09/12/2025</t>
        </is>
      </c>
      <c r="B5599" s="8" t="n">
        <v>110.82</v>
      </c>
      <c r="C5599" s="15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9" t="inlineStr">
        <is>
          <t>10/12/2025</t>
        </is>
      </c>
      <c r="B5600" s="8" t="n">
        <v>112.9</v>
      </c>
      <c r="C5600" s="15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9" t="inlineStr">
        <is>
          <t>11/12/2025</t>
        </is>
      </c>
      <c r="B5601" s="8" t="n">
        <v>109.94</v>
      </c>
      <c r="C5601" s="15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9" t="inlineStr">
        <is>
          <t>12/12/2025</t>
        </is>
      </c>
      <c r="B5602" s="8" t="n">
        <v>110.43</v>
      </c>
      <c r="C5602" s="15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9" t="inlineStr">
        <is>
          <t>15/12/2025</t>
        </is>
      </c>
      <c r="B5603" s="8" t="n">
        <v>109.1</v>
      </c>
      <c r="C5603" s="15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9" t="inlineStr">
        <is>
          <t>16/12/2025</t>
        </is>
      </c>
      <c r="B5604" s="8" t="n">
        <v>109.74</v>
      </c>
      <c r="C5604" s="15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9" t="inlineStr">
        <is>
          <t>17/12/2025</t>
        </is>
      </c>
      <c r="B5605" s="8" t="n">
        <v>109.65</v>
      </c>
      <c r="C5605" s="15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9" t="inlineStr">
        <is>
          <t>18/12/2025</t>
        </is>
      </c>
      <c r="B5606" s="8" t="n">
        <v>111</v>
      </c>
      <c r="C5606" s="15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9" t="inlineStr">
        <is>
          <t>19/12/2025</t>
        </is>
      </c>
      <c r="B5607" s="8" t="n">
        <v>110.75</v>
      </c>
      <c r="C5607" s="15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9" t="inlineStr">
        <is>
          <t>22/12/2025</t>
        </is>
      </c>
      <c r="B5608" s="8" t="n">
        <v>110.63</v>
      </c>
      <c r="C5608" s="15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9" t="inlineStr">
        <is>
          <t>23/12/2025</t>
        </is>
      </c>
      <c r="B5609" s="8" t="n">
        <v>110.63</v>
      </c>
      <c r="C5609" s="15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9" t="inlineStr">
        <is>
          <t>26/12/2025</t>
        </is>
      </c>
      <c r="B5610" s="8" t="n">
        <v>110.63</v>
      </c>
      <c r="C5610" s="15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9" t="inlineStr">
        <is>
          <t>29/12/2025</t>
        </is>
      </c>
      <c r="B5611" s="8" t="n">
        <v>109.99</v>
      </c>
      <c r="C5611" s="15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9" t="inlineStr">
        <is>
          <t>30/12/2025</t>
        </is>
      </c>
      <c r="B5612" s="8" t="n">
        <v>109.99</v>
      </c>
      <c r="C5612" s="15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9" t="inlineStr">
        <is>
          <t>02/01/2026</t>
        </is>
      </c>
      <c r="B5613" s="8" t="n">
        <v>109.99</v>
      </c>
      <c r="C5613" s="15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9" t="inlineStr">
        <is>
          <t>05/01/2026</t>
        </is>
      </c>
      <c r="B5614" s="8" t="n">
        <v>108.77</v>
      </c>
      <c r="C5614" s="15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9" t="inlineStr">
        <is>
          <t>06/01/2026</t>
        </is>
      </c>
      <c r="B5615" s="8" t="n">
        <v>106.76</v>
      </c>
      <c r="C5615" s="15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9" t="inlineStr">
        <is>
          <t>07/01/2026</t>
        </is>
      </c>
      <c r="B5616" s="8" t="n">
        <v>107.91</v>
      </c>
      <c r="C5616" s="15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9" t="inlineStr">
        <is>
          <t>08/01/2026</t>
        </is>
      </c>
      <c r="B5617" s="8" t="n">
        <v>107.34</v>
      </c>
      <c r="C5617" s="15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9" t="inlineStr">
        <is>
          <t>09/01/2026</t>
        </is>
      </c>
      <c r="B5618" s="8" t="n">
        <v>106.65</v>
      </c>
      <c r="C5618" s="15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9" t="inlineStr">
        <is>
          <t>12/01/2026</t>
        </is>
      </c>
      <c r="B5619" s="8" t="n">
        <v>106.65</v>
      </c>
      <c r="C5619" s="15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9" t="inlineStr">
        <is>
          <t>13/01/2026</t>
        </is>
      </c>
      <c r="B5620" s="8" t="n">
        <v>105.4</v>
      </c>
      <c r="C5620" s="15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9" t="inlineStr">
        <is>
          <t>14/01/2026</t>
        </is>
      </c>
      <c r="B5621" s="8" t="n">
        <v>106.71</v>
      </c>
      <c r="C5621" s="15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9" t="inlineStr">
        <is>
          <t>15/01/2026</t>
        </is>
      </c>
      <c r="B5622" s="8" t="n">
        <v>106.98</v>
      </c>
      <c r="C5622" s="15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9" t="inlineStr">
        <is>
          <t>16/01/2026</t>
        </is>
      </c>
      <c r="B5623" s="8" t="n">
        <v>103.97</v>
      </c>
      <c r="C5623" s="15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9" t="inlineStr">
        <is>
          <t>19/01/2026</t>
        </is>
      </c>
      <c r="B5624" s="8" t="n">
        <v>104.37</v>
      </c>
      <c r="C5624" s="15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9" t="inlineStr">
        <is>
          <t>20/01/2026</t>
        </is>
      </c>
      <c r="B5625" s="8" t="n">
        <v>103.44</v>
      </c>
      <c r="C5625" s="15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9" t="inlineStr">
        <is>
          <t>21/01/2026</t>
        </is>
      </c>
      <c r="B5626" s="8" t="n">
        <v>104.66</v>
      </c>
      <c r="C5626" s="15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9" t="inlineStr">
        <is>
          <t>22/01/2026</t>
        </is>
      </c>
      <c r="B5627" s="8" t="n">
        <v>104.59</v>
      </c>
      <c r="C5627" s="15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9" t="inlineStr">
        <is>
          <t>23/01/2026</t>
        </is>
      </c>
      <c r="B5628" s="8" t="n">
        <v>104.84</v>
      </c>
      <c r="C5628" s="15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9" t="inlineStr">
        <is>
          <t>26/01/2026</t>
        </is>
      </c>
      <c r="B5629" s="8" t="n">
        <v>104.92</v>
      </c>
      <c r="C5629" s="15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9" t="inlineStr">
        <is>
          <t>27/01/2026</t>
        </is>
      </c>
      <c r="B5630" s="8" t="n">
        <v>104.95</v>
      </c>
      <c r="C5630" s="15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9" t="inlineStr">
        <is>
          <t>28/01/2026</t>
        </is>
      </c>
      <c r="B5631" s="8" t="n">
        <v>104.6</v>
      </c>
      <c r="C5631" s="15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9" t="inlineStr">
        <is>
          <t>29/01/2026</t>
        </is>
      </c>
      <c r="B5632" s="8" t="n">
        <v>104.78</v>
      </c>
      <c r="C5632" s="15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9" t="inlineStr">
        <is>
          <t>30/01/2026</t>
        </is>
      </c>
      <c r="B5633" s="8" t="n">
        <v>104.89</v>
      </c>
      <c r="C5633" s="15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9" t="inlineStr">
        <is>
          <t>02/02/2026</t>
        </is>
      </c>
      <c r="B5634" s="8" t="n">
        <v>106.29</v>
      </c>
      <c r="C5634" s="15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9" t="inlineStr">
        <is>
          <t>03/02/2026</t>
        </is>
      </c>
      <c r="B5635" s="8" t="n">
        <v>105.81</v>
      </c>
      <c r="C5635" s="15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9" t="inlineStr">
        <is>
          <t>04/02/2026</t>
        </is>
      </c>
      <c r="B5636" s="8" t="n">
        <v>102.82</v>
      </c>
      <c r="C5636" s="15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9" t="inlineStr">
        <is>
          <t>05/02/2026</t>
        </is>
      </c>
      <c r="B5637" s="8" t="n">
        <v>101.76</v>
      </c>
      <c r="C5637" s="15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9" t="inlineStr">
        <is>
          <t>06/02/2026</t>
        </is>
      </c>
      <c r="B5638" s="8" t="n">
        <v>100.63</v>
      </c>
      <c r="C5638" s="15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9" t="inlineStr">
        <is>
          <t>09/02/2026</t>
        </is>
      </c>
      <c r="B5639" s="8" t="n">
        <v>100.1</v>
      </c>
      <c r="C5639" s="15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9" t="inlineStr">
        <is>
          <t>10/02/2026</t>
        </is>
      </c>
      <c r="B5640" s="8" t="n">
        <v>101.65</v>
      </c>
      <c r="C5640" s="15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9" t="inlineStr">
        <is>
          <t>11/02/2026</t>
        </is>
      </c>
      <c r="B5641" s="8" t="n">
        <v>99.67</v>
      </c>
      <c r="C5641" s="15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9" t="inlineStr">
        <is>
          <t>12/02/2026</t>
        </is>
      </c>
      <c r="B5642" s="8" t="n">
        <v>98.53</v>
      </c>
      <c r="C5642" s="15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9" t="inlineStr">
        <is>
          <t>13/02/2026</t>
        </is>
      </c>
      <c r="B5643" s="8" t="n">
        <v>99.51000000000001</v>
      </c>
      <c r="C5643" s="15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9" t="inlineStr">
        <is>
          <t>18/02/2026</t>
        </is>
      </c>
      <c r="B5644" s="8" t="n">
        <v>99.25</v>
      </c>
      <c r="C5644" s="15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9" t="inlineStr">
        <is>
          <t>19/02/2026</t>
        </is>
      </c>
      <c r="B5645" s="8" t="n">
        <v>101.9</v>
      </c>
      <c r="C5645" s="15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9" t="inlineStr">
        <is>
          <t>20/02/2026</t>
        </is>
      </c>
      <c r="B5646" s="8" t="n">
        <v>100.45</v>
      </c>
      <c r="C5646" s="15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9" t="inlineStr">
        <is>
          <t>23/02/2026</t>
        </is>
      </c>
      <c r="B5647" s="8" t="n">
        <v>99.09</v>
      </c>
      <c r="C5647" s="15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9" t="inlineStr">
        <is>
          <t>24/02/2026</t>
        </is>
      </c>
      <c r="B5648" s="8" t="n">
        <v>99.11</v>
      </c>
      <c r="C5648" s="15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9" t="inlineStr">
        <is>
          <t>25/02/2026</t>
        </is>
      </c>
      <c r="B5649" s="8" t="n">
        <v>98.28</v>
      </c>
      <c r="C5649" s="15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9" t="inlineStr">
        <is>
          <t>26/02/2026</t>
        </is>
      </c>
      <c r="B5650" s="8" t="n">
        <v>98.14</v>
      </c>
      <c r="C5650" s="15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9" t="inlineStr">
        <is>
          <t>27/02/2026</t>
        </is>
      </c>
      <c r="B5651" s="8" t="n">
        <v>98.59</v>
      </c>
      <c r="C5651" s="15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9" t="inlineStr">
        <is>
          <t>02/03/2026</t>
        </is>
      </c>
      <c r="B5652" s="8" t="n">
        <v>98.55</v>
      </c>
      <c r="C5652" s="15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9" t="inlineStr">
        <is>
          <t>03/03/2026</t>
        </is>
      </c>
      <c r="B5653" s="8" t="n">
        <v>98.23</v>
      </c>
      <c r="C5653" s="15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9" t="inlineStr">
        <is>
          <t>04/03/2026</t>
        </is>
      </c>
      <c r="B5654" s="8" t="n">
        <v>98.23</v>
      </c>
      <c r="C5654" s="15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9" t="inlineStr">
        <is>
          <t>05/03/2026</t>
        </is>
      </c>
      <c r="B5655" s="8" t="n">
        <v>97.62</v>
      </c>
      <c r="C5655" s="15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9" t="inlineStr">
        <is>
          <t>06/03/2026</t>
        </is>
      </c>
      <c r="B5656" s="8" t="n">
        <v>97.38</v>
      </c>
      <c r="C5656" s="15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9" t="inlineStr">
        <is>
          <t>09/03/2026</t>
        </is>
      </c>
      <c r="B5657" s="8" t="n">
        <v>98.31</v>
      </c>
      <c r="C5657" s="15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9" t="inlineStr">
        <is>
          <t>10/03/2026</t>
        </is>
      </c>
      <c r="B5658" s="8" t="n">
        <v>98.52</v>
      </c>
      <c r="C5658" s="15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9" t="inlineStr">
        <is>
          <t>11/03/2026</t>
        </is>
      </c>
      <c r="B5659" s="8" t="n">
        <v>97.28</v>
      </c>
      <c r="C5659" s="15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9" t="inlineStr">
        <is>
          <t>12/03/2026</t>
        </is>
      </c>
      <c r="B5660" s="8" t="n">
        <v>95.79000000000001</v>
      </c>
      <c r="C5660" s="15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9" t="inlineStr">
        <is>
          <t>13/03/2026</t>
        </is>
      </c>
      <c r="B5661" s="8" t="n">
        <v>97.23999999999999</v>
      </c>
      <c r="C5661" s="15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9" t="inlineStr">
        <is>
          <t>16/03/2026</t>
        </is>
      </c>
      <c r="B5662" s="8" t="n">
        <v>97.62</v>
      </c>
      <c r="C5662" s="15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9" t="inlineStr">
        <is>
          <t>17/03/2026</t>
        </is>
      </c>
      <c r="B5663" s="8" t="n">
        <v>97.11</v>
      </c>
      <c r="C5663" s="15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9" t="inlineStr">
        <is>
          <t>18/03/2026</t>
        </is>
      </c>
      <c r="B5664" s="8" t="n">
        <v>98.16</v>
      </c>
      <c r="C5664" s="15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9" t="inlineStr">
        <is>
          <t>19/03/2026</t>
        </is>
      </c>
      <c r="B5665" s="8" t="n">
        <v>100.51</v>
      </c>
      <c r="C5665" s="15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9" t="inlineStr">
        <is>
          <t>20/03/2026</t>
        </is>
      </c>
      <c r="B5666" s="8" t="n">
        <v>101.32</v>
      </c>
      <c r="C5666" s="15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9" t="inlineStr">
        <is>
          <t>23/03/2026</t>
        </is>
      </c>
      <c r="B5667" s="8" t="n">
        <v>100.77</v>
      </c>
      <c r="C5667" s="15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9" t="inlineStr">
        <is>
          <t>24/03/2026</t>
        </is>
      </c>
      <c r="B5668" s="8" t="n">
        <v>102.26</v>
      </c>
      <c r="C5668" s="15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9" t="inlineStr">
        <is>
          <t>25/03/2026</t>
        </is>
      </c>
      <c r="B5669" s="8" t="n">
        <v>102.28</v>
      </c>
      <c r="C5669" s="15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9" t="inlineStr">
        <is>
          <t>26/03/2026</t>
        </is>
      </c>
      <c r="B5670" s="8" t="n">
        <v>103.83</v>
      </c>
      <c r="C5670" s="15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9" t="inlineStr">
        <is>
          <t>27/03/2026</t>
        </is>
      </c>
      <c r="B5671" s="8" t="n">
        <v>103.29</v>
      </c>
      <c r="C5671" s="15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9" t="inlineStr">
        <is>
          <t>30/03/2026</t>
        </is>
      </c>
      <c r="B5672" s="8" t="n">
        <v>105.41</v>
      </c>
      <c r="C5672" s="15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9" t="inlineStr">
        <is>
          <t>31/03/2026</t>
        </is>
      </c>
      <c r="B5673" s="8" t="n">
        <v>105.46</v>
      </c>
      <c r="C5673" s="15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9" t="inlineStr">
        <is>
          <t>01/04/2026</t>
        </is>
      </c>
      <c r="B5674" s="8" t="n">
        <v>105.33</v>
      </c>
      <c r="C5674" s="15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9" t="inlineStr">
        <is>
          <t>02/04/2026</t>
        </is>
      </c>
      <c r="B5675" s="8" t="n">
        <v>105.06</v>
      </c>
      <c r="C5675" s="15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9" t="inlineStr">
        <is>
          <t>06/04/2026</t>
        </is>
      </c>
      <c r="B5676" s="8" t="n">
        <v>104.16</v>
      </c>
      <c r="C5676" s="15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9" t="inlineStr">
        <is>
          <t>07/04/2026</t>
        </is>
      </c>
      <c r="B5677" s="8" t="n">
        <v>103.38</v>
      </c>
      <c r="C5677" s="15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9" t="inlineStr">
        <is>
          <t>08/04/2026</t>
        </is>
      </c>
      <c r="B5678" s="8" t="n">
        <v>103.82</v>
      </c>
      <c r="C5678" s="15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9" t="inlineStr">
        <is>
          <t>09/04/2026</t>
        </is>
      </c>
      <c r="B5679" s="8" t="n">
        <v>104.16</v>
      </c>
      <c r="C5679" s="15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9" t="inlineStr">
        <is>
          <t>10/04/2026</t>
        </is>
      </c>
      <c r="B5680" s="8" t="n">
        <v>105.78</v>
      </c>
      <c r="C5680" s="15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9" t="inlineStr">
        <is>
          <t>13/04/2026</t>
        </is>
      </c>
      <c r="B5681" s="8" t="n">
        <v>103.47</v>
      </c>
      <c r="C5681" s="15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9" t="inlineStr">
        <is>
          <t>14/04/2026</t>
        </is>
      </c>
      <c r="B5682" s="8" t="n">
        <v>101.5</v>
      </c>
      <c r="C5682" s="15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9" t="inlineStr">
        <is>
          <t>15/04/2026</t>
        </is>
      </c>
      <c r="B5683" s="8" t="n">
        <v>99.37</v>
      </c>
      <c r="C5683" s="15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9" t="inlineStr">
        <is>
          <t>16/04/2026</t>
        </is>
      </c>
      <c r="B5684" s="8" t="n">
        <v>99.14</v>
      </c>
      <c r="C5684" s="15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9" t="inlineStr">
        <is>
          <t>17/04/2026</t>
        </is>
      </c>
      <c r="B5685" s="8" t="n">
        <v>99.90000000000001</v>
      </c>
      <c r="C5685" s="15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9" t="inlineStr">
        <is>
          <t>20/04/2026</t>
        </is>
      </c>
      <c r="B5686" s="8" t="n">
        <v>99.39</v>
      </c>
      <c r="C5686" s="15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9" t="inlineStr">
        <is>
          <t>22/04/2026</t>
        </is>
      </c>
      <c r="B5687" s="8" t="n">
        <v>99.04000000000001</v>
      </c>
      <c r="C5687" s="15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9" t="inlineStr">
        <is>
          <t>23/04/2026</t>
        </is>
      </c>
      <c r="B5688" s="8" t="n">
        <v>96.06</v>
      </c>
      <c r="C5688" s="15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9" t="inlineStr">
        <is>
          <t>24/04/2026</t>
        </is>
      </c>
      <c r="B5689" s="8" t="n">
        <v>99.66</v>
      </c>
      <c r="C5689" s="15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9" t="inlineStr">
        <is>
          <t>27/04/2026</t>
        </is>
      </c>
      <c r="B5690" s="8" t="n">
        <v>98.70999999999999</v>
      </c>
      <c r="C5690" s="15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9" t="inlineStr">
        <is>
          <t>28/04/2026</t>
        </is>
      </c>
      <c r="B5691" s="8" t="n">
        <v>97.66</v>
      </c>
      <c r="C5691" s="15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9" t="inlineStr">
        <is>
          <t>29/04/2026</t>
        </is>
      </c>
      <c r="B5692" s="8" t="n">
        <v>99.81999999999999</v>
      </c>
      <c r="C5692" s="15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9" t="inlineStr">
        <is>
          <t>30/04/2026</t>
        </is>
      </c>
      <c r="B5693" s="8" t="n">
        <v>97.91</v>
      </c>
      <c r="C5693" s="15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9" t="inlineStr">
        <is>
          <t>04/05/2026</t>
        </is>
      </c>
      <c r="B5694" s="8" t="n">
        <v>97.83</v>
      </c>
      <c r="C5694" s="15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9" t="inlineStr">
        <is>
          <t>05/05/2026</t>
        </is>
      </c>
      <c r="B5695" s="8" t="n">
        <v>97.43000000000001</v>
      </c>
      <c r="C5695" s="15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9" t="inlineStr">
        <is>
          <t>06/05/2026</t>
        </is>
      </c>
      <c r="B5696" s="8" t="n">
        <v>97.72</v>
      </c>
      <c r="C5696" s="15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9" t="inlineStr">
        <is>
          <t>07/05/2026</t>
        </is>
      </c>
      <c r="B5697" s="8" t="n">
        <v>97.83</v>
      </c>
      <c r="C5697" s="15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9" t="inlineStr">
        <is>
          <t>08/05/2026</t>
        </is>
      </c>
      <c r="B5698" s="8" t="n">
        <v>96.59</v>
      </c>
      <c r="C5698" s="15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9" t="inlineStr">
        <is>
          <t>11/05/2026</t>
        </is>
      </c>
      <c r="B5699" s="8" t="n">
        <v>96.59999999999999</v>
      </c>
      <c r="C5699" s="15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9" t="inlineStr">
        <is>
          <t>12/05/2026</t>
        </is>
      </c>
      <c r="B5700" s="8" t="n">
        <v>96.3</v>
      </c>
      <c r="C5700" s="15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9" t="inlineStr">
        <is>
          <t>13/05/2026</t>
        </is>
      </c>
      <c r="B5701" s="8" t="n">
        <v>96.52</v>
      </c>
      <c r="C5701" s="15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9" t="inlineStr">
        <is>
          <t>14/05/2026</t>
        </is>
      </c>
      <c r="B5702" s="8" t="n">
        <v>95.23</v>
      </c>
      <c r="C5702" s="15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9" t="inlineStr">
        <is>
          <t>15/05/2026</t>
        </is>
      </c>
      <c r="B5703" s="8" t="n">
        <v>95.04000000000001</v>
      </c>
      <c r="C5703" s="15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9" t="inlineStr">
        <is>
          <t>18/05/2026</t>
        </is>
      </c>
      <c r="B5704" s="8" t="n">
        <v>94.7</v>
      </c>
      <c r="C5704" s="15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9" t="inlineStr">
        <is>
          <t>19/05/2026</t>
        </is>
      </c>
      <c r="B5705" s="8" t="n">
        <v>93.95999999999999</v>
      </c>
      <c r="C5705" s="15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9" t="inlineStr">
        <is>
          <t>20/05/2026</t>
        </is>
      </c>
      <c r="B5706" s="8" t="n">
        <v>93.25</v>
      </c>
      <c r="C5706" s="15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9" t="inlineStr">
        <is>
          <t>21/05/2026</t>
        </is>
      </c>
      <c r="B5707" s="8" t="n">
        <v>94.08</v>
      </c>
      <c r="C5707" s="15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9" t="inlineStr">
        <is>
          <t>22/05/2026</t>
        </is>
      </c>
      <c r="B5708" s="8" t="n">
        <v>93.56</v>
      </c>
      <c r="C5708" s="15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9" t="inlineStr">
        <is>
          <t>25/05/2026</t>
        </is>
      </c>
      <c r="B5709" s="8" t="n">
        <v>93.69</v>
      </c>
      <c r="C5709" s="15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9" t="inlineStr">
        <is>
          <t>26/05/2026</t>
        </is>
      </c>
      <c r="B5710" s="8" t="n">
        <v>93.09</v>
      </c>
      <c r="C5710" s="15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9" t="inlineStr">
        <is>
          <t>27/05/2026</t>
        </is>
      </c>
      <c r="B5711" s="8" t="n">
        <v>94.22</v>
      </c>
      <c r="C5711" s="15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9" t="inlineStr">
        <is>
          <t>28/05/2026</t>
        </is>
      </c>
      <c r="B5712" s="8" t="n">
        <v>93.84</v>
      </c>
      <c r="C5712" s="15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9" t="inlineStr">
        <is>
          <t>29/05/2026</t>
        </is>
      </c>
      <c r="B5713" s="8" t="n">
        <v>93</v>
      </c>
      <c r="C5713" s="15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9" t="inlineStr">
        <is>
          <t>01/06/2026</t>
        </is>
      </c>
      <c r="B5714" s="8" t="n">
        <v>94.27</v>
      </c>
      <c r="C5714" s="15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9" t="inlineStr">
        <is>
          <t>02/06/2026</t>
        </is>
      </c>
      <c r="B5715" s="8" t="n">
        <v>93.02</v>
      </c>
      <c r="C5715" s="15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9" t="inlineStr">
        <is>
          <t>03/06/2026</t>
        </is>
      </c>
      <c r="B5716" s="8" t="n">
        <v>93.23999999999999</v>
      </c>
      <c r="C5716" s="15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9" t="inlineStr">
        <is>
          <t>05/06/2026</t>
        </is>
      </c>
      <c r="B5717" s="8" t="n">
        <v>93.23999999999999</v>
      </c>
      <c r="C5717" s="15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9" t="inlineStr">
        <is>
          <t>08/06/2026</t>
        </is>
      </c>
      <c r="B5718" s="8" t="n">
        <v>91.36</v>
      </c>
      <c r="C5718" s="15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9" t="inlineStr">
        <is>
          <t>09/06/2026</t>
        </is>
      </c>
      <c r="B5719" s="8" t="n">
        <v>92.90000000000001</v>
      </c>
      <c r="C5719" s="15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9" t="inlineStr">
        <is>
          <t>10/06/2026</t>
        </is>
      </c>
      <c r="B5720" s="8" t="n">
        <v>92.34999999999999</v>
      </c>
      <c r="C5720" s="15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9" t="inlineStr">
        <is>
          <t>11/06/2026</t>
        </is>
      </c>
      <c r="B5721" s="8" t="n">
        <v>92.18000000000001</v>
      </c>
      <c r="C5721" s="15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9" t="inlineStr">
        <is>
          <t>12/06/2026</t>
        </is>
      </c>
      <c r="B5722" s="8" t="n">
        <v>92.84</v>
      </c>
      <c r="C5722" s="15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9" t="inlineStr">
        <is>
          <t>15/06/2026</t>
        </is>
      </c>
      <c r="B5723" s="8" t="n">
        <v>93.63</v>
      </c>
      <c r="C5723" s="15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9" t="inlineStr">
        <is>
          <t>16/06/2026</t>
        </is>
      </c>
      <c r="B5724" s="8" t="n">
        <v>92.09999999999999</v>
      </c>
      <c r="C5724" s="15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9" t="inlineStr">
        <is>
          <t>17/06/2026</t>
        </is>
      </c>
      <c r="B5725" s="8" t="n">
        <v>91.48</v>
      </c>
      <c r="C5725" s="15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9" t="inlineStr">
        <is>
          <t>18/06/2026</t>
        </is>
      </c>
      <c r="B5726" s="8" t="n">
        <v>90.75</v>
      </c>
      <c r="C5726" s="15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9" t="inlineStr">
        <is>
          <t>19/06/2026</t>
        </is>
      </c>
      <c r="B5727" s="8" t="n">
        <v>91.45999999999999</v>
      </c>
      <c r="C5727" s="15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9" t="inlineStr">
        <is>
          <t>22/06/2026</t>
        </is>
      </c>
      <c r="B5728" s="8" t="n">
        <v>91.59999999999999</v>
      </c>
      <c r="C5728" s="15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9" t="inlineStr">
        <is>
          <t>23/06/2026</t>
        </is>
      </c>
      <c r="B5729" s="8" t="n">
        <v>94.06999999999999</v>
      </c>
      <c r="C5729" s="15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0"/>
  <sheetViews>
    <sheetView topLeftCell="A223" workbookViewId="0">
      <selection activeCell="J16" sqref="J16"/>
    </sheetView>
  </sheetViews>
  <sheetFormatPr baseColWidth="8" defaultRowHeight="15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6"/>
    <col width="9.140625" customWidth="1" style="1" min="7" max="16384"/>
  </cols>
  <sheetData>
    <row r="1">
      <c r="A1" s="11" t="inlineStr">
        <is>
          <t>Data</t>
        </is>
      </c>
      <c r="B1" s="3" t="inlineStr">
        <is>
          <t>Preço</t>
        </is>
      </c>
      <c r="C1" s="58" t="inlineStr">
        <is>
          <t>Meses</t>
        </is>
      </c>
      <c r="D1" s="59" t="inlineStr">
        <is>
          <t>Média Corrigida</t>
        </is>
      </c>
      <c r="E1" s="61" t="inlineStr">
        <is>
          <t>Base 100</t>
        </is>
      </c>
      <c r="F1" s="49" t="inlineStr">
        <is>
          <t>Mês</t>
        </is>
      </c>
      <c r="G1" s="49" t="inlineStr">
        <is>
          <t>M.B 100 - Série Total</t>
        </is>
      </c>
      <c r="H1" s="49" t="inlineStr">
        <is>
          <t>B.100 +1 Desv</t>
        </is>
      </c>
      <c r="I1" s="49" t="inlineStr">
        <is>
          <t>B.100 +2 Desv</t>
        </is>
      </c>
      <c r="J1" s="49" t="inlineStr">
        <is>
          <t>B.100 -1 Desv</t>
        </is>
      </c>
      <c r="K1" s="49" t="inlineStr">
        <is>
          <t>B.100 -2 Desv</t>
        </is>
      </c>
      <c r="L1" s="49" t="inlineStr">
        <is>
          <t>Desvio Padrão B.100</t>
        </is>
      </c>
      <c r="M1" s="49">
        <f>"M.B 100 - "&amp;YEAR(TODAY())</f>
        <v/>
      </c>
      <c r="N1" s="49">
        <f>"Média "&amp;YEAR(TODAY())</f>
        <v/>
      </c>
      <c r="O1" s="49" t="inlineStr">
        <is>
          <t>Preço Média</t>
        </is>
      </c>
      <c r="P1" s="49" t="inlineStr">
        <is>
          <t>Desvio Padrão</t>
        </is>
      </c>
      <c r="Q1" s="49" t="inlineStr">
        <is>
          <t>Preço +1 Desv.</t>
        </is>
      </c>
      <c r="R1" s="49" t="inlineStr">
        <is>
          <t>Preço +2 Desv.</t>
        </is>
      </c>
      <c r="S1" s="49" t="inlineStr">
        <is>
          <t>Preço -1 Desv.</t>
        </is>
      </c>
      <c r="T1" s="49" t="inlineStr">
        <is>
          <t>Preço -2 Desv.</t>
        </is>
      </c>
      <c r="V1" s="47" t="inlineStr">
        <is>
          <t>Razão Sazonal (aux)</t>
        </is>
      </c>
      <c r="W1" s="63" t="inlineStr">
        <is>
          <t>Futuro Vencimento</t>
        </is>
      </c>
      <c r="X1" s="63" t="inlineStr">
        <is>
          <t>MM 21d (R$/1000L — B3)</t>
        </is>
      </c>
    </row>
    <row r="2">
      <c r="A2" s="4" t="inlineStr">
        <is>
          <t>06/12/2002</t>
        </is>
      </c>
      <c r="B2" s="31" t="n">
        <v>3.019</v>
      </c>
      <c r="C2" s="53" t="n">
        <v>37591</v>
      </c>
      <c r="D2" s="60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62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2" s="48" t="inlineStr">
        <is>
          <t>Janeiro</t>
        </is>
      </c>
      <c r="G2" s="54" t="n">
        <v>100</v>
      </c>
      <c r="H2" s="54" t="n">
        <v>100</v>
      </c>
      <c r="I2" s="54" t="n">
        <v>100</v>
      </c>
      <c r="J2" s="54" t="n">
        <v>100</v>
      </c>
      <c r="K2" s="54" t="n">
        <v>100</v>
      </c>
      <c r="L2" s="54">
        <f t="array" ref="L2">IFERROR(_xlfn.STDEV.P(_xlfn._xlws.FILTER($E$2:$E$2000,(IFERROR(MONTH($C$2:$C$2000),0)=1)*ISNUMBER($D$2:$D$2000))),0)</f>
        <v/>
      </c>
      <c r="M2" s="54" t="n">
        <v>100</v>
      </c>
      <c r="N2" s="54">
        <f t="array" ref="N2">IFERROR(AVERAGE(_xlfn._xlws.FILTER($D$2:$D$2000,(IFERROR(MONTH($C$2:$C$2000),0)=1)*(IFERROR(YEAR($C$2:$C$2000),0)=YEAR(TODAY())))),"")</f>
        <v/>
      </c>
      <c r="O2" s="54">
        <f t="array" ref="O2">AVERAGE(_xlfn._xlws.FILTER($D$2:$D$2000,(IFERROR(MONTH($C$2:$C$2000),0)=1)*ISNUMBER($D$2:$D$2000)))</f>
        <v/>
      </c>
      <c r="P2" s="54">
        <f t="array" ref="P2">_xlfn.STDEV.P(_xlfn._xlws.FILTER($D$2:$D$2000,(IFERROR(MONTH($C$2:$C$2000),0)=1)*ISNUMBER($D$2:$D$2000)))</f>
        <v/>
      </c>
      <c r="Q2" s="54">
        <f>O2+(1*P2)</f>
        <v/>
      </c>
      <c r="R2" s="54">
        <f>O2+(2*P2)</f>
        <v/>
      </c>
      <c r="S2" s="54">
        <f>O2+(-1*P2)</f>
        <v/>
      </c>
      <c r="T2" s="54">
        <f>O2+(-2*P2)</f>
        <v/>
      </c>
      <c r="V2" s="1">
        <f>1</f>
        <v/>
      </c>
      <c r="W2" s="66">
        <f>DATE(2026,7,1)</f>
        <v/>
      </c>
      <c r="X2" s="6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4" t="inlineStr">
        <is>
          <t>13/12/2002</t>
        </is>
      </c>
      <c r="B3" s="31" t="n">
        <v>3.0317</v>
      </c>
      <c r="C3" s="69" t="n">
        <v>37622</v>
      </c>
      <c r="D3" s="70">
        <f t="array" ref="D3">IF(C3="","",IFERROR(AVERAGE(_xlfn._xlws.FILTER($B$2:$B$2000,(IFERROR(VALUE(MID($A$2:$A$2000,4,2)),0)=MONTH(C3))*(IFERROR(VALUE(RIGHT($A$2:$A$2000,4)),0)=YEAR(C3)))),""))</f>
        <v/>
      </c>
      <c r="E3" s="62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3" s="71" t="inlineStr">
        <is>
          <t>Fevereiro</t>
        </is>
      </c>
      <c r="G3" s="72">
        <f>G$2*O3/O$2</f>
        <v/>
      </c>
      <c r="H3" s="72">
        <f>$G3+(1*$L3)</f>
        <v/>
      </c>
      <c r="I3" s="72">
        <f>$G3+(2*$L3)</f>
        <v/>
      </c>
      <c r="J3" s="72">
        <f>$G3+(-1*$L3)</f>
        <v/>
      </c>
      <c r="K3" s="72">
        <f>$G3+(-2*$L3)</f>
        <v/>
      </c>
      <c r="L3" s="72">
        <f t="array" ref="L3">IFERROR(_xlfn.STDEV.P(_xlfn._xlws.FILTER($E$2:$E$2000,(IFERROR(MONTH($C$2:$C$2000),0)=2)*ISNUMBER($D$2:$D$2000))),0)</f>
        <v/>
      </c>
      <c r="M3" s="72">
        <f>IFERROR($M$2*N3/$N$2,"")</f>
        <v/>
      </c>
      <c r="N3" s="72">
        <f t="array" ref="N3">IFERROR(AVERAGE(_xlfn._xlws.FILTER($D$2:$D$2000,(IFERROR(MONTH($C$2:$C$2000),0)=2)*(IFERROR(YEAR($C$2:$C$2000),0)=YEAR(TODAY())))),"")</f>
        <v/>
      </c>
      <c r="O3" s="72">
        <f t="array" ref="O3">AVERAGE(_xlfn._xlws.FILTER($D$2:$D$2000,(IFERROR(MONTH($C$2:$C$2000),0)=2)*ISNUMBER($D$2:$D$2000)))</f>
        <v/>
      </c>
      <c r="P3" s="72">
        <f t="array" ref="P3">_xlfn.STDEV.P(_xlfn._xlws.FILTER($D$2:$D$2000,(IFERROR(MONTH($C$2:$C$2000),0)=2)*ISNUMBER($D$2:$D$2000)))</f>
        <v/>
      </c>
      <c r="Q3" s="72">
        <f>O3+(1*P3)</f>
        <v/>
      </c>
      <c r="R3" s="72">
        <f>O3+(2*P3)</f>
        <v/>
      </c>
      <c r="S3" s="72">
        <f>O3+(-1*P3)</f>
        <v/>
      </c>
      <c r="T3" s="72">
        <f>O3+(-2*P3)</f>
        <v/>
      </c>
      <c r="V3" s="23">
        <f>1</f>
        <v/>
      </c>
      <c r="W3" s="73">
        <f>DATE(2026,7,1)</f>
        <v/>
      </c>
      <c r="X3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4" t="inlineStr">
        <is>
          <t>20/12/2002</t>
        </is>
      </c>
      <c r="B4" s="31" t="n">
        <v>3.0925</v>
      </c>
      <c r="C4" s="69" t="n">
        <v>37653</v>
      </c>
      <c r="D4" s="70">
        <f t="array" ref="D4">IF(C4="","",IFERROR(AVERAGE(_xlfn._xlws.FILTER($B$2:$B$2000,(IFERROR(VALUE(MID($A$2:$A$2000,4,2)),0)=MONTH(C4))*(IFERROR(VALUE(RIGHT($A$2:$A$2000,4)),0)=YEAR(C4)))),""))</f>
        <v/>
      </c>
      <c r="E4" s="62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4" s="71" t="inlineStr">
        <is>
          <t>Março</t>
        </is>
      </c>
      <c r="G4" s="72">
        <f>G$2*O4/O$2</f>
        <v/>
      </c>
      <c r="H4" s="72">
        <f>$G4+(1*$L4)</f>
        <v/>
      </c>
      <c r="I4" s="72">
        <f>$G4+(2*$L4)</f>
        <v/>
      </c>
      <c r="J4" s="72">
        <f>$G4+(-1*$L4)</f>
        <v/>
      </c>
      <c r="K4" s="72">
        <f>$G4+(-2*$L4)</f>
        <v/>
      </c>
      <c r="L4" s="72">
        <f t="array" ref="L4">IFERROR(_xlfn.STDEV.P(_xlfn._xlws.FILTER($E$2:$E$2000,(IFERROR(MONTH($C$2:$C$2000),0)=3)*ISNUMBER($D$2:$D$2000))),0)</f>
        <v/>
      </c>
      <c r="M4" s="72">
        <f>IFERROR($M$2*N4/$N$2,"")</f>
        <v/>
      </c>
      <c r="N4" s="72">
        <f t="array" ref="N4">IFERROR(AVERAGE(_xlfn._xlws.FILTER($D$2:$D$2000,(IFERROR(MONTH($C$2:$C$2000),0)=3)*(IFERROR(YEAR($C$2:$C$2000),0)=YEAR(TODAY())))),"")</f>
        <v/>
      </c>
      <c r="O4" s="72">
        <f t="array" ref="O4">AVERAGE(_xlfn._xlws.FILTER($D$2:$D$2000,(IFERROR(MONTH($C$2:$C$2000),0)=3)*ISNUMBER($D$2:$D$2000)))</f>
        <v/>
      </c>
      <c r="P4" s="72">
        <f t="array" ref="P4">_xlfn.STDEV.P(_xlfn._xlws.FILTER($D$2:$D$2000,(IFERROR(MONTH($C$2:$C$2000),0)=3)*ISNUMBER($D$2:$D$2000)))</f>
        <v/>
      </c>
      <c r="Q4" s="72">
        <f>O4+(1*P4)</f>
        <v/>
      </c>
      <c r="R4" s="72">
        <f>O4+(2*P4)</f>
        <v/>
      </c>
      <c r="S4" s="72">
        <f>O4+(-1*P4)</f>
        <v/>
      </c>
      <c r="T4" s="72">
        <f>O4+(-2*P4)</f>
        <v/>
      </c>
      <c r="V4" s="23">
        <f>1</f>
        <v/>
      </c>
      <c r="W4" s="73">
        <f>DATE(2026,7,1)</f>
        <v/>
      </c>
      <c r="X4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4" t="inlineStr">
        <is>
          <t>27/12/2002</t>
        </is>
      </c>
      <c r="B5" s="31" t="n">
        <v>3.0382</v>
      </c>
      <c r="C5" s="69" t="n">
        <v>37681</v>
      </c>
      <c r="D5" s="70">
        <f t="array" ref="D5">IF(C5="","",IFERROR(AVERAGE(_xlfn._xlws.FILTER($B$2:$B$2000,(IFERROR(VALUE(MID($A$2:$A$2000,4,2)),0)=MONTH(C5))*(IFERROR(VALUE(RIGHT($A$2:$A$2000,4)),0)=YEAR(C5)))),""))</f>
        <v/>
      </c>
      <c r="E5" s="62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5" s="71" t="inlineStr">
        <is>
          <t>Abril</t>
        </is>
      </c>
      <c r="G5" s="72">
        <f>G$2*O5/O$2</f>
        <v/>
      </c>
      <c r="H5" s="72">
        <f>$G5+(1*$L5)</f>
        <v/>
      </c>
      <c r="I5" s="72">
        <f>$G5+(2*$L5)</f>
        <v/>
      </c>
      <c r="J5" s="72">
        <f>$G5+(-1*$L5)</f>
        <v/>
      </c>
      <c r="K5" s="72">
        <f>$G5+(-2*$L5)</f>
        <v/>
      </c>
      <c r="L5" s="72">
        <f t="array" ref="L5">IFERROR(_xlfn.STDEV.P(_xlfn._xlws.FILTER($E$2:$E$2000,(IFERROR(MONTH($C$2:$C$2000),0)=4)*ISNUMBER($D$2:$D$2000))),0)</f>
        <v/>
      </c>
      <c r="M5" s="72">
        <f>IFERROR($M$2*N5/$N$2,"")</f>
        <v/>
      </c>
      <c r="N5" s="72">
        <f t="array" ref="N5">IFERROR(AVERAGE(_xlfn._xlws.FILTER($D$2:$D$2000,(IFERROR(MONTH($C$2:$C$2000),0)=4)*(IFERROR(YEAR($C$2:$C$2000),0)=YEAR(TODAY())))),"")</f>
        <v/>
      </c>
      <c r="O5" s="72">
        <f t="array" ref="O5">AVERAGE(_xlfn._xlws.FILTER($D$2:$D$2000,(IFERROR(MONTH($C$2:$C$2000),0)=4)*ISNUMBER($D$2:$D$2000)))</f>
        <v/>
      </c>
      <c r="P5" s="72">
        <f t="array" ref="P5">_xlfn.STDEV.P(_xlfn._xlws.FILTER($D$2:$D$2000,(IFERROR(MONTH($C$2:$C$2000),0)=4)*ISNUMBER($D$2:$D$2000)))</f>
        <v/>
      </c>
      <c r="Q5" s="72">
        <f>O5+(1*P5)</f>
        <v/>
      </c>
      <c r="R5" s="72">
        <f>O5+(2*P5)</f>
        <v/>
      </c>
      <c r="S5" s="72">
        <f>O5+(-1*P5)</f>
        <v/>
      </c>
      <c r="T5" s="72">
        <f>O5+(-2*P5)</f>
        <v/>
      </c>
      <c r="V5" s="23">
        <f>1</f>
        <v/>
      </c>
      <c r="W5" s="73">
        <f>DATE(2026,7,1)</f>
        <v/>
      </c>
      <c r="X5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4" t="inlineStr">
        <is>
          <t>03/01/2003</t>
        </is>
      </c>
      <c r="B6" s="31" t="n">
        <v>3.1145</v>
      </c>
      <c r="C6" s="69" t="n">
        <v>37712</v>
      </c>
      <c r="D6" s="70">
        <f t="array" ref="D6">IF(C6="","",IFERROR(AVERAGE(_xlfn._xlws.FILTER($B$2:$B$2000,(IFERROR(VALUE(MID($A$2:$A$2000,4,2)),0)=MONTH(C6))*(IFERROR(VALUE(RIGHT($A$2:$A$2000,4)),0)=YEAR(C6)))),""))</f>
        <v/>
      </c>
      <c r="E6" s="62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6" s="71" t="inlineStr">
        <is>
          <t>Maio</t>
        </is>
      </c>
      <c r="G6" s="72">
        <f>G$2*O6/O$2</f>
        <v/>
      </c>
      <c r="H6" s="72">
        <f>$G6+(1*$L6)</f>
        <v/>
      </c>
      <c r="I6" s="72">
        <f>$G6+(2*$L6)</f>
        <v/>
      </c>
      <c r="J6" s="72">
        <f>$G6+(-1*$L6)</f>
        <v/>
      </c>
      <c r="K6" s="72">
        <f>$G6+(-2*$L6)</f>
        <v/>
      </c>
      <c r="L6" s="72">
        <f t="array" ref="L6">IFERROR(_xlfn.STDEV.P(_xlfn._xlws.FILTER($E$2:$E$2000,(IFERROR(MONTH($C$2:$C$2000),0)=5)*ISNUMBER($D$2:$D$2000))),0)</f>
        <v/>
      </c>
      <c r="M6" s="72">
        <f>IFERROR($M$2*N6/$N$2,"")</f>
        <v/>
      </c>
      <c r="N6" s="72">
        <f t="array" ref="N6">IFERROR(AVERAGE(_xlfn._xlws.FILTER($D$2:$D$2000,(IFERROR(MONTH($C$2:$C$2000),0)=5)*(IFERROR(YEAR($C$2:$C$2000),0)=YEAR(TODAY())))),"")</f>
        <v/>
      </c>
      <c r="O6" s="72">
        <f t="array" ref="O6">AVERAGE(_xlfn._xlws.FILTER($D$2:$D$2000,(IFERROR(MONTH($C$2:$C$2000),0)=5)*ISNUMBER($D$2:$D$2000)))</f>
        <v/>
      </c>
      <c r="P6" s="72">
        <f t="array" ref="P6">_xlfn.STDEV.P(_xlfn._xlws.FILTER($D$2:$D$2000,(IFERROR(MONTH($C$2:$C$2000),0)=5)*ISNUMBER($D$2:$D$2000)))</f>
        <v/>
      </c>
      <c r="Q6" s="72">
        <f>O6+(1*P6)</f>
        <v/>
      </c>
      <c r="R6" s="72">
        <f>O6+(2*P6)</f>
        <v/>
      </c>
      <c r="S6" s="72">
        <f>O6+(-1*P6)</f>
        <v/>
      </c>
      <c r="T6" s="72">
        <f>O6+(-2*P6)</f>
        <v/>
      </c>
      <c r="V6" s="23">
        <f>1</f>
        <v/>
      </c>
      <c r="W6" s="73">
        <f>DATE(2026,7,1)</f>
        <v/>
      </c>
      <c r="X6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4" t="inlineStr">
        <is>
          <t>10/01/2003</t>
        </is>
      </c>
      <c r="B7" s="31" t="n">
        <v>3.3908</v>
      </c>
      <c r="C7" s="69" t="n">
        <v>37742</v>
      </c>
      <c r="D7" s="70">
        <f t="array" ref="D7">IF(C7="","",IFERROR(AVERAGE(_xlfn._xlws.FILTER($B$2:$B$2000,(IFERROR(VALUE(MID($A$2:$A$2000,4,2)),0)=MONTH(C7))*(IFERROR(VALUE(RIGHT($A$2:$A$2000,4)),0)=YEAR(C7)))),""))</f>
        <v/>
      </c>
      <c r="E7" s="62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7" s="71" t="inlineStr">
        <is>
          <t>Junho</t>
        </is>
      </c>
      <c r="G7" s="72">
        <f>G$2*O7/O$2</f>
        <v/>
      </c>
      <c r="H7" s="72">
        <f>$G7+(1*$L7)</f>
        <v/>
      </c>
      <c r="I7" s="72">
        <f>$G7+(2*$L7)</f>
        <v/>
      </c>
      <c r="J7" s="72">
        <f>$G7+(-1*$L7)</f>
        <v/>
      </c>
      <c r="K7" s="72">
        <f>$G7+(-2*$L7)</f>
        <v/>
      </c>
      <c r="L7" s="72">
        <f t="array" ref="L7">IFERROR(_xlfn.STDEV.P(_xlfn._xlws.FILTER($E$2:$E$2000,(IFERROR(MONTH($C$2:$C$2000),0)=6)*ISNUMBER($D$2:$D$2000))),0)</f>
        <v/>
      </c>
      <c r="M7" s="72">
        <f>IFERROR($M$2*N7/$N$2,"")</f>
        <v/>
      </c>
      <c r="N7" s="72">
        <f t="array" ref="N7">IFERROR(AVERAGE(_xlfn._xlws.FILTER($D$2:$D$2000,(IFERROR(MONTH($C$2:$C$2000),0)=6)*(IFERROR(YEAR($C$2:$C$2000),0)=YEAR(TODAY())))),"")</f>
        <v/>
      </c>
      <c r="O7" s="72">
        <f t="array" ref="O7">AVERAGE(_xlfn._xlws.FILTER($D$2:$D$2000,(IFERROR(MONTH($C$2:$C$2000),0)=6)*ISNUMBER($D$2:$D$2000)))</f>
        <v/>
      </c>
      <c r="P7" s="72">
        <f t="array" ref="P7">_xlfn.STDEV.P(_xlfn._xlws.FILTER($D$2:$D$2000,(IFERROR(MONTH($C$2:$C$2000),0)=6)*ISNUMBER($D$2:$D$2000)))</f>
        <v/>
      </c>
      <c r="Q7" s="72">
        <f>O7+(1*P7)</f>
        <v/>
      </c>
      <c r="R7" s="72">
        <f>O7+(2*P7)</f>
        <v/>
      </c>
      <c r="S7" s="72">
        <f>O7+(-1*P7)</f>
        <v/>
      </c>
      <c r="T7" s="72">
        <f>O7+(-2*P7)</f>
        <v/>
      </c>
      <c r="V7" s="23">
        <f>1</f>
        <v/>
      </c>
      <c r="W7" s="73">
        <f>DATE(2026,7,1)</f>
        <v/>
      </c>
      <c r="X7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4" t="inlineStr">
        <is>
          <t>17/01/2003</t>
        </is>
      </c>
      <c r="B8" s="31" t="n">
        <v>3.5054</v>
      </c>
      <c r="C8" s="69" t="n">
        <v>37773</v>
      </c>
      <c r="D8" s="70">
        <f t="array" ref="D8">IF(C8="","",IFERROR(AVERAGE(_xlfn._xlws.FILTER($B$2:$B$2000,(IFERROR(VALUE(MID($A$2:$A$2000,4,2)),0)=MONTH(C8))*(IFERROR(VALUE(RIGHT($A$2:$A$2000,4)),0)=YEAR(C8)))),""))</f>
        <v/>
      </c>
      <c r="E8" s="62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8" s="71" t="inlineStr">
        <is>
          <t>Julho</t>
        </is>
      </c>
      <c r="G8" s="72">
        <f>G$2*O8/O$2</f>
        <v/>
      </c>
      <c r="H8" s="72">
        <f>$G8+(1*$L8)</f>
        <v/>
      </c>
      <c r="I8" s="72">
        <f>$G8+(2*$L8)</f>
        <v/>
      </c>
      <c r="J8" s="72">
        <f>$G8+(-1*$L8)</f>
        <v/>
      </c>
      <c r="K8" s="72">
        <f>$G8+(-2*$L8)</f>
        <v/>
      </c>
      <c r="L8" s="72">
        <f t="array" ref="L8">IFERROR(_xlfn.STDEV.P(_xlfn._xlws.FILTER($E$2:$E$2000,(IFERROR(MONTH($C$2:$C$2000),0)=7)*ISNUMBER($D$2:$D$2000))),0)</f>
        <v/>
      </c>
      <c r="M8" s="72">
        <f>IFERROR($M$2*N8/$N$2,"")</f>
        <v/>
      </c>
      <c r="N8" s="72">
        <f t="array" ref="N8">IFERROR(AVERAGE(_xlfn._xlws.FILTER($D$2:$D$2000,(IFERROR(MONTH($C$2:$C$2000),0)=7)*(IFERROR(YEAR($C$2:$C$2000),0)=YEAR(TODAY())))),"")</f>
        <v/>
      </c>
      <c r="O8" s="72">
        <f t="array" ref="O8">AVERAGE(_xlfn._xlws.FILTER($D$2:$D$2000,(IFERROR(MONTH($C$2:$C$2000),0)=7)*ISNUMBER($D$2:$D$2000)))</f>
        <v/>
      </c>
      <c r="P8" s="72">
        <f t="array" ref="P8">_xlfn.STDEV.P(_xlfn._xlws.FILTER($D$2:$D$2000,(IFERROR(MONTH($C$2:$C$2000),0)=7)*ISNUMBER($D$2:$D$2000)))</f>
        <v/>
      </c>
      <c r="Q8" s="72">
        <f>O8+(1*P8)</f>
        <v/>
      </c>
      <c r="R8" s="72">
        <f>O8+(2*P8)</f>
        <v/>
      </c>
      <c r="S8" s="72">
        <f>O8+(-1*P8)</f>
        <v/>
      </c>
      <c r="T8" s="72">
        <f>O8+(-2*P8)</f>
        <v/>
      </c>
      <c r="V8" s="23">
        <f>1</f>
        <v/>
      </c>
      <c r="W8" s="73">
        <f>DATE(2026,7,1)</f>
        <v/>
      </c>
      <c r="X8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4" t="inlineStr">
        <is>
          <t>24/01/2003</t>
        </is>
      </c>
      <c r="B9" s="31" t="n">
        <v>3.683</v>
      </c>
      <c r="C9" s="69" t="n">
        <v>37803</v>
      </c>
      <c r="D9" s="70">
        <f t="array" ref="D9">IF(C9="","",IFERROR(AVERAGE(_xlfn._xlws.FILTER($B$2:$B$2000,(IFERROR(VALUE(MID($A$2:$A$2000,4,2)),0)=MONTH(C9))*(IFERROR(VALUE(RIGHT($A$2:$A$2000,4)),0)=YEAR(C9)))),""))</f>
        <v/>
      </c>
      <c r="E9" s="62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9" s="71" t="inlineStr">
        <is>
          <t>Agosto</t>
        </is>
      </c>
      <c r="G9" s="72">
        <f>G$2*O9/O$2</f>
        <v/>
      </c>
      <c r="H9" s="72">
        <f>$G9+(1*$L9)</f>
        <v/>
      </c>
      <c r="I9" s="72">
        <f>$G9+(2*$L9)</f>
        <v/>
      </c>
      <c r="J9" s="72">
        <f>$G9+(-1*$L9)</f>
        <v/>
      </c>
      <c r="K9" s="72">
        <f>$G9+(-2*$L9)</f>
        <v/>
      </c>
      <c r="L9" s="72">
        <f t="array" ref="L9">IFERROR(_xlfn.STDEV.P(_xlfn._xlws.FILTER($E$2:$E$2000,(IFERROR(MONTH($C$2:$C$2000),0)=8)*ISNUMBER($D$2:$D$2000))),0)</f>
        <v/>
      </c>
      <c r="M9" s="72">
        <f>IFERROR($M$2*N9/$N$2,"")</f>
        <v/>
      </c>
      <c r="N9" s="72">
        <f t="array" ref="N9">IFERROR(AVERAGE(_xlfn._xlws.FILTER($D$2:$D$2000,(IFERROR(MONTH($C$2:$C$2000),0)=8)*(IFERROR(YEAR($C$2:$C$2000),0)=YEAR(TODAY())))),"")</f>
        <v/>
      </c>
      <c r="O9" s="72">
        <f t="array" ref="O9">AVERAGE(_xlfn._xlws.FILTER($D$2:$D$2000,(IFERROR(MONTH($C$2:$C$2000),0)=8)*ISNUMBER($D$2:$D$2000)))</f>
        <v/>
      </c>
      <c r="P9" s="72">
        <f t="array" ref="P9">_xlfn.STDEV.P(_xlfn._xlws.FILTER($D$2:$D$2000,(IFERROR(MONTH($C$2:$C$2000),0)=8)*ISNUMBER($D$2:$D$2000)))</f>
        <v/>
      </c>
      <c r="Q9" s="72">
        <f>O9+(1*P9)</f>
        <v/>
      </c>
      <c r="R9" s="72">
        <f>O9+(2*P9)</f>
        <v/>
      </c>
      <c r="S9" s="72">
        <f>O9+(-1*P9)</f>
        <v/>
      </c>
      <c r="T9" s="72">
        <f>O9+(-2*P9)</f>
        <v/>
      </c>
      <c r="V9" s="23">
        <f>1</f>
        <v/>
      </c>
      <c r="W9" s="73">
        <f>DATE(2026,7,1)</f>
        <v/>
      </c>
      <c r="X9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4" t="inlineStr">
        <is>
          <t>31/01/2003</t>
        </is>
      </c>
      <c r="B10" s="31" t="n">
        <v>3.6689</v>
      </c>
      <c r="C10" s="69" t="n">
        <v>37834</v>
      </c>
      <c r="D10" s="70">
        <f t="array" ref="D10">IF(C10="","",IFERROR(AVERAGE(_xlfn._xlws.FILTER($B$2:$B$2000,(IFERROR(VALUE(MID($A$2:$A$2000,4,2)),0)=MONTH(C10))*(IFERROR(VALUE(RIGHT($A$2:$A$2000,4)),0)=YEAR(C10)))),""))</f>
        <v/>
      </c>
      <c r="E10" s="62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0" s="71" t="inlineStr">
        <is>
          <t>Setembro</t>
        </is>
      </c>
      <c r="G10" s="72">
        <f>G$2*O10/O$2</f>
        <v/>
      </c>
      <c r="H10" s="72">
        <f>$G10+(1*$L10)</f>
        <v/>
      </c>
      <c r="I10" s="72">
        <f>$G10+(2*$L10)</f>
        <v/>
      </c>
      <c r="J10" s="72">
        <f>$G10+(-1*$L10)</f>
        <v/>
      </c>
      <c r="K10" s="72">
        <f>$G10+(-2*$L10)</f>
        <v/>
      </c>
      <c r="L10" s="72">
        <f t="array" ref="L10">IFERROR(_xlfn.STDEV.P(_xlfn._xlws.FILTER($E$2:$E$2000,(IFERROR(MONTH($C$2:$C$2000),0)=9)*ISNUMBER($D$2:$D$2000))),0)</f>
        <v/>
      </c>
      <c r="M10" s="72">
        <f>IFERROR($M$2*N10/$N$2,"")</f>
        <v/>
      </c>
      <c r="N10" s="72">
        <f t="array" ref="N10">IFERROR(AVERAGE(_xlfn._xlws.FILTER($D$2:$D$2000,(IFERROR(MONTH($C$2:$C$2000),0)=9)*(IFERROR(YEAR($C$2:$C$2000),0)=YEAR(TODAY())))),"")</f>
        <v/>
      </c>
      <c r="O10" s="72">
        <f t="array" ref="O10">AVERAGE(_xlfn._xlws.FILTER($D$2:$D$2000,(IFERROR(MONTH($C$2:$C$2000),0)=9)*ISNUMBER($D$2:$D$2000)))</f>
        <v/>
      </c>
      <c r="P10" s="72">
        <f t="array" ref="P10">_xlfn.STDEV.P(_xlfn._xlws.FILTER($D$2:$D$2000,(IFERROR(MONTH($C$2:$C$2000),0)=9)*ISNUMBER($D$2:$D$2000)))</f>
        <v/>
      </c>
      <c r="Q10" s="72">
        <f>O10+(1*P10)</f>
        <v/>
      </c>
      <c r="R10" s="72">
        <f>O10+(2*P10)</f>
        <v/>
      </c>
      <c r="S10" s="72">
        <f>O10+(-1*P10)</f>
        <v/>
      </c>
      <c r="T10" s="72">
        <f>O10+(-2*P10)</f>
        <v/>
      </c>
      <c r="V10" s="23">
        <f>1</f>
        <v/>
      </c>
      <c r="W10" s="73">
        <f>DATE(2026,7,1)</f>
        <v/>
      </c>
      <c r="X10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4" t="inlineStr">
        <is>
          <t>07/02/2003</t>
        </is>
      </c>
      <c r="B11" s="31" t="n">
        <v>3.6971</v>
      </c>
      <c r="C11" s="69" t="n">
        <v>37865</v>
      </c>
      <c r="D11" s="70">
        <f t="array" ref="D11">IF(C11="","",IFERROR(AVERAGE(_xlfn._xlws.FILTER($B$2:$B$2000,(IFERROR(VALUE(MID($A$2:$A$2000,4,2)),0)=MONTH(C11))*(IFERROR(VALUE(RIGHT($A$2:$A$2000,4)),0)=YEAR(C11)))),""))</f>
        <v/>
      </c>
      <c r="E11" s="62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1" s="71" t="inlineStr">
        <is>
          <t>Outubro</t>
        </is>
      </c>
      <c r="G11" s="72">
        <f>G$2*O11/O$2</f>
        <v/>
      </c>
      <c r="H11" s="72">
        <f>$G11+(1*$L11)</f>
        <v/>
      </c>
      <c r="I11" s="72">
        <f>$G11+(2*$L11)</f>
        <v/>
      </c>
      <c r="J11" s="72">
        <f>$G11+(-1*$L11)</f>
        <v/>
      </c>
      <c r="K11" s="72">
        <f>$G11+(-2*$L11)</f>
        <v/>
      </c>
      <c r="L11" s="72">
        <f t="array" ref="L11">IFERROR(_xlfn.STDEV.P(_xlfn._xlws.FILTER($E$2:$E$2000,(IFERROR(MONTH($C$2:$C$2000),0)=10)*ISNUMBER($D$2:$D$2000))),0)</f>
        <v/>
      </c>
      <c r="M11" s="72">
        <f>IFERROR($M$2*N11/$N$2,"")</f>
        <v/>
      </c>
      <c r="N11" s="72">
        <f t="array" ref="N11">IFERROR(AVERAGE(_xlfn._xlws.FILTER($D$2:$D$2000,(IFERROR(MONTH($C$2:$C$2000),0)=10)*(IFERROR(YEAR($C$2:$C$2000),0)=YEAR(TODAY())))),"")</f>
        <v/>
      </c>
      <c r="O11" s="72">
        <f t="array" ref="O11">AVERAGE(_xlfn._xlws.FILTER($D$2:$D$2000,(IFERROR(MONTH($C$2:$C$2000),0)=10)*ISNUMBER($D$2:$D$2000)))</f>
        <v/>
      </c>
      <c r="P11" s="72">
        <f t="array" ref="P11">_xlfn.STDEV.P(_xlfn._xlws.FILTER($D$2:$D$2000,(IFERROR(MONTH($C$2:$C$2000),0)=10)*ISNUMBER($D$2:$D$2000)))</f>
        <v/>
      </c>
      <c r="Q11" s="72">
        <f>O11+(1*P11)</f>
        <v/>
      </c>
      <c r="R11" s="72">
        <f>O11+(2*P11)</f>
        <v/>
      </c>
      <c r="S11" s="72">
        <f>O11+(-1*P11)</f>
        <v/>
      </c>
      <c r="T11" s="72">
        <f>O11+(-2*P11)</f>
        <v/>
      </c>
      <c r="V11" s="23">
        <f>1</f>
        <v/>
      </c>
      <c r="W11" s="73">
        <f>DATE(2026,7,1)</f>
        <v/>
      </c>
      <c r="X11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4" t="inlineStr">
        <is>
          <t>14/02/2003</t>
        </is>
      </c>
      <c r="B12" s="31" t="n">
        <v>3.6055</v>
      </c>
      <c r="C12" s="69" t="n">
        <v>37895</v>
      </c>
      <c r="D12" s="70">
        <f t="array" ref="D12">IF(C12="","",IFERROR(AVERAGE(_xlfn._xlws.FILTER($B$2:$B$2000,(IFERROR(VALUE(MID($A$2:$A$2000,4,2)),0)=MONTH(C12))*(IFERROR(VALUE(RIGHT($A$2:$A$2000,4)),0)=YEAR(C12)))),""))</f>
        <v/>
      </c>
      <c r="E12" s="62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2" s="71" t="inlineStr">
        <is>
          <t>Novembro</t>
        </is>
      </c>
      <c r="G12" s="72">
        <f>G$2*O12/O$2</f>
        <v/>
      </c>
      <c r="H12" s="72">
        <f>$G12+(1*$L12)</f>
        <v/>
      </c>
      <c r="I12" s="72">
        <f>$G12+(2*$L12)</f>
        <v/>
      </c>
      <c r="J12" s="72">
        <f>$G12+(-1*$L12)</f>
        <v/>
      </c>
      <c r="K12" s="72">
        <f>$G12+(-2*$L12)</f>
        <v/>
      </c>
      <c r="L12" s="72">
        <f t="array" ref="L12">IFERROR(_xlfn.STDEV.P(_xlfn._xlws.FILTER($E$2:$E$2000,(IFERROR(MONTH($C$2:$C$2000),0)=11)*ISNUMBER($D$2:$D$2000))),0)</f>
        <v/>
      </c>
      <c r="M12" s="72">
        <f>IFERROR($M$2*N12/$N$2,"")</f>
        <v/>
      </c>
      <c r="N12" s="72">
        <f t="array" ref="N12">IFERROR(AVERAGE(_xlfn._xlws.FILTER($D$2:$D$2000,(IFERROR(MONTH($C$2:$C$2000),0)=11)*(IFERROR(YEAR($C$2:$C$2000),0)=YEAR(TODAY())))),"")</f>
        <v/>
      </c>
      <c r="O12" s="72">
        <f t="array" ref="O12">AVERAGE(_xlfn._xlws.FILTER($D$2:$D$2000,(IFERROR(MONTH($C$2:$C$2000),0)=11)*ISNUMBER($D$2:$D$2000)))</f>
        <v/>
      </c>
      <c r="P12" s="72">
        <f t="array" ref="P12">_xlfn.STDEV.P(_xlfn._xlws.FILTER($D$2:$D$2000,(IFERROR(MONTH($C$2:$C$2000),0)=11)*ISNUMBER($D$2:$D$2000)))</f>
        <v/>
      </c>
      <c r="Q12" s="72">
        <f>O12+(1*P12)</f>
        <v/>
      </c>
      <c r="R12" s="72">
        <f>O12+(2*P12)</f>
        <v/>
      </c>
      <c r="S12" s="72">
        <f>O12+(-1*P12)</f>
        <v/>
      </c>
      <c r="T12" s="72">
        <f>O12+(-2*P12)</f>
        <v/>
      </c>
      <c r="V12" s="23">
        <f>1</f>
        <v/>
      </c>
      <c r="W12" s="73">
        <f>DATE(2026,7,1)</f>
        <v/>
      </c>
      <c r="X12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4" t="inlineStr">
        <is>
          <t>21/02/2003</t>
        </is>
      </c>
      <c r="B13" s="31" t="n">
        <v>3.6368</v>
      </c>
      <c r="C13" s="69" t="n">
        <v>37926</v>
      </c>
      <c r="D13" s="70">
        <f t="array" ref="D13">IF(C13="","",IFERROR(AVERAGE(_xlfn._xlws.FILTER($B$2:$B$2000,(IFERROR(VALUE(MID($A$2:$A$2000,4,2)),0)=MONTH(C13))*(IFERROR(VALUE(RIGHT($A$2:$A$2000,4)),0)=YEAR(C13)))),""))</f>
        <v/>
      </c>
      <c r="E13" s="62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3" s="55" t="inlineStr">
        <is>
          <t>Dezembro</t>
        </is>
      </c>
      <c r="G13" s="79">
        <f>G$2*O13/O$2</f>
        <v/>
      </c>
      <c r="H13" s="79">
        <f>$G13+(1*$L13)</f>
        <v/>
      </c>
      <c r="I13" s="79">
        <f>$G13+(2*$L13)</f>
        <v/>
      </c>
      <c r="J13" s="79">
        <f>$G13+(-1*$L13)</f>
        <v/>
      </c>
      <c r="K13" s="79">
        <f>$G13+(-2*$L13)</f>
        <v/>
      </c>
      <c r="L13" s="79">
        <f t="array" ref="L13">IFERROR(_xlfn.STDEV.P(_xlfn._xlws.FILTER($E$2:$E$2000,(IFERROR(MONTH($C$2:$C$2000),0)=12)*ISNUMBER($D$2:$D$2000))),0)</f>
        <v/>
      </c>
      <c r="M13" s="79">
        <f>IFERROR($M$2*N13/$N$2,"")</f>
        <v/>
      </c>
      <c r="N13" s="79">
        <f t="array" ref="N13">IFERROR(AVERAGE(_xlfn._xlws.FILTER($D$2:$D$2000,(IFERROR(MONTH($C$2:$C$2000),0)=12)*(IFERROR(YEAR($C$2:$C$2000),0)=YEAR(TODAY())))),"")</f>
        <v/>
      </c>
      <c r="O13" s="79">
        <f t="array" ref="O13">AVERAGE(_xlfn._xlws.FILTER($D$2:$D$2000,(IFERROR(MONTH($C$2:$C$2000),0)=12)*ISNUMBER($D$2:$D$2000)))</f>
        <v/>
      </c>
      <c r="P13" s="79">
        <f t="array" ref="P13">_xlfn.STDEV.P(_xlfn._xlws.FILTER($D$2:$D$2000,(IFERROR(MONTH($C$2:$C$2000),0)=12)*ISNUMBER($D$2:$D$2000)))</f>
        <v/>
      </c>
      <c r="Q13" s="79">
        <f>O3+(1*P3)</f>
        <v/>
      </c>
      <c r="R13" s="79">
        <f>O3+(2*P3)</f>
        <v/>
      </c>
      <c r="S13" s="79">
        <f>O3+(-1*P3)</f>
        <v/>
      </c>
      <c r="T13" s="79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66">
        <f>DATE(2026,8,1)</f>
        <v/>
      </c>
      <c r="X13" s="6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4" t="inlineStr">
        <is>
          <t>28/02/2003</t>
        </is>
      </c>
      <c r="B14" s="31" t="n">
        <v>3.6469</v>
      </c>
      <c r="C14" s="69" t="n">
        <v>37956</v>
      </c>
      <c r="D14" s="70">
        <f t="array" ref="D14">IF(C14="","",IFERROR(AVERAGE(_xlfn._xlws.FILTER($B$2:$B$2000,(IFERROR(VALUE(MID($A$2:$A$2000,4,2)),0)=MONTH(C14))*(IFERROR(VALUE(RIGHT($A$2:$A$2000,4)),0)=YEAR(C14)))),""))</f>
        <v/>
      </c>
      <c r="E14" s="62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66">
        <f>DATE(2026,9,1)</f>
        <v/>
      </c>
      <c r="X14" s="6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4" t="inlineStr">
        <is>
          <t>07/03/2003</t>
        </is>
      </c>
      <c r="B15" s="31" t="n">
        <v>3.6904</v>
      </c>
      <c r="C15" s="69" t="n">
        <v>37987</v>
      </c>
      <c r="D15" s="70">
        <f t="array" ref="D15">IF(C15="","",IFERROR(AVERAGE(_xlfn._xlws.FILTER($B$2:$B$2000,(IFERROR(VALUE(MID($A$2:$A$2000,4,2)),0)=MONTH(C15))*(IFERROR(VALUE(RIGHT($A$2:$A$2000,4)),0)=YEAR(C15)))),""))</f>
        <v/>
      </c>
      <c r="E15" s="62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66">
        <f>DATE(2026,10,1)</f>
        <v/>
      </c>
      <c r="X15" s="6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4" t="inlineStr">
        <is>
          <t>14/03/2003</t>
        </is>
      </c>
      <c r="B16" s="31" t="n">
        <v>3.6932</v>
      </c>
      <c r="C16" s="69" t="n">
        <v>38018</v>
      </c>
      <c r="D16" s="70">
        <f t="array" ref="D16">IF(C16="","",IFERROR(AVERAGE(_xlfn._xlws.FILTER($B$2:$B$2000,(IFERROR(VALUE(MID($A$2:$A$2000,4,2)),0)=MONTH(C16))*(IFERROR(VALUE(RIGHT($A$2:$A$2000,4)),0)=YEAR(C16)))),""))</f>
        <v/>
      </c>
      <c r="E16" s="62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66">
        <f>DATE(2026,11,1)</f>
        <v/>
      </c>
      <c r="X16" s="6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4" t="inlineStr">
        <is>
          <t>21/03/2003</t>
        </is>
      </c>
      <c r="B17" s="31" t="n">
        <v>3.552</v>
      </c>
      <c r="C17" s="69" t="n">
        <v>38047</v>
      </c>
      <c r="D17" s="70">
        <f t="array" ref="D17">IF(C17="","",IFERROR(AVERAGE(_xlfn._xlws.FILTER($B$2:$B$2000,(IFERROR(VALUE(MID($A$2:$A$2000,4,2)),0)=MONTH(C17))*(IFERROR(VALUE(RIGHT($A$2:$A$2000,4)),0)=YEAR(C17)))),""))</f>
        <v/>
      </c>
      <c r="E17" s="62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66">
        <f>DATE(2026,12,1)</f>
        <v/>
      </c>
      <c r="X17" s="6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4" t="inlineStr">
        <is>
          <t>28/03/2003</t>
        </is>
      </c>
      <c r="B18" s="31" t="n">
        <v>3.4679</v>
      </c>
      <c r="C18" s="69" t="n">
        <v>38078</v>
      </c>
      <c r="D18" s="70">
        <f t="array" ref="D18">IF(C18="","",IFERROR(AVERAGE(_xlfn._xlws.FILTER($B$2:$B$2000,(IFERROR(VALUE(MID($A$2:$A$2000,4,2)),0)=MONTH(C18))*(IFERROR(VALUE(RIGHT($A$2:$A$2000,4)),0)=YEAR(C18)))),""))</f>
        <v/>
      </c>
      <c r="E18" s="62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66">
        <f>DATE(2027,1,1)</f>
        <v/>
      </c>
      <c r="X18" s="6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4" t="inlineStr">
        <is>
          <t>04/04/2003</t>
        </is>
      </c>
      <c r="B19" s="31" t="n">
        <v>3.4192</v>
      </c>
      <c r="C19" s="69" t="n">
        <v>38108</v>
      </c>
      <c r="D19" s="70">
        <f t="array" ref="D19">IF(C19="","",IFERROR(AVERAGE(_xlfn._xlws.FILTER($B$2:$B$2000,(IFERROR(VALUE(MID($A$2:$A$2000,4,2)),0)=MONTH(C19))*(IFERROR(VALUE(RIGHT($A$2:$A$2000,4)),0)=YEAR(C19)))),""))</f>
        <v/>
      </c>
      <c r="E19" s="62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66">
        <f>DATE(2027,2,1)</f>
        <v/>
      </c>
      <c r="X19" s="6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4" t="inlineStr">
        <is>
          <t>11/04/2003</t>
        </is>
      </c>
      <c r="B20" s="31" t="n">
        <v>3.4179</v>
      </c>
      <c r="C20" s="69" t="n">
        <v>38139</v>
      </c>
      <c r="D20" s="70">
        <f t="array" ref="D20">IF(C20="","",IFERROR(AVERAGE(_xlfn._xlws.FILTER($B$2:$B$2000,(IFERROR(VALUE(MID($A$2:$A$2000,4,2)),0)=MONTH(C20))*(IFERROR(VALUE(RIGHT($A$2:$A$2000,4)),0)=YEAR(C20)))),""))</f>
        <v/>
      </c>
      <c r="E20" s="62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66">
        <f>DATE(2027,3,1)</f>
        <v/>
      </c>
      <c r="X20" s="6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4" t="inlineStr">
        <is>
          <t>17/04/2003</t>
        </is>
      </c>
      <c r="B21" s="31" t="n">
        <v>3.4326</v>
      </c>
      <c r="C21" s="69" t="n">
        <v>38169</v>
      </c>
      <c r="D21" s="70">
        <f t="array" ref="D21">IF(C21="","",IFERROR(AVERAGE(_xlfn._xlws.FILTER($B$2:$B$2000,(IFERROR(VALUE(MID($A$2:$A$2000,4,2)),0)=MONTH(C21))*(IFERROR(VALUE(RIGHT($A$2:$A$2000,4)),0)=YEAR(C21)))),""))</f>
        <v/>
      </c>
      <c r="E21" s="62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64" t="n"/>
      <c r="X21" s="65" t="n"/>
    </row>
    <row r="22">
      <c r="A22" s="4" t="inlineStr">
        <is>
          <t>25/04/2003</t>
        </is>
      </c>
      <c r="B22" s="31" t="n">
        <v>3.4673</v>
      </c>
      <c r="C22" s="69" t="n">
        <v>38200</v>
      </c>
      <c r="D22" s="70">
        <f t="array" ref="D22">IF(C22="","",IFERROR(AVERAGE(_xlfn._xlws.FILTER($B$2:$B$2000,(IFERROR(VALUE(MID($A$2:$A$2000,4,2)),0)=MONTH(C22))*(IFERROR(VALUE(RIGHT($A$2:$A$2000,4)),0)=YEAR(C22)))),""))</f>
        <v/>
      </c>
      <c r="E22" s="62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64" t="n"/>
      <c r="X22" s="65" t="n"/>
    </row>
    <row r="23">
      <c r="A23" s="4" t="inlineStr">
        <is>
          <t>02/05/2003</t>
        </is>
      </c>
      <c r="B23" s="31" t="n">
        <v>3.3724</v>
      </c>
      <c r="C23" s="69" t="n">
        <v>38231</v>
      </c>
      <c r="D23" s="70">
        <f t="array" ref="D23">IF(C23="","",IFERROR(AVERAGE(_xlfn._xlws.FILTER($B$2:$B$2000,(IFERROR(VALUE(MID($A$2:$A$2000,4,2)),0)=MONTH(C23))*(IFERROR(VALUE(RIGHT($A$2:$A$2000,4)),0)=YEAR(C23)))),""))</f>
        <v/>
      </c>
      <c r="E23" s="62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64" t="n"/>
      <c r="X23" s="65" t="n"/>
    </row>
    <row r="24">
      <c r="A24" s="4" t="inlineStr">
        <is>
          <t>09/05/2003</t>
        </is>
      </c>
      <c r="B24" s="31" t="n">
        <v>3.2566</v>
      </c>
      <c r="C24" s="69" t="n">
        <v>38261</v>
      </c>
      <c r="D24" s="70">
        <f t="array" ref="D24">IF(C24="","",IFERROR(AVERAGE(_xlfn._xlws.FILTER($B$2:$B$2000,(IFERROR(VALUE(MID($A$2:$A$2000,4,2)),0)=MONTH(C24))*(IFERROR(VALUE(RIGHT($A$2:$A$2000,4)),0)=YEAR(C24)))),""))</f>
        <v/>
      </c>
      <c r="E24" s="62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64" t="n"/>
      <c r="X24" s="65" t="n"/>
    </row>
    <row r="25">
      <c r="A25" s="4" t="inlineStr">
        <is>
          <t>16/05/2003</t>
        </is>
      </c>
      <c r="B25" s="31" t="n">
        <v>3.1924</v>
      </c>
      <c r="C25" s="69" t="n">
        <v>38292</v>
      </c>
      <c r="D25" s="70">
        <f t="array" ref="D25">IF(C25="","",IFERROR(AVERAGE(_xlfn._xlws.FILTER($B$2:$B$2000,(IFERROR(VALUE(MID($A$2:$A$2000,4,2)),0)=MONTH(C25))*(IFERROR(VALUE(RIGHT($A$2:$A$2000,4)),0)=YEAR(C25)))),""))</f>
        <v/>
      </c>
      <c r="E25" s="62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64" t="n"/>
      <c r="X25" s="65" t="n"/>
    </row>
    <row r="26">
      <c r="A26" s="4" t="inlineStr">
        <is>
          <t>23/05/2003</t>
        </is>
      </c>
      <c r="B26" s="31" t="n">
        <v>2.831</v>
      </c>
      <c r="C26" s="69" t="n">
        <v>38322</v>
      </c>
      <c r="D26" s="70">
        <f t="array" ref="D26">IF(C26="","",IFERROR(AVERAGE(_xlfn._xlws.FILTER($B$2:$B$2000,(IFERROR(VALUE(MID($A$2:$A$2000,4,2)),0)=MONTH(C26))*(IFERROR(VALUE(RIGHT($A$2:$A$2000,4)),0)=YEAR(C26)))),""))</f>
        <v/>
      </c>
      <c r="E26" s="62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64" t="n"/>
      <c r="X26" s="65" t="n"/>
    </row>
    <row r="27">
      <c r="A27" s="4" t="inlineStr">
        <is>
          <t>30/05/2003</t>
        </is>
      </c>
      <c r="B27" s="31" t="n">
        <v>2.5822</v>
      </c>
      <c r="C27" s="69" t="n">
        <v>38353</v>
      </c>
      <c r="D27" s="70">
        <f t="array" ref="D27">IF(C27="","",IFERROR(AVERAGE(_xlfn._xlws.FILTER($B$2:$B$2000,(IFERROR(VALUE(MID($A$2:$A$2000,4,2)),0)=MONTH(C27))*(IFERROR(VALUE(RIGHT($A$2:$A$2000,4)),0)=YEAR(C27)))),""))</f>
        <v/>
      </c>
      <c r="E27" s="62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64" t="n"/>
      <c r="X27" s="65" t="n"/>
    </row>
    <row r="28">
      <c r="A28" s="4" t="inlineStr">
        <is>
          <t>06/06/2003</t>
        </is>
      </c>
      <c r="B28" s="31" t="n">
        <v>2.5124</v>
      </c>
      <c r="C28" s="69" t="n">
        <v>38384</v>
      </c>
      <c r="D28" s="70">
        <f t="array" ref="D28">IF(C28="","",IFERROR(AVERAGE(_xlfn._xlws.FILTER($B$2:$B$2000,(IFERROR(VALUE(MID($A$2:$A$2000,4,2)),0)=MONTH(C28))*(IFERROR(VALUE(RIGHT($A$2:$A$2000,4)),0)=YEAR(C28)))),""))</f>
        <v/>
      </c>
      <c r="E28" s="62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64" t="n"/>
      <c r="X28" s="65" t="n"/>
    </row>
    <row r="29">
      <c r="A29" s="4" t="inlineStr">
        <is>
          <t>13/06/2003</t>
        </is>
      </c>
      <c r="B29" s="31" t="n">
        <v>2.4136</v>
      </c>
      <c r="C29" s="69" t="n">
        <v>38412</v>
      </c>
      <c r="D29" s="70">
        <f t="array" ref="D29">IF(C29="","",IFERROR(AVERAGE(_xlfn._xlws.FILTER($B$2:$B$2000,(IFERROR(VALUE(MID($A$2:$A$2000,4,2)),0)=MONTH(C29))*(IFERROR(VALUE(RIGHT($A$2:$A$2000,4)),0)=YEAR(C29)))),""))</f>
        <v/>
      </c>
      <c r="E29" s="62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64" t="n"/>
      <c r="X29" s="65" t="n"/>
    </row>
    <row r="30">
      <c r="A30" s="4" t="inlineStr">
        <is>
          <t>20/06/2003</t>
        </is>
      </c>
      <c r="B30" s="31" t="n">
        <v>2.2867</v>
      </c>
      <c r="C30" s="69" t="n">
        <v>38443</v>
      </c>
      <c r="D30" s="70">
        <f t="array" ref="D30">IF(C30="","",IFERROR(AVERAGE(_xlfn._xlws.FILTER($B$2:$B$2000,(IFERROR(VALUE(MID($A$2:$A$2000,4,2)),0)=MONTH(C30))*(IFERROR(VALUE(RIGHT($A$2:$A$2000,4)),0)=YEAR(C30)))),""))</f>
        <v/>
      </c>
      <c r="E30" s="62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64" t="n"/>
      <c r="X30" s="65" t="n"/>
    </row>
    <row r="31">
      <c r="A31" s="4" t="inlineStr">
        <is>
          <t>27/06/2003</t>
        </is>
      </c>
      <c r="B31" s="31" t="n">
        <v>2.1424</v>
      </c>
      <c r="C31" s="69" t="n">
        <v>38473</v>
      </c>
      <c r="D31" s="70">
        <f t="array" ref="D31">IF(C31="","",IFERROR(AVERAGE(_xlfn._xlws.FILTER($B$2:$B$2000,(IFERROR(VALUE(MID($A$2:$A$2000,4,2)),0)=MONTH(C31))*(IFERROR(VALUE(RIGHT($A$2:$A$2000,4)),0)=YEAR(C31)))),""))</f>
        <v/>
      </c>
      <c r="E31" s="62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4" t="inlineStr">
        <is>
          <t>04/07/2003</t>
        </is>
      </c>
      <c r="B32" s="31" t="n">
        <v>1.9257</v>
      </c>
      <c r="C32" s="69" t="n">
        <v>38504</v>
      </c>
      <c r="D32" s="70">
        <f t="array" ref="D32">IF(C32="","",IFERROR(AVERAGE(_xlfn._xlws.FILTER($B$2:$B$2000,(IFERROR(VALUE(MID($A$2:$A$2000,4,2)),0)=MONTH(C32))*(IFERROR(VALUE(RIGHT($A$2:$A$2000,4)),0)=YEAR(C32)))),""))</f>
        <v/>
      </c>
      <c r="E32" s="62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4" t="inlineStr">
        <is>
          <t>11/07/2003</t>
        </is>
      </c>
      <c r="B33" s="31" t="n">
        <v>1.9244</v>
      </c>
      <c r="C33" s="69" t="n">
        <v>38534</v>
      </c>
      <c r="D33" s="70">
        <f t="array" ref="D33">IF(C33="","",IFERROR(AVERAGE(_xlfn._xlws.FILTER($B$2:$B$2000,(IFERROR(VALUE(MID($A$2:$A$2000,4,2)),0)=MONTH(C33))*(IFERROR(VALUE(RIGHT($A$2:$A$2000,4)),0)=YEAR(C33)))),""))</f>
        <v/>
      </c>
      <c r="E33" s="62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4" t="inlineStr">
        <is>
          <t>18/07/2003</t>
        </is>
      </c>
      <c r="B34" s="31" t="n">
        <v>1.9398</v>
      </c>
      <c r="C34" s="69" t="n">
        <v>38565</v>
      </c>
      <c r="D34" s="70">
        <f t="array" ref="D34">IF(C34="","",IFERROR(AVERAGE(_xlfn._xlws.FILTER($B$2:$B$2000,(IFERROR(VALUE(MID($A$2:$A$2000,4,2)),0)=MONTH(C34))*(IFERROR(VALUE(RIGHT($A$2:$A$2000,4)),0)=YEAR(C34)))),""))</f>
        <v/>
      </c>
      <c r="E34" s="62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4" t="inlineStr">
        <is>
          <t>25/07/2003</t>
        </is>
      </c>
      <c r="B35" s="31" t="n">
        <v>2.2092</v>
      </c>
      <c r="C35" s="69" t="n">
        <v>38596</v>
      </c>
      <c r="D35" s="70">
        <f t="array" ref="D35">IF(C35="","",IFERROR(AVERAGE(_xlfn._xlws.FILTER($B$2:$B$2000,(IFERROR(VALUE(MID($A$2:$A$2000,4,2)),0)=MONTH(C35))*(IFERROR(VALUE(RIGHT($A$2:$A$2000,4)),0)=YEAR(C35)))),""))</f>
        <v/>
      </c>
      <c r="E35" s="62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4" t="inlineStr">
        <is>
          <t>01/08/2003</t>
        </is>
      </c>
      <c r="B36" s="31" t="n">
        <v>2.4187</v>
      </c>
      <c r="C36" s="69" t="n">
        <v>38626</v>
      </c>
      <c r="D36" s="70">
        <f t="array" ref="D36">IF(C36="","",IFERROR(AVERAGE(_xlfn._xlws.FILTER($B$2:$B$2000,(IFERROR(VALUE(MID($A$2:$A$2000,4,2)),0)=MONTH(C36))*(IFERROR(VALUE(RIGHT($A$2:$A$2000,4)),0)=YEAR(C36)))),""))</f>
        <v/>
      </c>
      <c r="E36" s="62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4" t="inlineStr">
        <is>
          <t>08/08/2003</t>
        </is>
      </c>
      <c r="B37" s="31" t="n">
        <v>2.4543</v>
      </c>
      <c r="C37" s="69" t="n">
        <v>38657</v>
      </c>
      <c r="D37" s="70">
        <f t="array" ref="D37">IF(C37="","",IFERROR(AVERAGE(_xlfn._xlws.FILTER($B$2:$B$2000,(IFERROR(VALUE(MID($A$2:$A$2000,4,2)),0)=MONTH(C37))*(IFERROR(VALUE(RIGHT($A$2:$A$2000,4)),0)=YEAR(C37)))),""))</f>
        <v/>
      </c>
      <c r="E37" s="62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4" t="inlineStr">
        <is>
          <t>15/08/2003</t>
        </is>
      </c>
      <c r="B38" s="31" t="n">
        <v>2.5246</v>
      </c>
      <c r="C38" s="69" t="n">
        <v>38687</v>
      </c>
      <c r="D38" s="70">
        <f t="array" ref="D38">IF(C38="","",IFERROR(AVERAGE(_xlfn._xlws.FILTER($B$2:$B$2000,(IFERROR(VALUE(MID($A$2:$A$2000,4,2)),0)=MONTH(C38))*(IFERROR(VALUE(RIGHT($A$2:$A$2000,4)),0)=YEAR(C38)))),""))</f>
        <v/>
      </c>
      <c r="E38" s="62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4" t="inlineStr">
        <is>
          <t>22/08/2003</t>
        </is>
      </c>
      <c r="B39" s="31" t="n">
        <v>2.5279</v>
      </c>
      <c r="C39" s="69" t="n">
        <v>38718</v>
      </c>
      <c r="D39" s="70">
        <f t="array" ref="D39">IF(C39="","",IFERROR(AVERAGE(_xlfn._xlws.FILTER($B$2:$B$2000,(IFERROR(VALUE(MID($A$2:$A$2000,4,2)),0)=MONTH(C39))*(IFERROR(VALUE(RIGHT($A$2:$A$2000,4)),0)=YEAR(C39)))),""))</f>
        <v/>
      </c>
      <c r="E39" s="62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4" t="inlineStr">
        <is>
          <t>29/08/2003</t>
        </is>
      </c>
      <c r="B40" s="31" t="n">
        <v>2.5465</v>
      </c>
      <c r="C40" s="69" t="n">
        <v>38749</v>
      </c>
      <c r="D40" s="70">
        <f t="array" ref="D40">IF(C40="","",IFERROR(AVERAGE(_xlfn._xlws.FILTER($B$2:$B$2000,(IFERROR(VALUE(MID($A$2:$A$2000,4,2)),0)=MONTH(C40))*(IFERROR(VALUE(RIGHT($A$2:$A$2000,4)),0)=YEAR(C40)))),""))</f>
        <v/>
      </c>
      <c r="E40" s="62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4" t="inlineStr">
        <is>
          <t>05/09/2003</t>
        </is>
      </c>
      <c r="B41" s="31" t="n">
        <v>2.5042</v>
      </c>
      <c r="C41" s="69" t="n">
        <v>38777</v>
      </c>
      <c r="D41" s="70">
        <f t="array" ref="D41">IF(C41="","",IFERROR(AVERAGE(_xlfn._xlws.FILTER($B$2:$B$2000,(IFERROR(VALUE(MID($A$2:$A$2000,4,2)),0)=MONTH(C41))*(IFERROR(VALUE(RIGHT($A$2:$A$2000,4)),0)=YEAR(C41)))),""))</f>
        <v/>
      </c>
      <c r="E41" s="62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4" t="inlineStr">
        <is>
          <t>12/09/2003</t>
        </is>
      </c>
      <c r="B42" s="31" t="n">
        <v>2.4535</v>
      </c>
      <c r="C42" s="69" t="n">
        <v>38808</v>
      </c>
      <c r="D42" s="70">
        <f t="array" ref="D42">IF(C42="","",IFERROR(AVERAGE(_xlfn._xlws.FILTER($B$2:$B$2000,(IFERROR(VALUE(MID($A$2:$A$2000,4,2)),0)=MONTH(C42))*(IFERROR(VALUE(RIGHT($A$2:$A$2000,4)),0)=YEAR(C42)))),""))</f>
        <v/>
      </c>
      <c r="E42" s="62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4" t="inlineStr">
        <is>
          <t>19/09/2003</t>
        </is>
      </c>
      <c r="B43" s="31" t="n">
        <v>2.2655</v>
      </c>
      <c r="C43" s="69" t="n">
        <v>38838</v>
      </c>
      <c r="D43" s="70">
        <f t="array" ref="D43">IF(C43="","",IFERROR(AVERAGE(_xlfn._xlws.FILTER($B$2:$B$2000,(IFERROR(VALUE(MID($A$2:$A$2000,4,2)),0)=MONTH(C43))*(IFERROR(VALUE(RIGHT($A$2:$A$2000,4)),0)=YEAR(C43)))),""))</f>
        <v/>
      </c>
      <c r="E43" s="62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4" t="inlineStr">
        <is>
          <t>26/09/2003</t>
        </is>
      </c>
      <c r="B44" s="31" t="n">
        <v>2.178</v>
      </c>
      <c r="C44" s="69" t="n">
        <v>38869</v>
      </c>
      <c r="D44" s="70">
        <f t="array" ref="D44">IF(C44="","",IFERROR(AVERAGE(_xlfn._xlws.FILTER($B$2:$B$2000,(IFERROR(VALUE(MID($A$2:$A$2000,4,2)),0)=MONTH(C44))*(IFERROR(VALUE(RIGHT($A$2:$A$2000,4)),0)=YEAR(C44)))),""))</f>
        <v/>
      </c>
      <c r="E44" s="62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4" t="inlineStr">
        <is>
          <t>03/10/2003</t>
        </is>
      </c>
      <c r="B45" s="31" t="n">
        <v>1.9776</v>
      </c>
      <c r="C45" s="69" t="n">
        <v>38899</v>
      </c>
      <c r="D45" s="70">
        <f t="array" ref="D45">IF(C45="","",IFERROR(AVERAGE(_xlfn._xlws.FILTER($B$2:$B$2000,(IFERROR(VALUE(MID($A$2:$A$2000,4,2)),0)=MONTH(C45))*(IFERROR(VALUE(RIGHT($A$2:$A$2000,4)),0)=YEAR(C45)))),""))</f>
        <v/>
      </c>
      <c r="E45" s="62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4" t="inlineStr">
        <is>
          <t>10/10/2003</t>
        </is>
      </c>
      <c r="B46" s="31" t="n">
        <v>2.1286</v>
      </c>
      <c r="C46" s="69" t="n">
        <v>38930</v>
      </c>
      <c r="D46" s="70">
        <f t="array" ref="D46">IF(C46="","",IFERROR(AVERAGE(_xlfn._xlws.FILTER($B$2:$B$2000,(IFERROR(VALUE(MID($A$2:$A$2000,4,2)),0)=MONTH(C46))*(IFERROR(VALUE(RIGHT($A$2:$A$2000,4)),0)=YEAR(C46)))),""))</f>
        <v/>
      </c>
      <c r="E46" s="62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4" t="inlineStr">
        <is>
          <t>17/10/2003</t>
        </is>
      </c>
      <c r="B47" s="31" t="n">
        <v>2.2667</v>
      </c>
      <c r="C47" s="69" t="n">
        <v>38961</v>
      </c>
      <c r="D47" s="70">
        <f t="array" ref="D47">IF(C47="","",IFERROR(AVERAGE(_xlfn._xlws.FILTER($B$2:$B$2000,(IFERROR(VALUE(MID($A$2:$A$2000,4,2)),0)=MONTH(C47))*(IFERROR(VALUE(RIGHT($A$2:$A$2000,4)),0)=YEAR(C47)))),""))</f>
        <v/>
      </c>
      <c r="E47" s="62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4" t="inlineStr">
        <is>
          <t>24/10/2003</t>
        </is>
      </c>
      <c r="B48" s="31" t="n">
        <v>2.2768</v>
      </c>
      <c r="C48" s="69" t="n">
        <v>38991</v>
      </c>
      <c r="D48" s="70">
        <f t="array" ref="D48">IF(C48="","",IFERROR(AVERAGE(_xlfn._xlws.FILTER($B$2:$B$2000,(IFERROR(VALUE(MID($A$2:$A$2000,4,2)),0)=MONTH(C48))*(IFERROR(VALUE(RIGHT($A$2:$A$2000,4)),0)=YEAR(C48)))),""))</f>
        <v/>
      </c>
      <c r="E48" s="62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4" t="inlineStr">
        <is>
          <t>31/10/2003</t>
        </is>
      </c>
      <c r="B49" s="31" t="n">
        <v>2.0965</v>
      </c>
      <c r="C49" s="69" t="n">
        <v>39022</v>
      </c>
      <c r="D49" s="70">
        <f t="array" ref="D49">IF(C49="","",IFERROR(AVERAGE(_xlfn._xlws.FILTER($B$2:$B$2000,(IFERROR(VALUE(MID($A$2:$A$2000,4,2)),0)=MONTH(C49))*(IFERROR(VALUE(RIGHT($A$2:$A$2000,4)),0)=YEAR(C49)))),""))</f>
        <v/>
      </c>
      <c r="E49" s="62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4" t="inlineStr">
        <is>
          <t>07/11/2003</t>
        </is>
      </c>
      <c r="B50" s="31" t="n">
        <v>2.147</v>
      </c>
      <c r="C50" s="69" t="n">
        <v>39052</v>
      </c>
      <c r="D50" s="70">
        <f t="array" ref="D50">IF(C50="","",IFERROR(AVERAGE(_xlfn._xlws.FILTER($B$2:$B$2000,(IFERROR(VALUE(MID($A$2:$A$2000,4,2)),0)=MONTH(C50))*(IFERROR(VALUE(RIGHT($A$2:$A$2000,4)),0)=YEAR(C50)))),""))</f>
        <v/>
      </c>
      <c r="E50" s="62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4" t="inlineStr">
        <is>
          <t>14/11/2003</t>
        </is>
      </c>
      <c r="B51" s="31" t="n">
        <v>2.2824</v>
      </c>
      <c r="C51" s="69" t="n">
        <v>39083</v>
      </c>
      <c r="D51" s="70">
        <f t="array" ref="D51">IF(C51="","",IFERROR(AVERAGE(_xlfn._xlws.FILTER($B$2:$B$2000,(IFERROR(VALUE(MID($A$2:$A$2000,4,2)),0)=MONTH(C51))*(IFERROR(VALUE(RIGHT($A$2:$A$2000,4)),0)=YEAR(C51)))),""))</f>
        <v/>
      </c>
      <c r="E51" s="62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4" t="inlineStr">
        <is>
          <t>21/11/2003</t>
        </is>
      </c>
      <c r="B52" s="31" t="n">
        <v>2.2828</v>
      </c>
      <c r="C52" s="69" t="n">
        <v>39114</v>
      </c>
      <c r="D52" s="70">
        <f t="array" ref="D52">IF(C52="","",IFERROR(AVERAGE(_xlfn._xlws.FILTER($B$2:$B$2000,(IFERROR(VALUE(MID($A$2:$A$2000,4,2)),0)=MONTH(C52))*(IFERROR(VALUE(RIGHT($A$2:$A$2000,4)),0)=YEAR(C52)))),""))</f>
        <v/>
      </c>
      <c r="E52" s="62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4" t="inlineStr">
        <is>
          <t>28/11/2003</t>
        </is>
      </c>
      <c r="B53" s="31" t="n">
        <v>2.3354</v>
      </c>
      <c r="C53" s="69" t="n">
        <v>39142</v>
      </c>
      <c r="D53" s="70">
        <f t="array" ref="D53">IF(C53="","",IFERROR(AVERAGE(_xlfn._xlws.FILTER($B$2:$B$2000,(IFERROR(VALUE(MID($A$2:$A$2000,4,2)),0)=MONTH(C53))*(IFERROR(VALUE(RIGHT($A$2:$A$2000,4)),0)=YEAR(C53)))),""))</f>
        <v/>
      </c>
      <c r="E53" s="62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4" t="inlineStr">
        <is>
          <t>05/12/2003</t>
        </is>
      </c>
      <c r="B54" s="31" t="n">
        <v>2.4312</v>
      </c>
      <c r="C54" s="69" t="n">
        <v>39173</v>
      </c>
      <c r="D54" s="70">
        <f t="array" ref="D54">IF(C54="","",IFERROR(AVERAGE(_xlfn._xlws.FILTER($B$2:$B$2000,(IFERROR(VALUE(MID($A$2:$A$2000,4,2)),0)=MONTH(C54))*(IFERROR(VALUE(RIGHT($A$2:$A$2000,4)),0)=YEAR(C54)))),""))</f>
        <v/>
      </c>
      <c r="E54" s="62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4" t="inlineStr">
        <is>
          <t>12/12/2003</t>
        </is>
      </c>
      <c r="B55" s="31" t="n">
        <v>2.4735</v>
      </c>
      <c r="C55" s="69" t="n">
        <v>39203</v>
      </c>
      <c r="D55" s="70">
        <f t="array" ref="D55">IF(C55="","",IFERROR(AVERAGE(_xlfn._xlws.FILTER($B$2:$B$2000,(IFERROR(VALUE(MID($A$2:$A$2000,4,2)),0)=MONTH(C55))*(IFERROR(VALUE(RIGHT($A$2:$A$2000,4)),0)=YEAR(C55)))),""))</f>
        <v/>
      </c>
      <c r="E55" s="62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4" t="inlineStr">
        <is>
          <t>19/12/2003</t>
        </is>
      </c>
      <c r="B56" s="31" t="n">
        <v>2.4848</v>
      </c>
      <c r="C56" s="69" t="n">
        <v>39234</v>
      </c>
      <c r="D56" s="70">
        <f t="array" ref="D56">IF(C56="","",IFERROR(AVERAGE(_xlfn._xlws.FILTER($B$2:$B$2000,(IFERROR(VALUE(MID($A$2:$A$2000,4,2)),0)=MONTH(C56))*(IFERROR(VALUE(RIGHT($A$2:$A$2000,4)),0)=YEAR(C56)))),""))</f>
        <v/>
      </c>
      <c r="E56" s="62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4" t="inlineStr">
        <is>
          <t>26/12/2003</t>
        </is>
      </c>
      <c r="B57" s="31" t="n">
        <v>2.4437</v>
      </c>
      <c r="C57" s="69" t="n">
        <v>39264</v>
      </c>
      <c r="D57" s="70">
        <f t="array" ref="D57">IF(C57="","",IFERROR(AVERAGE(_xlfn._xlws.FILTER($B$2:$B$2000,(IFERROR(VALUE(MID($A$2:$A$2000,4,2)),0)=MONTH(C57))*(IFERROR(VALUE(RIGHT($A$2:$A$2000,4)),0)=YEAR(C57)))),""))</f>
        <v/>
      </c>
      <c r="E57" s="62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4" t="inlineStr">
        <is>
          <t>02/01/2004</t>
        </is>
      </c>
      <c r="B58" s="31" t="n">
        <v>2.4236</v>
      </c>
      <c r="C58" s="69" t="n">
        <v>39295</v>
      </c>
      <c r="D58" s="70">
        <f t="array" ref="D58">IF(C58="","",IFERROR(AVERAGE(_xlfn._xlws.FILTER($B$2:$B$2000,(IFERROR(VALUE(MID($A$2:$A$2000,4,2)),0)=MONTH(C58))*(IFERROR(VALUE(RIGHT($A$2:$A$2000,4)),0)=YEAR(C58)))),""))</f>
        <v/>
      </c>
      <c r="E58" s="62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4" t="inlineStr">
        <is>
          <t>09/01/2004</t>
        </is>
      </c>
      <c r="B59" s="31" t="n">
        <v>2.3565</v>
      </c>
      <c r="C59" s="69" t="n">
        <v>39326</v>
      </c>
      <c r="D59" s="70">
        <f t="array" ref="D59">IF(C59="","",IFERROR(AVERAGE(_xlfn._xlws.FILTER($B$2:$B$2000,(IFERROR(VALUE(MID($A$2:$A$2000,4,2)),0)=MONTH(C59))*(IFERROR(VALUE(RIGHT($A$2:$A$2000,4)),0)=YEAR(C59)))),""))</f>
        <v/>
      </c>
      <c r="E59" s="62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4" t="inlineStr">
        <is>
          <t>16/01/2004</t>
        </is>
      </c>
      <c r="B60" s="31" t="n">
        <v>2.2308</v>
      </c>
      <c r="C60" s="69" t="n">
        <v>39356</v>
      </c>
      <c r="D60" s="70">
        <f t="array" ref="D60">IF(C60="","",IFERROR(AVERAGE(_xlfn._xlws.FILTER($B$2:$B$2000,(IFERROR(VALUE(MID($A$2:$A$2000,4,2)),0)=MONTH(C60))*(IFERROR(VALUE(RIGHT($A$2:$A$2000,4)),0)=YEAR(C60)))),""))</f>
        <v/>
      </c>
      <c r="E60" s="62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4" t="inlineStr">
        <is>
          <t>23/01/2004</t>
        </is>
      </c>
      <c r="B61" s="31" t="n">
        <v>2.0328</v>
      </c>
      <c r="C61" s="69" t="n">
        <v>39387</v>
      </c>
      <c r="D61" s="70">
        <f t="array" ref="D61">IF(C61="","",IFERROR(AVERAGE(_xlfn._xlws.FILTER($B$2:$B$2000,(IFERROR(VALUE(MID($A$2:$A$2000,4,2)),0)=MONTH(C61))*(IFERROR(VALUE(RIGHT($A$2:$A$2000,4)),0)=YEAR(C61)))),""))</f>
        <v/>
      </c>
      <c r="E61" s="62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4" t="inlineStr">
        <is>
          <t>30/01/2004</t>
        </is>
      </c>
      <c r="B62" s="31" t="n">
        <v>2.0958</v>
      </c>
      <c r="C62" s="69" t="n">
        <v>39417</v>
      </c>
      <c r="D62" s="70">
        <f t="array" ref="D62">IF(C62="","",IFERROR(AVERAGE(_xlfn._xlws.FILTER($B$2:$B$2000,(IFERROR(VALUE(MID($A$2:$A$2000,4,2)),0)=MONTH(C62))*(IFERROR(VALUE(RIGHT($A$2:$A$2000,4)),0)=YEAR(C62)))),""))</f>
        <v/>
      </c>
      <c r="E62" s="62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4" t="inlineStr">
        <is>
          <t>06/02/2004</t>
        </is>
      </c>
      <c r="B63" s="31" t="n">
        <v>1.9181</v>
      </c>
      <c r="C63" s="69" t="n">
        <v>39448</v>
      </c>
      <c r="D63" s="70">
        <f t="array" ref="D63">IF(C63="","",IFERROR(AVERAGE(_xlfn._xlws.FILTER($B$2:$B$2000,(IFERROR(VALUE(MID($A$2:$A$2000,4,2)),0)=MONTH(C63))*(IFERROR(VALUE(RIGHT($A$2:$A$2000,4)),0)=YEAR(C63)))),""))</f>
        <v/>
      </c>
      <c r="E63" s="62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4" t="inlineStr">
        <is>
          <t>13/02/2004</t>
        </is>
      </c>
      <c r="B64" s="31" t="n">
        <v>1.4729</v>
      </c>
      <c r="C64" s="69" t="n">
        <v>39479</v>
      </c>
      <c r="D64" s="70">
        <f t="array" ref="D64">IF(C64="","",IFERROR(AVERAGE(_xlfn._xlws.FILTER($B$2:$B$2000,(IFERROR(VALUE(MID($A$2:$A$2000,4,2)),0)=MONTH(C64))*(IFERROR(VALUE(RIGHT($A$2:$A$2000,4)),0)=YEAR(C64)))),""))</f>
        <v/>
      </c>
      <c r="E64" s="62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4" t="inlineStr">
        <is>
          <t>20/02/2004</t>
        </is>
      </c>
      <c r="B65" s="31" t="n">
        <v>1.2632</v>
      </c>
      <c r="C65" s="69" t="n">
        <v>39508</v>
      </c>
      <c r="D65" s="70">
        <f t="array" ref="D65">IF(C65="","",IFERROR(AVERAGE(_xlfn._xlws.FILTER($B$2:$B$2000,(IFERROR(VALUE(MID($A$2:$A$2000,4,2)),0)=MONTH(C65))*(IFERROR(VALUE(RIGHT($A$2:$A$2000,4)),0)=YEAR(C65)))),""))</f>
        <v/>
      </c>
      <c r="E65" s="62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4" t="inlineStr">
        <is>
          <t>27/02/2004</t>
        </is>
      </c>
      <c r="B66" s="31" t="n">
        <v>1.4297</v>
      </c>
      <c r="C66" s="69" t="n">
        <v>39539</v>
      </c>
      <c r="D66" s="70">
        <f t="array" ref="D66">IF(C66="","",IFERROR(AVERAGE(_xlfn._xlws.FILTER($B$2:$B$2000,(IFERROR(VALUE(MID($A$2:$A$2000,4,2)),0)=MONTH(C66))*(IFERROR(VALUE(RIGHT($A$2:$A$2000,4)),0)=YEAR(C66)))),""))</f>
        <v/>
      </c>
      <c r="E66" s="62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4" t="inlineStr">
        <is>
          <t>05/03/2004</t>
        </is>
      </c>
      <c r="B67" s="31" t="n">
        <v>1.3886</v>
      </c>
      <c r="C67" s="69" t="n">
        <v>39569</v>
      </c>
      <c r="D67" s="70">
        <f t="array" ref="D67">IF(C67="","",IFERROR(AVERAGE(_xlfn._xlws.FILTER($B$2:$B$2000,(IFERROR(VALUE(MID($A$2:$A$2000,4,2)),0)=MONTH(C67))*(IFERROR(VALUE(RIGHT($A$2:$A$2000,4)),0)=YEAR(C67)))),""))</f>
        <v/>
      </c>
      <c r="E67" s="62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4" t="inlineStr">
        <is>
          <t>12/03/2004</t>
        </is>
      </c>
      <c r="B68" s="31" t="n">
        <v>1.2714</v>
      </c>
      <c r="C68" s="69" t="n">
        <v>39600</v>
      </c>
      <c r="D68" s="70">
        <f t="array" ref="D68">IF(C68="","",IFERROR(AVERAGE(_xlfn._xlws.FILTER($B$2:$B$2000,(IFERROR(VALUE(MID($A$2:$A$2000,4,2)),0)=MONTH(C68))*(IFERROR(VALUE(RIGHT($A$2:$A$2000,4)),0)=YEAR(C68)))),""))</f>
        <v/>
      </c>
      <c r="E68" s="62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4" t="inlineStr">
        <is>
          <t>19/03/2004</t>
        </is>
      </c>
      <c r="B69" s="31" t="n">
        <v>1.2926</v>
      </c>
      <c r="C69" s="69" t="n">
        <v>39630</v>
      </c>
      <c r="D69" s="70">
        <f t="array" ref="D69">IF(C69="","",IFERROR(AVERAGE(_xlfn._xlws.FILTER($B$2:$B$2000,(IFERROR(VALUE(MID($A$2:$A$2000,4,2)),0)=MONTH(C69))*(IFERROR(VALUE(RIGHT($A$2:$A$2000,4)),0)=YEAR(C69)))),""))</f>
        <v/>
      </c>
      <c r="E69" s="62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4" t="inlineStr">
        <is>
          <t>26/03/2004</t>
        </is>
      </c>
      <c r="B70" s="31" t="n">
        <v>1.3498</v>
      </c>
      <c r="C70" s="69" t="n">
        <v>39661</v>
      </c>
      <c r="D70" s="70">
        <f t="array" ref="D70">IF(C70="","",IFERROR(AVERAGE(_xlfn._xlws.FILTER($B$2:$B$2000,(IFERROR(VALUE(MID($A$2:$A$2000,4,2)),0)=MONTH(C70))*(IFERROR(VALUE(RIGHT($A$2:$A$2000,4)),0)=YEAR(C70)))),""))</f>
        <v/>
      </c>
      <c r="E70" s="62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4" t="inlineStr">
        <is>
          <t>02/04/2004</t>
        </is>
      </c>
      <c r="B71" s="31" t="n">
        <v>1.6463</v>
      </c>
      <c r="C71" s="69" t="n">
        <v>39692</v>
      </c>
      <c r="D71" s="70">
        <f t="array" ref="D71">IF(C71="","",IFERROR(AVERAGE(_xlfn._xlws.FILTER($B$2:$B$2000,(IFERROR(VALUE(MID($A$2:$A$2000,4,2)),0)=MONTH(C71))*(IFERROR(VALUE(RIGHT($A$2:$A$2000,4)),0)=YEAR(C71)))),""))</f>
        <v/>
      </c>
      <c r="E71" s="62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4" t="inlineStr">
        <is>
          <t>08/04/2004</t>
        </is>
      </c>
      <c r="B72" s="31" t="n">
        <v>1.7353</v>
      </c>
      <c r="C72" s="69" t="n">
        <v>39722</v>
      </c>
      <c r="D72" s="70">
        <f t="array" ref="D72">IF(C72="","",IFERROR(AVERAGE(_xlfn._xlws.FILTER($B$2:$B$2000,(IFERROR(VALUE(MID($A$2:$A$2000,4,2)),0)=MONTH(C72))*(IFERROR(VALUE(RIGHT($A$2:$A$2000,4)),0)=YEAR(C72)))),""))</f>
        <v/>
      </c>
      <c r="E72" s="62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4" t="inlineStr">
        <is>
          <t>16/04/2004</t>
        </is>
      </c>
      <c r="B73" s="31" t="n">
        <v>1.642</v>
      </c>
      <c r="C73" s="69" t="n">
        <v>39753</v>
      </c>
      <c r="D73" s="70">
        <f t="array" ref="D73">IF(C73="","",IFERROR(AVERAGE(_xlfn._xlws.FILTER($B$2:$B$2000,(IFERROR(VALUE(MID($A$2:$A$2000,4,2)),0)=MONTH(C73))*(IFERROR(VALUE(RIGHT($A$2:$A$2000,4)),0)=YEAR(C73)))),""))</f>
        <v/>
      </c>
      <c r="E73" s="62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4" t="inlineStr">
        <is>
          <t>23/04/2004</t>
        </is>
      </c>
      <c r="B74" s="31" t="n">
        <v>1.5022</v>
      </c>
      <c r="C74" s="69" t="n">
        <v>39783</v>
      </c>
      <c r="D74" s="70">
        <f t="array" ref="D74">IF(C74="","",IFERROR(AVERAGE(_xlfn._xlws.FILTER($B$2:$B$2000,(IFERROR(VALUE(MID($A$2:$A$2000,4,2)),0)=MONTH(C74))*(IFERROR(VALUE(RIGHT($A$2:$A$2000,4)),0)=YEAR(C74)))),""))</f>
        <v/>
      </c>
      <c r="E74" s="62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4" t="inlineStr">
        <is>
          <t>30/04/2004</t>
        </is>
      </c>
      <c r="B75" s="31" t="n">
        <v>1.5595</v>
      </c>
      <c r="C75" s="69" t="n">
        <v>39814</v>
      </c>
      <c r="D75" s="70">
        <f t="array" ref="D75">IF(C75="","",IFERROR(AVERAGE(_xlfn._xlws.FILTER($B$2:$B$2000,(IFERROR(VALUE(MID($A$2:$A$2000,4,2)),0)=MONTH(C75))*(IFERROR(VALUE(RIGHT($A$2:$A$2000,4)),0)=YEAR(C75)))),""))</f>
        <v/>
      </c>
      <c r="E75" s="62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4" t="inlineStr">
        <is>
          <t>07/05/2004</t>
        </is>
      </c>
      <c r="B76" s="31" t="n">
        <v>1.5653</v>
      </c>
      <c r="C76" s="69" t="n">
        <v>39845</v>
      </c>
      <c r="D76" s="70">
        <f t="array" ref="D76">IF(C76="","",IFERROR(AVERAGE(_xlfn._xlws.FILTER($B$2:$B$2000,(IFERROR(VALUE(MID($A$2:$A$2000,4,2)),0)=MONTH(C76))*(IFERROR(VALUE(RIGHT($A$2:$A$2000,4)),0)=YEAR(C76)))),""))</f>
        <v/>
      </c>
      <c r="E76" s="62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4" t="inlineStr">
        <is>
          <t>14/05/2004</t>
        </is>
      </c>
      <c r="B77" s="31" t="n">
        <v>1.6666</v>
      </c>
      <c r="C77" s="69" t="n">
        <v>39873</v>
      </c>
      <c r="D77" s="70">
        <f t="array" ref="D77">IF(C77="","",IFERROR(AVERAGE(_xlfn._xlws.FILTER($B$2:$B$2000,(IFERROR(VALUE(MID($A$2:$A$2000,4,2)),0)=MONTH(C77))*(IFERROR(VALUE(RIGHT($A$2:$A$2000,4)),0)=YEAR(C77)))),""))</f>
        <v/>
      </c>
      <c r="E77" s="62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4" t="inlineStr">
        <is>
          <t>21/05/2004</t>
        </is>
      </c>
      <c r="B78" s="31" t="n">
        <v>1.9251</v>
      </c>
      <c r="C78" s="69" t="n">
        <v>39904</v>
      </c>
      <c r="D78" s="70">
        <f t="array" ref="D78">IF(C78="","",IFERROR(AVERAGE(_xlfn._xlws.FILTER($B$2:$B$2000,(IFERROR(VALUE(MID($A$2:$A$2000,4,2)),0)=MONTH(C78))*(IFERROR(VALUE(RIGHT($A$2:$A$2000,4)),0)=YEAR(C78)))),""))</f>
        <v/>
      </c>
      <c r="E78" s="62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4" t="inlineStr">
        <is>
          <t>28/05/2004</t>
        </is>
      </c>
      <c r="B79" s="31" t="n">
        <v>2.127</v>
      </c>
      <c r="C79" s="69" t="n">
        <v>39934</v>
      </c>
      <c r="D79" s="70">
        <f t="array" ref="D79">IF(C79="","",IFERROR(AVERAGE(_xlfn._xlws.FILTER($B$2:$B$2000,(IFERROR(VALUE(MID($A$2:$A$2000,4,2)),0)=MONTH(C79))*(IFERROR(VALUE(RIGHT($A$2:$A$2000,4)),0)=YEAR(C79)))),""))</f>
        <v/>
      </c>
      <c r="E79" s="62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4" t="inlineStr">
        <is>
          <t>04/06/2004</t>
        </is>
      </c>
      <c r="B80" s="31" t="n">
        <v>2.0407</v>
      </c>
      <c r="C80" s="69" t="n">
        <v>39965</v>
      </c>
      <c r="D80" s="70">
        <f t="array" ref="D80">IF(C80="","",IFERROR(AVERAGE(_xlfn._xlws.FILTER($B$2:$B$2000,(IFERROR(VALUE(MID($A$2:$A$2000,4,2)),0)=MONTH(C80))*(IFERROR(VALUE(RIGHT($A$2:$A$2000,4)),0)=YEAR(C80)))),""))</f>
        <v/>
      </c>
      <c r="E80" s="62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4" t="inlineStr">
        <is>
          <t>11/06/2004</t>
        </is>
      </c>
      <c r="B81" s="31" t="n">
        <v>2.0188</v>
      </c>
      <c r="C81" s="69" t="n">
        <v>39995</v>
      </c>
      <c r="D81" s="70">
        <f t="array" ref="D81">IF(C81="","",IFERROR(AVERAGE(_xlfn._xlws.FILTER($B$2:$B$2000,(IFERROR(VALUE(MID($A$2:$A$2000,4,2)),0)=MONTH(C81))*(IFERROR(VALUE(RIGHT($A$2:$A$2000,4)),0)=YEAR(C81)))),""))</f>
        <v/>
      </c>
      <c r="E81" s="62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4" t="inlineStr">
        <is>
          <t>18/06/2004</t>
        </is>
      </c>
      <c r="B82" s="31" t="n">
        <v>2.0079</v>
      </c>
      <c r="C82" s="69" t="n">
        <v>40026</v>
      </c>
      <c r="D82" s="70">
        <f t="array" ref="D82">IF(C82="","",IFERROR(AVERAGE(_xlfn._xlws.FILTER($B$2:$B$2000,(IFERROR(VALUE(MID($A$2:$A$2000,4,2)),0)=MONTH(C82))*(IFERROR(VALUE(RIGHT($A$2:$A$2000,4)),0)=YEAR(C82)))),""))</f>
        <v/>
      </c>
      <c r="E82" s="62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4" t="inlineStr">
        <is>
          <t>25/06/2004</t>
        </is>
      </c>
      <c r="B83" s="31" t="n">
        <v>2.029</v>
      </c>
      <c r="C83" s="69" t="n">
        <v>40057</v>
      </c>
      <c r="D83" s="70">
        <f t="array" ref="D83">IF(C83="","",IFERROR(AVERAGE(_xlfn._xlws.FILTER($B$2:$B$2000,(IFERROR(VALUE(MID($A$2:$A$2000,4,2)),0)=MONTH(C83))*(IFERROR(VALUE(RIGHT($A$2:$A$2000,4)),0)=YEAR(C83)))),""))</f>
        <v/>
      </c>
      <c r="E83" s="62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4" t="inlineStr">
        <is>
          <t>02/07/2004</t>
        </is>
      </c>
      <c r="B84" s="31" t="n">
        <v>2.0151</v>
      </c>
      <c r="C84" s="69" t="n">
        <v>40087</v>
      </c>
      <c r="D84" s="70">
        <f t="array" ref="D84">IF(C84="","",IFERROR(AVERAGE(_xlfn._xlws.FILTER($B$2:$B$2000,(IFERROR(VALUE(MID($A$2:$A$2000,4,2)),0)=MONTH(C84))*(IFERROR(VALUE(RIGHT($A$2:$A$2000,4)),0)=YEAR(C84)))),""))</f>
        <v/>
      </c>
      <c r="E84" s="62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4" t="inlineStr">
        <is>
          <t>08/07/2004</t>
        </is>
      </c>
      <c r="B85" s="31" t="n">
        <v>2.0192</v>
      </c>
      <c r="C85" s="69" t="n">
        <v>40118</v>
      </c>
      <c r="D85" s="70">
        <f t="array" ref="D85">IF(C85="","",IFERROR(AVERAGE(_xlfn._xlws.FILTER($B$2:$B$2000,(IFERROR(VALUE(MID($A$2:$A$2000,4,2)),0)=MONTH(C85))*(IFERROR(VALUE(RIGHT($A$2:$A$2000,4)),0)=YEAR(C85)))),""))</f>
        <v/>
      </c>
      <c r="E85" s="62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4" t="inlineStr">
        <is>
          <t>16/07/2004</t>
        </is>
      </c>
      <c r="B86" s="31" t="n">
        <v>2.1215</v>
      </c>
      <c r="C86" s="69" t="n">
        <v>40148</v>
      </c>
      <c r="D86" s="70">
        <f t="array" ref="D86">IF(C86="","",IFERROR(AVERAGE(_xlfn._xlws.FILTER($B$2:$B$2000,(IFERROR(VALUE(MID($A$2:$A$2000,4,2)),0)=MONTH(C86))*(IFERROR(VALUE(RIGHT($A$2:$A$2000,4)),0)=YEAR(C86)))),""))</f>
        <v/>
      </c>
      <c r="E86" s="62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4" t="inlineStr">
        <is>
          <t>23/07/2004</t>
        </is>
      </c>
      <c r="B87" s="31" t="n">
        <v>2.4156</v>
      </c>
      <c r="C87" s="69" t="n">
        <v>40179</v>
      </c>
      <c r="D87" s="70">
        <f t="array" ref="D87">IF(C87="","",IFERROR(AVERAGE(_xlfn._xlws.FILTER($B$2:$B$2000,(IFERROR(VALUE(MID($A$2:$A$2000,4,2)),0)=MONTH(C87))*(IFERROR(VALUE(RIGHT($A$2:$A$2000,4)),0)=YEAR(C87)))),""))</f>
        <v/>
      </c>
      <c r="E87" s="62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4" t="inlineStr">
        <is>
          <t>30/07/2004</t>
        </is>
      </c>
      <c r="B88" s="31" t="n">
        <v>2.4543</v>
      </c>
      <c r="C88" s="69" t="n">
        <v>40210</v>
      </c>
      <c r="D88" s="70">
        <f t="array" ref="D88">IF(C88="","",IFERROR(AVERAGE(_xlfn._xlws.FILTER($B$2:$B$2000,(IFERROR(VALUE(MID($A$2:$A$2000,4,2)),0)=MONTH(C88))*(IFERROR(VALUE(RIGHT($A$2:$A$2000,4)),0)=YEAR(C88)))),""))</f>
        <v/>
      </c>
      <c r="E88" s="62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4" t="inlineStr">
        <is>
          <t>06/08/2004</t>
        </is>
      </c>
      <c r="B89" s="31" t="n">
        <v>2.4273</v>
      </c>
      <c r="C89" s="69" t="n">
        <v>40238</v>
      </c>
      <c r="D89" s="70">
        <f t="array" ref="D89">IF(C89="","",IFERROR(AVERAGE(_xlfn._xlws.FILTER($B$2:$B$2000,(IFERROR(VALUE(MID($A$2:$A$2000,4,2)),0)=MONTH(C89))*(IFERROR(VALUE(RIGHT($A$2:$A$2000,4)),0)=YEAR(C89)))),""))</f>
        <v/>
      </c>
      <c r="E89" s="62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4" t="inlineStr">
        <is>
          <t>13/08/2004</t>
        </is>
      </c>
      <c r="B90" s="31" t="n">
        <v>2.4211</v>
      </c>
      <c r="C90" s="69" t="n">
        <v>40269</v>
      </c>
      <c r="D90" s="70">
        <f t="array" ref="D90">IF(C90="","",IFERROR(AVERAGE(_xlfn._xlws.FILTER($B$2:$B$2000,(IFERROR(VALUE(MID($A$2:$A$2000,4,2)),0)=MONTH(C90))*(IFERROR(VALUE(RIGHT($A$2:$A$2000,4)),0)=YEAR(C90)))),""))</f>
        <v/>
      </c>
      <c r="E90" s="62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4" t="inlineStr">
        <is>
          <t>20/08/2004</t>
        </is>
      </c>
      <c r="B91" s="31" t="n">
        <v>2.3909</v>
      </c>
      <c r="C91" s="69" t="n">
        <v>40299</v>
      </c>
      <c r="D91" s="70">
        <f t="array" ref="D91">IF(C91="","",IFERROR(AVERAGE(_xlfn._xlws.FILTER($B$2:$B$2000,(IFERROR(VALUE(MID($A$2:$A$2000,4,2)),0)=MONTH(C91))*(IFERROR(VALUE(RIGHT($A$2:$A$2000,4)),0)=YEAR(C91)))),""))</f>
        <v/>
      </c>
      <c r="E91" s="62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4" t="inlineStr">
        <is>
          <t>27/08/2004</t>
        </is>
      </c>
      <c r="B92" s="31" t="n">
        <v>2.3637</v>
      </c>
      <c r="C92" s="69" t="n">
        <v>40330</v>
      </c>
      <c r="D92" s="70">
        <f t="array" ref="D92">IF(C92="","",IFERROR(AVERAGE(_xlfn._xlws.FILTER($B$2:$B$2000,(IFERROR(VALUE(MID($A$2:$A$2000,4,2)),0)=MONTH(C92))*(IFERROR(VALUE(RIGHT($A$2:$A$2000,4)),0)=YEAR(C92)))),""))</f>
        <v/>
      </c>
      <c r="E92" s="62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4" t="inlineStr">
        <is>
          <t>03/09/2004</t>
        </is>
      </c>
      <c r="B93" s="31" t="n">
        <v>2.3336</v>
      </c>
      <c r="C93" s="69" t="n">
        <v>40360</v>
      </c>
      <c r="D93" s="70">
        <f t="array" ref="D93">IF(C93="","",IFERROR(AVERAGE(_xlfn._xlws.FILTER($B$2:$B$2000,(IFERROR(VALUE(MID($A$2:$A$2000,4,2)),0)=MONTH(C93))*(IFERROR(VALUE(RIGHT($A$2:$A$2000,4)),0)=YEAR(C93)))),""))</f>
        <v/>
      </c>
      <c r="E93" s="62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4" t="inlineStr">
        <is>
          <t>10/09/2004</t>
        </is>
      </c>
      <c r="B94" s="31" t="n">
        <v>2.3497</v>
      </c>
      <c r="C94" s="69" t="n">
        <v>40391</v>
      </c>
      <c r="D94" s="70">
        <f t="array" ref="D94">IF(C94="","",IFERROR(AVERAGE(_xlfn._xlws.FILTER($B$2:$B$2000,(IFERROR(VALUE(MID($A$2:$A$2000,4,2)),0)=MONTH(C94))*(IFERROR(VALUE(RIGHT($A$2:$A$2000,4)),0)=YEAR(C94)))),""))</f>
        <v/>
      </c>
      <c r="E94" s="62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4" t="inlineStr">
        <is>
          <t>17/09/2004</t>
        </is>
      </c>
      <c r="B95" s="31" t="n">
        <v>2.3639</v>
      </c>
      <c r="C95" s="69" t="n">
        <v>40422</v>
      </c>
      <c r="D95" s="70">
        <f t="array" ref="D95">IF(C95="","",IFERROR(AVERAGE(_xlfn._xlws.FILTER($B$2:$B$2000,(IFERROR(VALUE(MID($A$2:$A$2000,4,2)),0)=MONTH(C95))*(IFERROR(VALUE(RIGHT($A$2:$A$2000,4)),0)=YEAR(C95)))),""))</f>
        <v/>
      </c>
      <c r="E95" s="62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4" t="inlineStr">
        <is>
          <t>24/09/2004</t>
        </is>
      </c>
      <c r="B96" s="31" t="n">
        <v>2.4907</v>
      </c>
      <c r="C96" s="69" t="n">
        <v>40452</v>
      </c>
      <c r="D96" s="70">
        <f t="array" ref="D96">IF(C96="","",IFERROR(AVERAGE(_xlfn._xlws.FILTER($B$2:$B$2000,(IFERROR(VALUE(MID($A$2:$A$2000,4,2)),0)=MONTH(C96))*(IFERROR(VALUE(RIGHT($A$2:$A$2000,4)),0)=YEAR(C96)))),""))</f>
        <v/>
      </c>
      <c r="E96" s="62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4" t="inlineStr">
        <is>
          <t>01/10/2004</t>
        </is>
      </c>
      <c r="B97" s="31" t="n">
        <v>2.6225</v>
      </c>
      <c r="C97" s="69" t="n">
        <v>40483</v>
      </c>
      <c r="D97" s="70">
        <f t="array" ref="D97">IF(C97="","",IFERROR(AVERAGE(_xlfn._xlws.FILTER($B$2:$B$2000,(IFERROR(VALUE(MID($A$2:$A$2000,4,2)),0)=MONTH(C97))*(IFERROR(VALUE(RIGHT($A$2:$A$2000,4)),0)=YEAR(C97)))),""))</f>
        <v/>
      </c>
      <c r="E97" s="62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4" t="inlineStr">
        <is>
          <t>08/10/2004</t>
        </is>
      </c>
      <c r="B98" s="31" t="n">
        <v>2.7477</v>
      </c>
      <c r="C98" s="69" t="n">
        <v>40513</v>
      </c>
      <c r="D98" s="70">
        <f t="array" ref="D98">IF(C98="","",IFERROR(AVERAGE(_xlfn._xlws.FILTER($B$2:$B$2000,(IFERROR(VALUE(MID($A$2:$A$2000,4,2)),0)=MONTH(C98))*(IFERROR(VALUE(RIGHT($A$2:$A$2000,4)),0)=YEAR(C98)))),""))</f>
        <v/>
      </c>
      <c r="E98" s="62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4" t="inlineStr">
        <is>
          <t>15/10/2004</t>
        </is>
      </c>
      <c r="B99" s="31" t="n">
        <v>2.8037</v>
      </c>
      <c r="C99" s="69" t="n">
        <v>40544</v>
      </c>
      <c r="D99" s="70">
        <f t="array" ref="D99">IF(C99="","",IFERROR(AVERAGE(_xlfn._xlws.FILTER($B$2:$B$2000,(IFERROR(VALUE(MID($A$2:$A$2000,4,2)),0)=MONTH(C99))*(IFERROR(VALUE(RIGHT($A$2:$A$2000,4)),0)=YEAR(C99)))),""))</f>
        <v/>
      </c>
      <c r="E99" s="62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4" t="inlineStr">
        <is>
          <t>22/10/2004</t>
        </is>
      </c>
      <c r="B100" s="31" t="n">
        <v>2.9518</v>
      </c>
      <c r="C100" s="69" t="n">
        <v>40575</v>
      </c>
      <c r="D100" s="70">
        <f t="array" ref="D100">IF(C100="","",IFERROR(AVERAGE(_xlfn._xlws.FILTER($B$2:$B$2000,(IFERROR(VALUE(MID($A$2:$A$2000,4,2)),0)=MONTH(C100))*(IFERROR(VALUE(RIGHT($A$2:$A$2000,4)),0)=YEAR(C100)))),""))</f>
        <v/>
      </c>
      <c r="E100" s="62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4" t="inlineStr">
        <is>
          <t>29/10/2004</t>
        </is>
      </c>
      <c r="B101" s="31" t="n">
        <v>3.0057</v>
      </c>
      <c r="C101" s="69" t="n">
        <v>40603</v>
      </c>
      <c r="D101" s="70">
        <f t="array" ref="D101">IF(C101="","",IFERROR(AVERAGE(_xlfn._xlws.FILTER($B$2:$B$2000,(IFERROR(VALUE(MID($A$2:$A$2000,4,2)),0)=MONTH(C101))*(IFERROR(VALUE(RIGHT($A$2:$A$2000,4)),0)=YEAR(C101)))),""))</f>
        <v/>
      </c>
      <c r="E101" s="62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4" t="inlineStr">
        <is>
          <t>05/11/2004</t>
        </is>
      </c>
      <c r="B102" s="31" t="n">
        <v>3.0267</v>
      </c>
      <c r="C102" s="69" t="n">
        <v>40634</v>
      </c>
      <c r="D102" s="70">
        <f t="array" ref="D102">IF(C102="","",IFERROR(AVERAGE(_xlfn._xlws.FILTER($B$2:$B$2000,(IFERROR(VALUE(MID($A$2:$A$2000,4,2)),0)=MONTH(C102))*(IFERROR(VALUE(RIGHT($A$2:$A$2000,4)),0)=YEAR(C102)))),""))</f>
        <v/>
      </c>
      <c r="E102" s="62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4" t="inlineStr">
        <is>
          <t>12/11/2004</t>
        </is>
      </c>
      <c r="B103" s="31" t="n">
        <v>3.0476</v>
      </c>
      <c r="C103" s="69" t="n">
        <v>40664</v>
      </c>
      <c r="D103" s="70">
        <f t="array" ref="D103">IF(C103="","",IFERROR(AVERAGE(_xlfn._xlws.FILTER($B$2:$B$2000,(IFERROR(VALUE(MID($A$2:$A$2000,4,2)),0)=MONTH(C103))*(IFERROR(VALUE(RIGHT($A$2:$A$2000,4)),0)=YEAR(C103)))),""))</f>
        <v/>
      </c>
      <c r="E103" s="62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4" t="inlineStr">
        <is>
          <t>19/11/2004</t>
        </is>
      </c>
      <c r="B104" s="31" t="n">
        <v>3.0368</v>
      </c>
      <c r="C104" s="69" t="n">
        <v>40695</v>
      </c>
      <c r="D104" s="70">
        <f t="array" ref="D104">IF(C104="","",IFERROR(AVERAGE(_xlfn._xlws.FILTER($B$2:$B$2000,(IFERROR(VALUE(MID($A$2:$A$2000,4,2)),0)=MONTH(C104))*(IFERROR(VALUE(RIGHT($A$2:$A$2000,4)),0)=YEAR(C104)))),""))</f>
        <v/>
      </c>
      <c r="E104" s="62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4" t="inlineStr">
        <is>
          <t>26/11/2004</t>
        </is>
      </c>
      <c r="B105" s="31" t="n">
        <v>2.9928</v>
      </c>
      <c r="C105" s="69" t="n">
        <v>40725</v>
      </c>
      <c r="D105" s="70">
        <f t="array" ref="D105">IF(C105="","",IFERROR(AVERAGE(_xlfn._xlws.FILTER($B$2:$B$2000,(IFERROR(VALUE(MID($A$2:$A$2000,4,2)),0)=MONTH(C105))*(IFERROR(VALUE(RIGHT($A$2:$A$2000,4)),0)=YEAR(C105)))),""))</f>
        <v/>
      </c>
      <c r="E105" s="62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4" t="inlineStr">
        <is>
          <t>03/12/2004</t>
        </is>
      </c>
      <c r="B106" s="31" t="n">
        <v>2.821</v>
      </c>
      <c r="C106" s="69" t="n">
        <v>40756</v>
      </c>
      <c r="D106" s="70">
        <f t="array" ref="D106">IF(C106="","",IFERROR(AVERAGE(_xlfn._xlws.FILTER($B$2:$B$2000,(IFERROR(VALUE(MID($A$2:$A$2000,4,2)),0)=MONTH(C106))*(IFERROR(VALUE(RIGHT($A$2:$A$2000,4)),0)=YEAR(C106)))),""))</f>
        <v/>
      </c>
      <c r="E106" s="62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4" t="inlineStr">
        <is>
          <t>10/12/2004</t>
        </is>
      </c>
      <c r="B107" s="31" t="n">
        <v>2.7755</v>
      </c>
      <c r="C107" s="69" t="n">
        <v>40787</v>
      </c>
      <c r="D107" s="70">
        <f t="array" ref="D107">IF(C107="","",IFERROR(AVERAGE(_xlfn._xlws.FILTER($B$2:$B$2000,(IFERROR(VALUE(MID($A$2:$A$2000,4,2)),0)=MONTH(C107))*(IFERROR(VALUE(RIGHT($A$2:$A$2000,4)),0)=YEAR(C107)))),""))</f>
        <v/>
      </c>
      <c r="E107" s="62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4" t="inlineStr">
        <is>
          <t>17/12/2004</t>
        </is>
      </c>
      <c r="B108" s="31" t="n">
        <v>2.7379</v>
      </c>
      <c r="C108" s="69" t="n">
        <v>40817</v>
      </c>
      <c r="D108" s="70">
        <f t="array" ref="D108">IF(C108="","",IFERROR(AVERAGE(_xlfn._xlws.FILTER($B$2:$B$2000,(IFERROR(VALUE(MID($A$2:$A$2000,4,2)),0)=MONTH(C108))*(IFERROR(VALUE(RIGHT($A$2:$A$2000,4)),0)=YEAR(C108)))),""))</f>
        <v/>
      </c>
      <c r="E108" s="62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4" t="inlineStr">
        <is>
          <t>23/12/2004</t>
        </is>
      </c>
      <c r="B109" s="31" t="n">
        <v>2.6928</v>
      </c>
      <c r="C109" s="69" t="n">
        <v>40848</v>
      </c>
      <c r="D109" s="70">
        <f t="array" ref="D109">IF(C109="","",IFERROR(AVERAGE(_xlfn._xlws.FILTER($B$2:$B$2000,(IFERROR(VALUE(MID($A$2:$A$2000,4,2)),0)=MONTH(C109))*(IFERROR(VALUE(RIGHT($A$2:$A$2000,4)),0)=YEAR(C109)))),""))</f>
        <v/>
      </c>
      <c r="E109" s="62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4" t="inlineStr">
        <is>
          <t>30/12/2004</t>
        </is>
      </c>
      <c r="B110" s="31" t="n">
        <v>2.7064</v>
      </c>
      <c r="C110" s="69" t="n">
        <v>40878</v>
      </c>
      <c r="D110" s="70">
        <f t="array" ref="D110">IF(C110="","",IFERROR(AVERAGE(_xlfn._xlws.FILTER($B$2:$B$2000,(IFERROR(VALUE(MID($A$2:$A$2000,4,2)),0)=MONTH(C110))*(IFERROR(VALUE(RIGHT($A$2:$A$2000,4)),0)=YEAR(C110)))),""))</f>
        <v/>
      </c>
      <c r="E110" s="62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4" t="inlineStr">
        <is>
          <t>07/01/2005</t>
        </is>
      </c>
      <c r="B111" s="31" t="n">
        <v>2.7248</v>
      </c>
      <c r="C111" s="69" t="n">
        <v>40909</v>
      </c>
      <c r="D111" s="70">
        <f t="array" ref="D111">IF(C111="","",IFERROR(AVERAGE(_xlfn._xlws.FILTER($B$2:$B$2000,(IFERROR(VALUE(MID($A$2:$A$2000,4,2)),0)=MONTH(C111))*(IFERROR(VALUE(RIGHT($A$2:$A$2000,4)),0)=YEAR(C111)))),""))</f>
        <v/>
      </c>
      <c r="E111" s="62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4" t="inlineStr">
        <is>
          <t>14/01/2005</t>
        </is>
      </c>
      <c r="B112" s="31" t="n">
        <v>2.7248</v>
      </c>
      <c r="C112" s="69" t="n">
        <v>40940</v>
      </c>
      <c r="D112" s="70">
        <f t="array" ref="D112">IF(C112="","",IFERROR(AVERAGE(_xlfn._xlws.FILTER($B$2:$B$2000,(IFERROR(VALUE(MID($A$2:$A$2000,4,2)),0)=MONTH(C112))*(IFERROR(VALUE(RIGHT($A$2:$A$2000,4)),0)=YEAR(C112)))),""))</f>
        <v/>
      </c>
      <c r="E112" s="62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4" t="inlineStr">
        <is>
          <t>21/01/2005</t>
        </is>
      </c>
      <c r="B113" s="31" t="n">
        <v>2.7487</v>
      </c>
      <c r="C113" s="69" t="n">
        <v>40969</v>
      </c>
      <c r="D113" s="70">
        <f t="array" ref="D113">IF(C113="","",IFERROR(AVERAGE(_xlfn._xlws.FILTER($B$2:$B$2000,(IFERROR(VALUE(MID($A$2:$A$2000,4,2)),0)=MONTH(C113))*(IFERROR(VALUE(RIGHT($A$2:$A$2000,4)),0)=YEAR(C113)))),""))</f>
        <v/>
      </c>
      <c r="E113" s="62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4" t="inlineStr">
        <is>
          <t>28/01/2005</t>
        </is>
      </c>
      <c r="B114" s="31" t="n">
        <v>2.7137</v>
      </c>
      <c r="C114" s="69" t="n">
        <v>41000</v>
      </c>
      <c r="D114" s="70">
        <f t="array" ref="D114">IF(C114="","",IFERROR(AVERAGE(_xlfn._xlws.FILTER($B$2:$B$2000,(IFERROR(VALUE(MID($A$2:$A$2000,4,2)),0)=MONTH(C114))*(IFERROR(VALUE(RIGHT($A$2:$A$2000,4)),0)=YEAR(C114)))),""))</f>
        <v/>
      </c>
      <c r="E114" s="62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4" t="inlineStr">
        <is>
          <t>04/02/2005</t>
        </is>
      </c>
      <c r="B115" s="31" t="n">
        <v>2.7241</v>
      </c>
      <c r="C115" s="69" t="n">
        <v>41030</v>
      </c>
      <c r="D115" s="70">
        <f t="array" ref="D115">IF(C115="","",IFERROR(AVERAGE(_xlfn._xlws.FILTER($B$2:$B$2000,(IFERROR(VALUE(MID($A$2:$A$2000,4,2)),0)=MONTH(C115))*(IFERROR(VALUE(RIGHT($A$2:$A$2000,4)),0)=YEAR(C115)))),""))</f>
        <v/>
      </c>
      <c r="E115" s="62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4" t="inlineStr">
        <is>
          <t>11/02/2005</t>
        </is>
      </c>
      <c r="B116" s="31" t="n">
        <v>2.7191</v>
      </c>
      <c r="C116" s="69" t="n">
        <v>41061</v>
      </c>
      <c r="D116" s="70">
        <f t="array" ref="D116">IF(C116="","",IFERROR(AVERAGE(_xlfn._xlws.FILTER($B$2:$B$2000,(IFERROR(VALUE(MID($A$2:$A$2000,4,2)),0)=MONTH(C116))*(IFERROR(VALUE(RIGHT($A$2:$A$2000,4)),0)=YEAR(C116)))),""))</f>
        <v/>
      </c>
      <c r="E116" s="62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4" t="inlineStr">
        <is>
          <t>18/02/2005</t>
        </is>
      </c>
      <c r="B117" s="31" t="n">
        <v>2.7287</v>
      </c>
      <c r="C117" s="69" t="n">
        <v>41091</v>
      </c>
      <c r="D117" s="70">
        <f t="array" ref="D117">IF(C117="","",IFERROR(AVERAGE(_xlfn._xlws.FILTER($B$2:$B$2000,(IFERROR(VALUE(MID($A$2:$A$2000,4,2)),0)=MONTH(C117))*(IFERROR(VALUE(RIGHT($A$2:$A$2000,4)),0)=YEAR(C117)))),""))</f>
        <v/>
      </c>
      <c r="E117" s="62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4" t="inlineStr">
        <is>
          <t>25/02/2005</t>
        </is>
      </c>
      <c r="B118" s="31" t="n">
        <v>2.7206</v>
      </c>
      <c r="C118" s="69" t="n">
        <v>41122</v>
      </c>
      <c r="D118" s="70">
        <f t="array" ref="D118">IF(C118="","",IFERROR(AVERAGE(_xlfn._xlws.FILTER($B$2:$B$2000,(IFERROR(VALUE(MID($A$2:$A$2000,4,2)),0)=MONTH(C118))*(IFERROR(VALUE(RIGHT($A$2:$A$2000,4)),0)=YEAR(C118)))),""))</f>
        <v/>
      </c>
      <c r="E118" s="62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4" t="inlineStr">
        <is>
          <t>04/03/2005</t>
        </is>
      </c>
      <c r="B119" s="31" t="n">
        <v>2.7061</v>
      </c>
      <c r="C119" s="69" t="n">
        <v>41153</v>
      </c>
      <c r="D119" s="70">
        <f t="array" ref="D119">IF(C119="","",IFERROR(AVERAGE(_xlfn._xlws.FILTER($B$2:$B$2000,(IFERROR(VALUE(MID($A$2:$A$2000,4,2)),0)=MONTH(C119))*(IFERROR(VALUE(RIGHT($A$2:$A$2000,4)),0)=YEAR(C119)))),""))</f>
        <v/>
      </c>
      <c r="E119" s="62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4" t="inlineStr">
        <is>
          <t>11/03/2005</t>
        </is>
      </c>
      <c r="B120" s="31" t="n">
        <v>2.7266</v>
      </c>
      <c r="C120" s="69" t="n">
        <v>41183</v>
      </c>
      <c r="D120" s="70">
        <f t="array" ref="D120">IF(C120="","",IFERROR(AVERAGE(_xlfn._xlws.FILTER($B$2:$B$2000,(IFERROR(VALUE(MID($A$2:$A$2000,4,2)),0)=MONTH(C120))*(IFERROR(VALUE(RIGHT($A$2:$A$2000,4)),0)=YEAR(C120)))),""))</f>
        <v/>
      </c>
      <c r="E120" s="62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4" t="inlineStr">
        <is>
          <t>18/03/2005</t>
        </is>
      </c>
      <c r="B121" s="31" t="n">
        <v>2.7442</v>
      </c>
      <c r="C121" s="69" t="n">
        <v>41214</v>
      </c>
      <c r="D121" s="70">
        <f t="array" ref="D121">IF(C121="","",IFERROR(AVERAGE(_xlfn._xlws.FILTER($B$2:$B$2000,(IFERROR(VALUE(MID($A$2:$A$2000,4,2)),0)=MONTH(C121))*(IFERROR(VALUE(RIGHT($A$2:$A$2000,4)),0)=YEAR(C121)))),""))</f>
        <v/>
      </c>
      <c r="E121" s="62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4" t="inlineStr">
        <is>
          <t>24/03/2005</t>
        </is>
      </c>
      <c r="B122" s="31" t="n">
        <v>2.7308</v>
      </c>
      <c r="C122" s="69" t="n">
        <v>41244</v>
      </c>
      <c r="D122" s="70">
        <f t="array" ref="D122">IF(C122="","",IFERROR(AVERAGE(_xlfn._xlws.FILTER($B$2:$B$2000,(IFERROR(VALUE(MID($A$2:$A$2000,4,2)),0)=MONTH(C122))*(IFERROR(VALUE(RIGHT($A$2:$A$2000,4)),0)=YEAR(C122)))),""))</f>
        <v/>
      </c>
      <c r="E122" s="62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4" t="inlineStr">
        <is>
          <t>01/04/2005</t>
        </is>
      </c>
      <c r="B123" s="31" t="n">
        <v>2.7093</v>
      </c>
      <c r="C123" s="69" t="n">
        <v>41275</v>
      </c>
      <c r="D123" s="70">
        <f t="array" ref="D123">IF(C123="","",IFERROR(AVERAGE(_xlfn._xlws.FILTER($B$2:$B$2000,(IFERROR(VALUE(MID($A$2:$A$2000,4,2)),0)=MONTH(C123))*(IFERROR(VALUE(RIGHT($A$2:$A$2000,4)),0)=YEAR(C123)))),""))</f>
        <v/>
      </c>
      <c r="E123" s="62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4" t="inlineStr">
        <is>
          <t>08/04/2005</t>
        </is>
      </c>
      <c r="B124" s="31" t="n">
        <v>2.7093</v>
      </c>
      <c r="C124" s="69" t="n">
        <v>41306</v>
      </c>
      <c r="D124" s="70">
        <f t="array" ref="D124">IF(C124="","",IFERROR(AVERAGE(_xlfn._xlws.FILTER($B$2:$B$2000,(IFERROR(VALUE(MID($A$2:$A$2000,4,2)),0)=MONTH(C124))*(IFERROR(VALUE(RIGHT($A$2:$A$2000,4)),0)=YEAR(C124)))),""))</f>
        <v/>
      </c>
      <c r="E124" s="62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4" t="inlineStr">
        <is>
          <t>15/04/2005</t>
        </is>
      </c>
      <c r="B125" s="31" t="n">
        <v>2.6585</v>
      </c>
      <c r="C125" s="69" t="n">
        <v>41334</v>
      </c>
      <c r="D125" s="70">
        <f t="array" ref="D125">IF(C125="","",IFERROR(AVERAGE(_xlfn._xlws.FILTER($B$2:$B$2000,(IFERROR(VALUE(MID($A$2:$A$2000,4,2)),0)=MONTH(C125))*(IFERROR(VALUE(RIGHT($A$2:$A$2000,4)),0)=YEAR(C125)))),""))</f>
        <v/>
      </c>
      <c r="E125" s="62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4" t="inlineStr">
        <is>
          <t>22/04/2005</t>
        </is>
      </c>
      <c r="B126" s="31" t="n">
        <v>2.5092</v>
      </c>
      <c r="C126" s="69" t="n">
        <v>41365</v>
      </c>
      <c r="D126" s="70">
        <f t="array" ref="D126">IF(C126="","",IFERROR(AVERAGE(_xlfn._xlws.FILTER($B$2:$B$2000,(IFERROR(VALUE(MID($A$2:$A$2000,4,2)),0)=MONTH(C126))*(IFERROR(VALUE(RIGHT($A$2:$A$2000,4)),0)=YEAR(C126)))),""))</f>
        <v/>
      </c>
      <c r="E126" s="62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4" t="inlineStr">
        <is>
          <t>29/04/2005</t>
        </is>
      </c>
      <c r="B127" s="31" t="n">
        <v>2.3927</v>
      </c>
      <c r="C127" s="69" t="n">
        <v>41395</v>
      </c>
      <c r="D127" s="70">
        <f t="array" ref="D127">IF(C127="","",IFERROR(AVERAGE(_xlfn._xlws.FILTER($B$2:$B$2000,(IFERROR(VALUE(MID($A$2:$A$2000,4,2)),0)=MONTH(C127))*(IFERROR(VALUE(RIGHT($A$2:$A$2000,4)),0)=YEAR(C127)))),""))</f>
        <v/>
      </c>
      <c r="E127" s="62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4" t="inlineStr">
        <is>
          <t>06/05/2005</t>
        </is>
      </c>
      <c r="B128" s="31" t="n">
        <v>2.1158</v>
      </c>
      <c r="C128" s="69" t="n">
        <v>41426</v>
      </c>
      <c r="D128" s="70">
        <f t="array" ref="D128">IF(C128="","",IFERROR(AVERAGE(_xlfn._xlws.FILTER($B$2:$B$2000,(IFERROR(VALUE(MID($A$2:$A$2000,4,2)),0)=MONTH(C128))*(IFERROR(VALUE(RIGHT($A$2:$A$2000,4)),0)=YEAR(C128)))),""))</f>
        <v/>
      </c>
      <c r="E128" s="62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4" t="inlineStr">
        <is>
          <t>13/05/2005</t>
        </is>
      </c>
      <c r="B129" s="31" t="n">
        <v>2.0086</v>
      </c>
      <c r="C129" s="69" t="n">
        <v>41456</v>
      </c>
      <c r="D129" s="70">
        <f t="array" ref="D129">IF(C129="","",IFERROR(AVERAGE(_xlfn._xlws.FILTER($B$2:$B$2000,(IFERROR(VALUE(MID($A$2:$A$2000,4,2)),0)=MONTH(C129))*(IFERROR(VALUE(RIGHT($A$2:$A$2000,4)),0)=YEAR(C129)))),""))</f>
        <v/>
      </c>
      <c r="E129" s="62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4" t="inlineStr">
        <is>
          <t>20/05/2005</t>
        </is>
      </c>
      <c r="B130" s="31" t="n">
        <v>2.0128</v>
      </c>
      <c r="C130" s="69" t="n">
        <v>41487</v>
      </c>
      <c r="D130" s="70">
        <f t="array" ref="D130">IF(C130="","",IFERROR(AVERAGE(_xlfn._xlws.FILTER($B$2:$B$2000,(IFERROR(VALUE(MID($A$2:$A$2000,4,2)),0)=MONTH(C130))*(IFERROR(VALUE(RIGHT($A$2:$A$2000,4)),0)=YEAR(C130)))),""))</f>
        <v/>
      </c>
      <c r="E130" s="62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4" t="inlineStr">
        <is>
          <t>27/05/2005</t>
        </is>
      </c>
      <c r="B131" s="31" t="n">
        <v>2.0282</v>
      </c>
      <c r="C131" s="69" t="n">
        <v>41518</v>
      </c>
      <c r="D131" s="70">
        <f t="array" ref="D131">IF(C131="","",IFERROR(AVERAGE(_xlfn._xlws.FILTER($B$2:$B$2000,(IFERROR(VALUE(MID($A$2:$A$2000,4,2)),0)=MONTH(C131))*(IFERROR(VALUE(RIGHT($A$2:$A$2000,4)),0)=YEAR(C131)))),""))</f>
        <v/>
      </c>
      <c r="E131" s="62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4" t="inlineStr">
        <is>
          <t>03/06/2005</t>
        </is>
      </c>
      <c r="B132" s="31" t="n">
        <v>2.0241</v>
      </c>
      <c r="C132" s="69" t="n">
        <v>41548</v>
      </c>
      <c r="D132" s="70">
        <f t="array" ref="D132">IF(C132="","",IFERROR(AVERAGE(_xlfn._xlws.FILTER($B$2:$B$2000,(IFERROR(VALUE(MID($A$2:$A$2000,4,2)),0)=MONTH(C132))*(IFERROR(VALUE(RIGHT($A$2:$A$2000,4)),0)=YEAR(C132)))),""))</f>
        <v/>
      </c>
      <c r="E132" s="62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4" t="inlineStr">
        <is>
          <t>10/06/2005</t>
        </is>
      </c>
      <c r="B133" s="31" t="n">
        <v>2.0252</v>
      </c>
      <c r="C133" s="69" t="n">
        <v>41579</v>
      </c>
      <c r="D133" s="70">
        <f t="array" ref="D133">IF(C133="","",IFERROR(AVERAGE(_xlfn._xlws.FILTER($B$2:$B$2000,(IFERROR(VALUE(MID($A$2:$A$2000,4,2)),0)=MONTH(C133))*(IFERROR(VALUE(RIGHT($A$2:$A$2000,4)),0)=YEAR(C133)))),""))</f>
        <v/>
      </c>
      <c r="E133" s="62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4" t="inlineStr">
        <is>
          <t>17/06/2005</t>
        </is>
      </c>
      <c r="B134" s="31" t="n">
        <v>2.0664</v>
      </c>
      <c r="C134" s="69" t="n">
        <v>41609</v>
      </c>
      <c r="D134" s="70">
        <f t="array" ref="D134">IF(C134="","",IFERROR(AVERAGE(_xlfn._xlws.FILTER($B$2:$B$2000,(IFERROR(VALUE(MID($A$2:$A$2000,4,2)),0)=MONTH(C134))*(IFERROR(VALUE(RIGHT($A$2:$A$2000,4)),0)=YEAR(C134)))),""))</f>
        <v/>
      </c>
      <c r="E134" s="62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4" t="inlineStr">
        <is>
          <t>24/06/2005</t>
        </is>
      </c>
      <c r="B135" s="31" t="n">
        <v>2.1065</v>
      </c>
      <c r="C135" s="69" t="n">
        <v>41640</v>
      </c>
      <c r="D135" s="70">
        <f t="array" ref="D135">IF(C135="","",IFERROR(AVERAGE(_xlfn._xlws.FILTER($B$2:$B$2000,(IFERROR(VALUE(MID($A$2:$A$2000,4,2)),0)=MONTH(C135))*(IFERROR(VALUE(RIGHT($A$2:$A$2000,4)),0)=YEAR(C135)))),""))</f>
        <v/>
      </c>
      <c r="E135" s="62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4" t="inlineStr">
        <is>
          <t>01/07/2005</t>
        </is>
      </c>
      <c r="B136" s="31" t="n">
        <v>2.3126</v>
      </c>
      <c r="C136" s="69" t="n">
        <v>41671</v>
      </c>
      <c r="D136" s="70">
        <f t="array" ref="D136">IF(C136="","",IFERROR(AVERAGE(_xlfn._xlws.FILTER($B$2:$B$2000,(IFERROR(VALUE(MID($A$2:$A$2000,4,2)),0)=MONTH(C136))*(IFERROR(VALUE(RIGHT($A$2:$A$2000,4)),0)=YEAR(C136)))),""))</f>
        <v/>
      </c>
      <c r="E136" s="62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4" t="inlineStr">
        <is>
          <t>08/07/2005</t>
        </is>
      </c>
      <c r="B137" s="31" t="n">
        <v>2.3737</v>
      </c>
      <c r="C137" s="69" t="n">
        <v>41699</v>
      </c>
      <c r="D137" s="70">
        <f t="array" ref="D137">IF(C137="","",IFERROR(AVERAGE(_xlfn._xlws.FILTER($B$2:$B$2000,(IFERROR(VALUE(MID($A$2:$A$2000,4,2)),0)=MONTH(C137))*(IFERROR(VALUE(RIGHT($A$2:$A$2000,4)),0)=YEAR(C137)))),""))</f>
        <v/>
      </c>
      <c r="E137" s="62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4" t="inlineStr">
        <is>
          <t>15/07/2005</t>
        </is>
      </c>
      <c r="B138" s="31" t="n">
        <v>2.4076</v>
      </c>
      <c r="C138" s="69" t="n">
        <v>41730</v>
      </c>
      <c r="D138" s="70">
        <f t="array" ref="D138">IF(C138="","",IFERROR(AVERAGE(_xlfn._xlws.FILTER($B$2:$B$2000,(IFERROR(VALUE(MID($A$2:$A$2000,4,2)),0)=MONTH(C138))*(IFERROR(VALUE(RIGHT($A$2:$A$2000,4)),0)=YEAR(C138)))),""))</f>
        <v/>
      </c>
      <c r="E138" s="62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4" t="inlineStr">
        <is>
          <t>22/07/2005</t>
        </is>
      </c>
      <c r="B139" s="31" t="n">
        <v>2.4023</v>
      </c>
      <c r="C139" s="69" t="n">
        <v>41760</v>
      </c>
      <c r="D139" s="70">
        <f t="array" ref="D139">IF(C139="","",IFERROR(AVERAGE(_xlfn._xlws.FILTER($B$2:$B$2000,(IFERROR(VALUE(MID($A$2:$A$2000,4,2)),0)=MONTH(C139))*(IFERROR(VALUE(RIGHT($A$2:$A$2000,4)),0)=YEAR(C139)))),""))</f>
        <v/>
      </c>
      <c r="E139" s="62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4" t="inlineStr">
        <is>
          <t>29/07/2005</t>
        </is>
      </c>
      <c r="B140" s="31" t="n">
        <v>2.3451</v>
      </c>
      <c r="C140" s="69" t="n">
        <v>41791</v>
      </c>
      <c r="D140" s="70">
        <f t="array" ref="D140">IF(C140="","",IFERROR(AVERAGE(_xlfn._xlws.FILTER($B$2:$B$2000,(IFERROR(VALUE(MID($A$2:$A$2000,4,2)),0)=MONTH(C140))*(IFERROR(VALUE(RIGHT($A$2:$A$2000,4)),0)=YEAR(C140)))),""))</f>
        <v/>
      </c>
      <c r="E140" s="62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4" t="inlineStr">
        <is>
          <t>05/08/2005</t>
        </is>
      </c>
      <c r="B141" s="31" t="n">
        <v>2.3466</v>
      </c>
      <c r="C141" s="69" t="n">
        <v>41821</v>
      </c>
      <c r="D141" s="70">
        <f t="array" ref="D141">IF(C141="","",IFERROR(AVERAGE(_xlfn._xlws.FILTER($B$2:$B$2000,(IFERROR(VALUE(MID($A$2:$A$2000,4,2)),0)=MONTH(C141))*(IFERROR(VALUE(RIGHT($A$2:$A$2000,4)),0)=YEAR(C141)))),""))</f>
        <v/>
      </c>
      <c r="E141" s="62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4" t="inlineStr">
        <is>
          <t>12/08/2005</t>
        </is>
      </c>
      <c r="B142" s="31" t="n">
        <v>2.3302</v>
      </c>
      <c r="C142" s="69" t="n">
        <v>41852</v>
      </c>
      <c r="D142" s="70">
        <f t="array" ref="D142">IF(C142="","",IFERROR(AVERAGE(_xlfn._xlws.FILTER($B$2:$B$2000,(IFERROR(VALUE(MID($A$2:$A$2000,4,2)),0)=MONTH(C142))*(IFERROR(VALUE(RIGHT($A$2:$A$2000,4)),0)=YEAR(C142)))),""))</f>
        <v/>
      </c>
      <c r="E142" s="62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4" t="inlineStr">
        <is>
          <t>19/08/2005</t>
        </is>
      </c>
      <c r="B143" s="31" t="n">
        <v>2.338</v>
      </c>
      <c r="C143" s="69" t="n">
        <v>41883</v>
      </c>
      <c r="D143" s="70">
        <f t="array" ref="D143">IF(C143="","",IFERROR(AVERAGE(_xlfn._xlws.FILTER($B$2:$B$2000,(IFERROR(VALUE(MID($A$2:$A$2000,4,2)),0)=MONTH(C143))*(IFERROR(VALUE(RIGHT($A$2:$A$2000,4)),0)=YEAR(C143)))),""))</f>
        <v/>
      </c>
      <c r="E143" s="62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4" t="inlineStr">
        <is>
          <t>26/08/2005</t>
        </is>
      </c>
      <c r="B144" s="31" t="n">
        <v>2.3387</v>
      </c>
      <c r="C144" s="69" t="n">
        <v>41913</v>
      </c>
      <c r="D144" s="70">
        <f t="array" ref="D144">IF(C144="","",IFERROR(AVERAGE(_xlfn._xlws.FILTER($B$2:$B$2000,(IFERROR(VALUE(MID($A$2:$A$2000,4,2)),0)=MONTH(C144))*(IFERROR(VALUE(RIGHT($A$2:$A$2000,4)),0)=YEAR(C144)))),""))</f>
        <v/>
      </c>
      <c r="E144" s="62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4" t="inlineStr">
        <is>
          <t>02/09/2005</t>
        </is>
      </c>
      <c r="B145" s="31" t="n">
        <v>2.3541</v>
      </c>
      <c r="C145" s="69" t="n">
        <v>41944</v>
      </c>
      <c r="D145" s="70">
        <f t="array" ref="D145">IF(C145="","",IFERROR(AVERAGE(_xlfn._xlws.FILTER($B$2:$B$2000,(IFERROR(VALUE(MID($A$2:$A$2000,4,2)),0)=MONTH(C145))*(IFERROR(VALUE(RIGHT($A$2:$A$2000,4)),0)=YEAR(C145)))),""))</f>
        <v/>
      </c>
      <c r="E145" s="62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4" t="inlineStr">
        <is>
          <t>09/09/2005</t>
        </is>
      </c>
      <c r="B146" s="31" t="n">
        <v>2.3841</v>
      </c>
      <c r="C146" s="69" t="n">
        <v>41974</v>
      </c>
      <c r="D146" s="70">
        <f t="array" ref="D146">IF(C146="","",IFERROR(AVERAGE(_xlfn._xlws.FILTER($B$2:$B$2000,(IFERROR(VALUE(MID($A$2:$A$2000,4,2)),0)=MONTH(C146))*(IFERROR(VALUE(RIGHT($A$2:$A$2000,4)),0)=YEAR(C146)))),""))</f>
        <v/>
      </c>
      <c r="E146" s="62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4" t="inlineStr">
        <is>
          <t>16/09/2005</t>
        </is>
      </c>
      <c r="B147" s="31" t="n">
        <v>2.5586</v>
      </c>
      <c r="C147" s="69" t="n">
        <v>42005</v>
      </c>
      <c r="D147" s="70">
        <f t="array" ref="D147">IF(C147="","",IFERROR(AVERAGE(_xlfn._xlws.FILTER($B$2:$B$2000,(IFERROR(VALUE(MID($A$2:$A$2000,4,2)),0)=MONTH(C147))*(IFERROR(VALUE(RIGHT($A$2:$A$2000,4)),0)=YEAR(C147)))),""))</f>
        <v/>
      </c>
      <c r="E147" s="62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4" t="inlineStr">
        <is>
          <t>23/09/2005</t>
        </is>
      </c>
      <c r="B148" s="31" t="n">
        <v>2.8252</v>
      </c>
      <c r="C148" s="69" t="n">
        <v>42036</v>
      </c>
      <c r="D148" s="70">
        <f t="array" ref="D148">IF(C148="","",IFERROR(AVERAGE(_xlfn._xlws.FILTER($B$2:$B$2000,(IFERROR(VALUE(MID($A$2:$A$2000,4,2)),0)=MONTH(C148))*(IFERROR(VALUE(RIGHT($A$2:$A$2000,4)),0)=YEAR(C148)))),""))</f>
        <v/>
      </c>
      <c r="E148" s="62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4" t="inlineStr">
        <is>
          <t>30/09/2005</t>
        </is>
      </c>
      <c r="B149" s="31" t="n">
        <v>2.8764</v>
      </c>
      <c r="C149" s="69" t="n">
        <v>42064</v>
      </c>
      <c r="D149" s="70">
        <f t="array" ref="D149">IF(C149="","",IFERROR(AVERAGE(_xlfn._xlws.FILTER($B$2:$B$2000,(IFERROR(VALUE(MID($A$2:$A$2000,4,2)),0)=MONTH(C149))*(IFERROR(VALUE(RIGHT($A$2:$A$2000,4)),0)=YEAR(C149)))),""))</f>
        <v/>
      </c>
      <c r="E149" s="62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4" t="inlineStr">
        <is>
          <t>07/10/2005</t>
        </is>
      </c>
      <c r="B150" s="31" t="n">
        <v>2.9171</v>
      </c>
      <c r="C150" s="69" t="n">
        <v>42095</v>
      </c>
      <c r="D150" s="70">
        <f t="array" ref="D150">IF(C150="","",IFERROR(AVERAGE(_xlfn._xlws.FILTER($B$2:$B$2000,(IFERROR(VALUE(MID($A$2:$A$2000,4,2)),0)=MONTH(C150))*(IFERROR(VALUE(RIGHT($A$2:$A$2000,4)),0)=YEAR(C150)))),""))</f>
        <v/>
      </c>
      <c r="E150" s="62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4" t="inlineStr">
        <is>
          <t>14/10/2005</t>
        </is>
      </c>
      <c r="B151" s="31" t="n">
        <v>2.9669</v>
      </c>
      <c r="C151" s="69" t="n">
        <v>42125</v>
      </c>
      <c r="D151" s="70">
        <f t="array" ref="D151">IF(C151="","",IFERROR(AVERAGE(_xlfn._xlws.FILTER($B$2:$B$2000,(IFERROR(VALUE(MID($A$2:$A$2000,4,2)),0)=MONTH(C151))*(IFERROR(VALUE(RIGHT($A$2:$A$2000,4)),0)=YEAR(C151)))),""))</f>
        <v/>
      </c>
      <c r="E151" s="62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4" t="inlineStr">
        <is>
          <t>21/10/2005</t>
        </is>
      </c>
      <c r="B152" s="31" t="n">
        <v>2.9463</v>
      </c>
      <c r="C152" s="69" t="n">
        <v>42156</v>
      </c>
      <c r="D152" s="70">
        <f t="array" ref="D152">IF(C152="","",IFERROR(AVERAGE(_xlfn._xlws.FILTER($B$2:$B$2000,(IFERROR(VALUE(MID($A$2:$A$2000,4,2)),0)=MONTH(C152))*(IFERROR(VALUE(RIGHT($A$2:$A$2000,4)),0)=YEAR(C152)))),""))</f>
        <v/>
      </c>
      <c r="E152" s="62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4" t="inlineStr">
        <is>
          <t>28/10/2005</t>
        </is>
      </c>
      <c r="B153" s="31" t="n">
        <v>2.8812</v>
      </c>
      <c r="C153" s="69" t="n">
        <v>42186</v>
      </c>
      <c r="D153" s="70">
        <f t="array" ref="D153">IF(C153="","",IFERROR(AVERAGE(_xlfn._xlws.FILTER($B$2:$B$2000,(IFERROR(VALUE(MID($A$2:$A$2000,4,2)),0)=MONTH(C153))*(IFERROR(VALUE(RIGHT($A$2:$A$2000,4)),0)=YEAR(C153)))),""))</f>
        <v/>
      </c>
      <c r="E153" s="62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4" t="inlineStr">
        <is>
          <t>04/11/2005</t>
        </is>
      </c>
      <c r="B154" s="31" t="n">
        <v>2.8694</v>
      </c>
      <c r="C154" s="69" t="n">
        <v>42217</v>
      </c>
      <c r="D154" s="70">
        <f t="array" ref="D154">IF(C154="","",IFERROR(AVERAGE(_xlfn._xlws.FILTER($B$2:$B$2000,(IFERROR(VALUE(MID($A$2:$A$2000,4,2)),0)=MONTH(C154))*(IFERROR(VALUE(RIGHT($A$2:$A$2000,4)),0)=YEAR(C154)))),""))</f>
        <v/>
      </c>
      <c r="E154" s="62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4" t="inlineStr">
        <is>
          <t>11/11/2005</t>
        </is>
      </c>
      <c r="B155" s="31" t="n">
        <v>2.8662</v>
      </c>
      <c r="C155" s="69" t="n">
        <v>42248</v>
      </c>
      <c r="D155" s="70">
        <f t="array" ref="D155">IF(C155="","",IFERROR(AVERAGE(_xlfn._xlws.FILTER($B$2:$B$2000,(IFERROR(VALUE(MID($A$2:$A$2000,4,2)),0)=MONTH(C155))*(IFERROR(VALUE(RIGHT($A$2:$A$2000,4)),0)=YEAR(C155)))),""))</f>
        <v/>
      </c>
      <c r="E155" s="62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4" t="inlineStr">
        <is>
          <t>18/11/2005</t>
        </is>
      </c>
      <c r="B156" s="31" t="n">
        <v>2.8627</v>
      </c>
      <c r="C156" s="69" t="n">
        <v>42278</v>
      </c>
      <c r="D156" s="70">
        <f t="array" ref="D156">IF(C156="","",IFERROR(AVERAGE(_xlfn._xlws.FILTER($B$2:$B$2000,(IFERROR(VALUE(MID($A$2:$A$2000,4,2)),0)=MONTH(C156))*(IFERROR(VALUE(RIGHT($A$2:$A$2000,4)),0)=YEAR(C156)))),""))</f>
        <v/>
      </c>
      <c r="E156" s="62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4" t="inlineStr">
        <is>
          <t>25/11/2005</t>
        </is>
      </c>
      <c r="B157" s="31" t="n">
        <v>2.9006</v>
      </c>
      <c r="C157" s="69" t="n">
        <v>42309</v>
      </c>
      <c r="D157" s="70">
        <f t="array" ref="D157">IF(C157="","",IFERROR(AVERAGE(_xlfn._xlws.FILTER($B$2:$B$2000,(IFERROR(VALUE(MID($A$2:$A$2000,4,2)),0)=MONTH(C157))*(IFERROR(VALUE(RIGHT($A$2:$A$2000,4)),0)=YEAR(C157)))),""))</f>
        <v/>
      </c>
      <c r="E157" s="62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4" t="inlineStr">
        <is>
          <t>02/12/2005</t>
        </is>
      </c>
      <c r="B158" s="31" t="n">
        <v>3.0516</v>
      </c>
      <c r="C158" s="69" t="n">
        <v>42339</v>
      </c>
      <c r="D158" s="70">
        <f t="array" ref="D158">IF(C158="","",IFERROR(AVERAGE(_xlfn._xlws.FILTER($B$2:$B$2000,(IFERROR(VALUE(MID($A$2:$A$2000,4,2)),0)=MONTH(C158))*(IFERROR(VALUE(RIGHT($A$2:$A$2000,4)),0)=YEAR(C158)))),""))</f>
        <v/>
      </c>
      <c r="E158" s="62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4" t="inlineStr">
        <is>
          <t>09/12/2005</t>
        </is>
      </c>
      <c r="B159" s="31" t="n">
        <v>3.281</v>
      </c>
      <c r="C159" s="69" t="n">
        <v>42370</v>
      </c>
      <c r="D159" s="70">
        <f t="array" ref="D159">IF(C159="","",IFERROR(AVERAGE(_xlfn._xlws.FILTER($B$2:$B$2000,(IFERROR(VALUE(MID($A$2:$A$2000,4,2)),0)=MONTH(C159))*(IFERROR(VALUE(RIGHT($A$2:$A$2000,4)),0)=YEAR(C159)))),""))</f>
        <v/>
      </c>
      <c r="E159" s="62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4" t="inlineStr">
        <is>
          <t>16/12/2005</t>
        </is>
      </c>
      <c r="B160" s="31" t="n">
        <v>3.4191</v>
      </c>
      <c r="C160" s="69" t="n">
        <v>42401</v>
      </c>
      <c r="D160" s="70">
        <f t="array" ref="D160">IF(C160="","",IFERROR(AVERAGE(_xlfn._xlws.FILTER($B$2:$B$2000,(IFERROR(VALUE(MID($A$2:$A$2000,4,2)),0)=MONTH(C160))*(IFERROR(VALUE(RIGHT($A$2:$A$2000,4)),0)=YEAR(C160)))),""))</f>
        <v/>
      </c>
      <c r="E160" s="62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4" t="inlineStr">
        <is>
          <t>23/12/2005</t>
        </is>
      </c>
      <c r="B161" s="31" t="n">
        <v>3.5118</v>
      </c>
      <c r="C161" s="69" t="n">
        <v>42430</v>
      </c>
      <c r="D161" s="70">
        <f t="array" ref="D161">IF(C161="","",IFERROR(AVERAGE(_xlfn._xlws.FILTER($B$2:$B$2000,(IFERROR(VALUE(MID($A$2:$A$2000,4,2)),0)=MONTH(C161))*(IFERROR(VALUE(RIGHT($A$2:$A$2000,4)),0)=YEAR(C161)))),""))</f>
        <v/>
      </c>
      <c r="E161" s="62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4" t="inlineStr">
        <is>
          <t>29/12/2005</t>
        </is>
      </c>
      <c r="B162" s="31" t="n">
        <v>3.5656</v>
      </c>
      <c r="C162" s="69" t="n">
        <v>42461</v>
      </c>
      <c r="D162" s="70">
        <f t="array" ref="D162">IF(C162="","",IFERROR(AVERAGE(_xlfn._xlws.FILTER($B$2:$B$2000,(IFERROR(VALUE(MID($A$2:$A$2000,4,2)),0)=MONTH(C162))*(IFERROR(VALUE(RIGHT($A$2:$A$2000,4)),0)=YEAR(C162)))),""))</f>
        <v/>
      </c>
      <c r="E162" s="62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4" t="inlineStr">
        <is>
          <t>06/01/2006</t>
        </is>
      </c>
      <c r="B163" s="31" t="n">
        <v>3.6296</v>
      </c>
      <c r="C163" s="69" t="n">
        <v>42491</v>
      </c>
      <c r="D163" s="70">
        <f t="array" ref="D163">IF(C163="","",IFERROR(AVERAGE(_xlfn._xlws.FILTER($B$2:$B$2000,(IFERROR(VALUE(MID($A$2:$A$2000,4,2)),0)=MONTH(C163))*(IFERROR(VALUE(RIGHT($A$2:$A$2000,4)),0)=YEAR(C163)))),""))</f>
        <v/>
      </c>
      <c r="E163" s="62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4" t="inlineStr">
        <is>
          <t>13/01/2006</t>
        </is>
      </c>
      <c r="B164" s="31" t="n">
        <v>3.5798</v>
      </c>
      <c r="C164" s="69" t="n">
        <v>42522</v>
      </c>
      <c r="D164" s="70">
        <f t="array" ref="D164">IF(C164="","",IFERROR(AVERAGE(_xlfn._xlws.FILTER($B$2:$B$2000,(IFERROR(VALUE(MID($A$2:$A$2000,4,2)),0)=MONTH(C164))*(IFERROR(VALUE(RIGHT($A$2:$A$2000,4)),0)=YEAR(C164)))),""))</f>
        <v/>
      </c>
      <c r="E164" s="62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4" t="inlineStr">
        <is>
          <t>20/01/2006</t>
        </is>
      </c>
      <c r="B165" s="31" t="n">
        <v>3.5485</v>
      </c>
      <c r="C165" s="69" t="n">
        <v>42552</v>
      </c>
      <c r="D165" s="70">
        <f t="array" ref="D165">IF(C165="","",IFERROR(AVERAGE(_xlfn._xlws.FILTER($B$2:$B$2000,(IFERROR(VALUE(MID($A$2:$A$2000,4,2)),0)=MONTH(C165))*(IFERROR(VALUE(RIGHT($A$2:$A$2000,4)),0)=YEAR(C165)))),""))</f>
        <v/>
      </c>
      <c r="E165" s="62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4" t="inlineStr">
        <is>
          <t>27/01/2006</t>
        </is>
      </c>
      <c r="B166" s="31" t="n">
        <v>3.5563</v>
      </c>
      <c r="C166" s="69" t="n">
        <v>42583</v>
      </c>
      <c r="D166" s="70">
        <f t="array" ref="D166">IF(C166="","",IFERROR(AVERAGE(_xlfn._xlws.FILTER($B$2:$B$2000,(IFERROR(VALUE(MID($A$2:$A$2000,4,2)),0)=MONTH(C166))*(IFERROR(VALUE(RIGHT($A$2:$A$2000,4)),0)=YEAR(C166)))),""))</f>
        <v/>
      </c>
      <c r="E166" s="62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4" t="inlineStr">
        <is>
          <t>03/02/2006</t>
        </is>
      </c>
      <c r="B167" s="31" t="n">
        <v>3.5615</v>
      </c>
      <c r="C167" s="69" t="n">
        <v>42614</v>
      </c>
      <c r="D167" s="70">
        <f t="array" ref="D167">IF(C167="","",IFERROR(AVERAGE(_xlfn._xlws.FILTER($B$2:$B$2000,(IFERROR(VALUE(MID($A$2:$A$2000,4,2)),0)=MONTH(C167))*(IFERROR(VALUE(RIGHT($A$2:$A$2000,4)),0)=YEAR(C167)))),""))</f>
        <v/>
      </c>
      <c r="E167" s="62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4" t="inlineStr">
        <is>
          <t>10/02/2006</t>
        </is>
      </c>
      <c r="B168" s="31" t="n">
        <v>3.6401</v>
      </c>
      <c r="C168" s="69" t="n">
        <v>42644</v>
      </c>
      <c r="D168" s="70">
        <f t="array" ref="D168">IF(C168="","",IFERROR(AVERAGE(_xlfn._xlws.FILTER($B$2:$B$2000,(IFERROR(VALUE(MID($A$2:$A$2000,4,2)),0)=MONTH(C168))*(IFERROR(VALUE(RIGHT($A$2:$A$2000,4)),0)=YEAR(C168)))),""))</f>
        <v/>
      </c>
      <c r="E168" s="62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4" t="inlineStr">
        <is>
          <t>17/02/2006</t>
        </is>
      </c>
      <c r="B169" s="31" t="n">
        <v>3.76</v>
      </c>
      <c r="C169" s="69" t="n">
        <v>42675</v>
      </c>
      <c r="D169" s="70">
        <f t="array" ref="D169">IF(C169="","",IFERROR(AVERAGE(_xlfn._xlws.FILTER($B$2:$B$2000,(IFERROR(VALUE(MID($A$2:$A$2000,4,2)),0)=MONTH(C169))*(IFERROR(VALUE(RIGHT($A$2:$A$2000,4)),0)=YEAR(C169)))),""))</f>
        <v/>
      </c>
      <c r="E169" s="62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4" t="inlineStr">
        <is>
          <t>24/02/2006</t>
        </is>
      </c>
      <c r="B170" s="31" t="n">
        <v>4.0437</v>
      </c>
      <c r="C170" s="69" t="n">
        <v>42705</v>
      </c>
      <c r="D170" s="70">
        <f t="array" ref="D170">IF(C170="","",IFERROR(AVERAGE(_xlfn._xlws.FILTER($B$2:$B$2000,(IFERROR(VALUE(MID($A$2:$A$2000,4,2)),0)=MONTH(C170))*(IFERROR(VALUE(RIGHT($A$2:$A$2000,4)),0)=YEAR(C170)))),""))</f>
        <v/>
      </c>
      <c r="E170" s="62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4" t="inlineStr">
        <is>
          <t>03/03/2006</t>
        </is>
      </c>
      <c r="B171" s="31" t="n">
        <v>4.2197</v>
      </c>
      <c r="C171" s="69" t="n">
        <v>42736</v>
      </c>
      <c r="D171" s="70">
        <f t="array" ref="D171">IF(C171="","",IFERROR(AVERAGE(_xlfn._xlws.FILTER($B$2:$B$2000,(IFERROR(VALUE(MID($A$2:$A$2000,4,2)),0)=MONTH(C171))*(IFERROR(VALUE(RIGHT($A$2:$A$2000,4)),0)=YEAR(C171)))),""))</f>
        <v/>
      </c>
      <c r="E171" s="62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4" t="inlineStr">
        <is>
          <t>10/03/2006</t>
        </is>
      </c>
      <c r="B172" s="31" t="n">
        <v>4.3631</v>
      </c>
      <c r="C172" s="69" t="n">
        <v>42767</v>
      </c>
      <c r="D172" s="70">
        <f t="array" ref="D172">IF(C172="","",IFERROR(AVERAGE(_xlfn._xlws.FILTER($B$2:$B$2000,(IFERROR(VALUE(MID($A$2:$A$2000,4,2)),0)=MONTH(C172))*(IFERROR(VALUE(RIGHT($A$2:$A$2000,4)),0)=YEAR(C172)))),""))</f>
        <v/>
      </c>
      <c r="E172" s="62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4" t="inlineStr">
        <is>
          <t>17/03/2006</t>
        </is>
      </c>
      <c r="B173" s="31" t="n">
        <v>4.3188</v>
      </c>
      <c r="C173" s="69" t="n">
        <v>42795</v>
      </c>
      <c r="D173" s="70">
        <f t="array" ref="D173">IF(C173="","",IFERROR(AVERAGE(_xlfn._xlws.FILTER($B$2:$B$2000,(IFERROR(VALUE(MID($A$2:$A$2000,4,2)),0)=MONTH(C173))*(IFERROR(VALUE(RIGHT($A$2:$A$2000,4)),0)=YEAR(C173)))),""))</f>
        <v/>
      </c>
      <c r="E173" s="62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4" t="inlineStr">
        <is>
          <t>24/03/2006</t>
        </is>
      </c>
      <c r="B174" s="31" t="n">
        <v>4.2657</v>
      </c>
      <c r="C174" s="69" t="n">
        <v>42826</v>
      </c>
      <c r="D174" s="70">
        <f t="array" ref="D174">IF(C174="","",IFERROR(AVERAGE(_xlfn._xlws.FILTER($B$2:$B$2000,(IFERROR(VALUE(MID($A$2:$A$2000,4,2)),0)=MONTH(C174))*(IFERROR(VALUE(RIGHT($A$2:$A$2000,4)),0)=YEAR(C174)))),""))</f>
        <v/>
      </c>
      <c r="E174" s="62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4" t="inlineStr">
        <is>
          <t>31/03/2006</t>
        </is>
      </c>
      <c r="B175" s="31" t="n">
        <v>4.2035</v>
      </c>
      <c r="C175" s="69" t="n">
        <v>42856</v>
      </c>
      <c r="D175" s="70">
        <f t="array" ref="D175">IF(C175="","",IFERROR(AVERAGE(_xlfn._xlws.FILTER($B$2:$B$2000,(IFERROR(VALUE(MID($A$2:$A$2000,4,2)),0)=MONTH(C175))*(IFERROR(VALUE(RIGHT($A$2:$A$2000,4)),0)=YEAR(C175)))),""))</f>
        <v/>
      </c>
      <c r="E175" s="62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4" t="inlineStr">
        <is>
          <t>07/04/2006</t>
        </is>
      </c>
      <c r="B176" s="31" t="n">
        <v>4.0903</v>
      </c>
      <c r="C176" s="69" t="n">
        <v>42887</v>
      </c>
      <c r="D176" s="70">
        <f t="array" ref="D176">IF(C176="","",IFERROR(AVERAGE(_xlfn._xlws.FILTER($B$2:$B$2000,(IFERROR(VALUE(MID($A$2:$A$2000,4,2)),0)=MONTH(C176))*(IFERROR(VALUE(RIGHT($A$2:$A$2000,4)),0)=YEAR(C176)))),""))</f>
        <v/>
      </c>
      <c r="E176" s="62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4" t="inlineStr">
        <is>
          <t>13/04/2006</t>
        </is>
      </c>
      <c r="B177" s="31" t="n">
        <v>3.9593</v>
      </c>
      <c r="C177" s="69" t="n">
        <v>42917</v>
      </c>
      <c r="D177" s="70">
        <f t="array" ref="D177">IF(C177="","",IFERROR(AVERAGE(_xlfn._xlws.FILTER($B$2:$B$2000,(IFERROR(VALUE(MID($A$2:$A$2000,4,2)),0)=MONTH(C177))*(IFERROR(VALUE(RIGHT($A$2:$A$2000,4)),0)=YEAR(C177)))),""))</f>
        <v/>
      </c>
      <c r="E177" s="62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4" t="inlineStr">
        <is>
          <t>20/04/2006</t>
        </is>
      </c>
      <c r="B178" s="31" t="n">
        <v>3.6811</v>
      </c>
      <c r="C178" s="69" t="n">
        <v>42948</v>
      </c>
      <c r="D178" s="70">
        <f t="array" ref="D178">IF(C178="","",IFERROR(AVERAGE(_xlfn._xlws.FILTER($B$2:$B$2000,(IFERROR(VALUE(MID($A$2:$A$2000,4,2)),0)=MONTH(C178))*(IFERROR(VALUE(RIGHT($A$2:$A$2000,4)),0)=YEAR(C178)))),""))</f>
        <v/>
      </c>
      <c r="E178" s="62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4" t="inlineStr">
        <is>
          <t>28/04/2006</t>
        </is>
      </c>
      <c r="B179" s="31" t="n">
        <v>3.1979</v>
      </c>
      <c r="C179" s="69" t="n">
        <v>42979</v>
      </c>
      <c r="D179" s="70">
        <f t="array" ref="D179">IF(C179="","",IFERROR(AVERAGE(_xlfn._xlws.FILTER($B$2:$B$2000,(IFERROR(VALUE(MID($A$2:$A$2000,4,2)),0)=MONTH(C179))*(IFERROR(VALUE(RIGHT($A$2:$A$2000,4)),0)=YEAR(C179)))),""))</f>
        <v/>
      </c>
      <c r="E179" s="62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4" t="inlineStr">
        <is>
          <t>05/05/2006</t>
        </is>
      </c>
      <c r="B180" s="31" t="n">
        <v>3.0106</v>
      </c>
      <c r="C180" s="69" t="n">
        <v>43009</v>
      </c>
      <c r="D180" s="70">
        <f t="array" ref="D180">IF(C180="","",IFERROR(AVERAGE(_xlfn._xlws.FILTER($B$2:$B$2000,(IFERROR(VALUE(MID($A$2:$A$2000,4,2)),0)=MONTH(C180))*(IFERROR(VALUE(RIGHT($A$2:$A$2000,4)),0)=YEAR(C180)))),""))</f>
        <v/>
      </c>
      <c r="E180" s="62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4" t="inlineStr">
        <is>
          <t>12/05/2006</t>
        </is>
      </c>
      <c r="B181" s="31" t="n">
        <v>3.0092</v>
      </c>
      <c r="C181" s="69" t="n">
        <v>43040</v>
      </c>
      <c r="D181" s="70">
        <f t="array" ref="D181">IF(C181="","",IFERROR(AVERAGE(_xlfn._xlws.FILTER($B$2:$B$2000,(IFERROR(VALUE(MID($A$2:$A$2000,4,2)),0)=MONTH(C181))*(IFERROR(VALUE(RIGHT($A$2:$A$2000,4)),0)=YEAR(C181)))),""))</f>
        <v/>
      </c>
      <c r="E181" s="62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4" t="inlineStr">
        <is>
          <t>19/05/2006</t>
        </is>
      </c>
      <c r="B182" s="31" t="n">
        <v>2.947</v>
      </c>
      <c r="C182" s="69" t="n">
        <v>43070</v>
      </c>
      <c r="D182" s="70">
        <f t="array" ref="D182">IF(C182="","",IFERROR(AVERAGE(_xlfn._xlws.FILTER($B$2:$B$2000,(IFERROR(VALUE(MID($A$2:$A$2000,4,2)),0)=MONTH(C182))*(IFERROR(VALUE(RIGHT($A$2:$A$2000,4)),0)=YEAR(C182)))),""))</f>
        <v/>
      </c>
      <c r="E182" s="62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4" t="inlineStr">
        <is>
          <t>26/05/2006</t>
        </is>
      </c>
      <c r="B183" s="31" t="n">
        <v>2.9558</v>
      </c>
      <c r="C183" s="69" t="n">
        <v>43101</v>
      </c>
      <c r="D183" s="70">
        <f t="array" ref="D183">IF(C183="","",IFERROR(AVERAGE(_xlfn._xlws.FILTER($B$2:$B$2000,(IFERROR(VALUE(MID($A$2:$A$2000,4,2)),0)=MONTH(C183))*(IFERROR(VALUE(RIGHT($A$2:$A$2000,4)),0)=YEAR(C183)))),""))</f>
        <v/>
      </c>
      <c r="E183" s="62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4" t="inlineStr">
        <is>
          <t>02/06/2006</t>
        </is>
      </c>
      <c r="B184" s="31" t="n">
        <v>2.9394</v>
      </c>
      <c r="C184" s="69" t="n">
        <v>43132</v>
      </c>
      <c r="D184" s="70">
        <f t="array" ref="D184">IF(C184="","",IFERROR(AVERAGE(_xlfn._xlws.FILTER($B$2:$B$2000,(IFERROR(VALUE(MID($A$2:$A$2000,4,2)),0)=MONTH(C184))*(IFERROR(VALUE(RIGHT($A$2:$A$2000,4)),0)=YEAR(C184)))),""))</f>
        <v/>
      </c>
      <c r="E184" s="62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4" t="inlineStr">
        <is>
          <t>09/06/2006</t>
        </is>
      </c>
      <c r="B185" s="31" t="n">
        <v>2.9687</v>
      </c>
      <c r="C185" s="69" t="n">
        <v>43160</v>
      </c>
      <c r="D185" s="70">
        <f t="array" ref="D185">IF(C185="","",IFERROR(AVERAGE(_xlfn._xlws.FILTER($B$2:$B$2000,(IFERROR(VALUE(MID($A$2:$A$2000,4,2)),0)=MONTH(C185))*(IFERROR(VALUE(RIGHT($A$2:$A$2000,4)),0)=YEAR(C185)))),""))</f>
        <v/>
      </c>
      <c r="E185" s="62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4" t="inlineStr">
        <is>
          <t>16/06/2006</t>
        </is>
      </c>
      <c r="B186" s="31" t="n">
        <v>2.9725</v>
      </c>
      <c r="C186" s="69" t="n">
        <v>43191</v>
      </c>
      <c r="D186" s="70">
        <f t="array" ref="D186">IF(C186="","",IFERROR(AVERAGE(_xlfn._xlws.FILTER($B$2:$B$2000,(IFERROR(VALUE(MID($A$2:$A$2000,4,2)),0)=MONTH(C186))*(IFERROR(VALUE(RIGHT($A$2:$A$2000,4)),0)=YEAR(C186)))),""))</f>
        <v/>
      </c>
      <c r="E186" s="62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4" t="inlineStr">
        <is>
          <t>23/06/2006</t>
        </is>
      </c>
      <c r="B187" s="31" t="n">
        <v>2.9921</v>
      </c>
      <c r="C187" s="69" t="n">
        <v>43221</v>
      </c>
      <c r="D187" s="70">
        <f t="array" ref="D187">IF(C187="","",IFERROR(AVERAGE(_xlfn._xlws.FILTER($B$2:$B$2000,(IFERROR(VALUE(MID($A$2:$A$2000,4,2)),0)=MONTH(C187))*(IFERROR(VALUE(RIGHT($A$2:$A$2000,4)),0)=YEAR(C187)))),""))</f>
        <v/>
      </c>
      <c r="E187" s="62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4" t="inlineStr">
        <is>
          <t>30/06/2006</t>
        </is>
      </c>
      <c r="B188" s="31" t="n">
        <v>3.0608</v>
      </c>
      <c r="C188" s="69" t="n">
        <v>43252</v>
      </c>
      <c r="D188" s="70">
        <f t="array" ref="D188">IF(C188="","",IFERROR(AVERAGE(_xlfn._xlws.FILTER($B$2:$B$2000,(IFERROR(VALUE(MID($A$2:$A$2000,4,2)),0)=MONTH(C188))*(IFERROR(VALUE(RIGHT($A$2:$A$2000,4)),0)=YEAR(C188)))),""))</f>
        <v/>
      </c>
      <c r="E188" s="62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4" t="inlineStr">
        <is>
          <t>07/07/2006</t>
        </is>
      </c>
      <c r="B189" s="31" t="n">
        <v>3.1229</v>
      </c>
      <c r="C189" s="69" t="n">
        <v>43282</v>
      </c>
      <c r="D189" s="70">
        <f t="array" ref="D189">IF(C189="","",IFERROR(AVERAGE(_xlfn._xlws.FILTER($B$2:$B$2000,(IFERROR(VALUE(MID($A$2:$A$2000,4,2)),0)=MONTH(C189))*(IFERROR(VALUE(RIGHT($A$2:$A$2000,4)),0)=YEAR(C189)))),""))</f>
        <v/>
      </c>
      <c r="E189" s="62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4" t="inlineStr">
        <is>
          <t>14/07/2006</t>
        </is>
      </c>
      <c r="B190" s="31" t="n">
        <v>3.1689</v>
      </c>
      <c r="C190" s="69" t="n">
        <v>43313</v>
      </c>
      <c r="D190" s="70">
        <f t="array" ref="D190">IF(C190="","",IFERROR(AVERAGE(_xlfn._xlws.FILTER($B$2:$B$2000,(IFERROR(VALUE(MID($A$2:$A$2000,4,2)),0)=MONTH(C190))*(IFERROR(VALUE(RIGHT($A$2:$A$2000,4)),0)=YEAR(C190)))),""))</f>
        <v/>
      </c>
      <c r="E190" s="62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4" t="inlineStr">
        <is>
          <t>21/07/2006</t>
        </is>
      </c>
      <c r="B191" s="31" t="n">
        <v>3.1693</v>
      </c>
      <c r="C191" s="69" t="n">
        <v>43344</v>
      </c>
      <c r="D191" s="70">
        <f t="array" ref="D191">IF(C191="","",IFERROR(AVERAGE(_xlfn._xlws.FILTER($B$2:$B$2000,(IFERROR(VALUE(MID($A$2:$A$2000,4,2)),0)=MONTH(C191))*(IFERROR(VALUE(RIGHT($A$2:$A$2000,4)),0)=YEAR(C191)))),""))</f>
        <v/>
      </c>
      <c r="E191" s="62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4" t="inlineStr">
        <is>
          <t>28/07/2006</t>
        </is>
      </c>
      <c r="B192" s="31" t="n">
        <v>3.1215</v>
      </c>
      <c r="C192" s="69" t="n">
        <v>43374</v>
      </c>
      <c r="D192" s="70">
        <f t="array" ref="D192">IF(C192="","",IFERROR(AVERAGE(_xlfn._xlws.FILTER($B$2:$B$2000,(IFERROR(VALUE(MID($A$2:$A$2000,4,2)),0)=MONTH(C192))*(IFERROR(VALUE(RIGHT($A$2:$A$2000,4)),0)=YEAR(C192)))),""))</f>
        <v/>
      </c>
      <c r="E192" s="62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4" t="inlineStr">
        <is>
          <t>04/08/2006</t>
        </is>
      </c>
      <c r="B193" s="31" t="n">
        <v>3.0642</v>
      </c>
      <c r="C193" s="69" t="n">
        <v>43405</v>
      </c>
      <c r="D193" s="70">
        <f t="array" ref="D193">IF(C193="","",IFERROR(AVERAGE(_xlfn._xlws.FILTER($B$2:$B$2000,(IFERROR(VALUE(MID($A$2:$A$2000,4,2)),0)=MONTH(C193))*(IFERROR(VALUE(RIGHT($A$2:$A$2000,4)),0)=YEAR(C193)))),""))</f>
        <v/>
      </c>
      <c r="E193" s="62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4" t="inlineStr">
        <is>
          <t>11/08/2006</t>
        </is>
      </c>
      <c r="B194" s="31" t="n">
        <v>2.9552</v>
      </c>
      <c r="C194" s="69" t="n">
        <v>43435</v>
      </c>
      <c r="D194" s="70">
        <f t="array" ref="D194">IF(C194="","",IFERROR(AVERAGE(_xlfn._xlws.FILTER($B$2:$B$2000,(IFERROR(VALUE(MID($A$2:$A$2000,4,2)),0)=MONTH(C194))*(IFERROR(VALUE(RIGHT($A$2:$A$2000,4)),0)=YEAR(C194)))),""))</f>
        <v/>
      </c>
      <c r="E194" s="62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4" t="inlineStr">
        <is>
          <t>18/08/2006</t>
        </is>
      </c>
      <c r="B195" s="31" t="n">
        <v>2.7389</v>
      </c>
      <c r="C195" s="69" t="n">
        <v>43466</v>
      </c>
      <c r="D195" s="70">
        <f t="array" ref="D195">IF(C195="","",IFERROR(AVERAGE(_xlfn._xlws.FILTER($B$2:$B$2000,(IFERROR(VALUE(MID($A$2:$A$2000,4,2)),0)=MONTH(C195))*(IFERROR(VALUE(RIGHT($A$2:$A$2000,4)),0)=YEAR(C195)))),""))</f>
        <v/>
      </c>
      <c r="E195" s="62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4" t="inlineStr">
        <is>
          <t>25/08/2006</t>
        </is>
      </c>
      <c r="B196" s="31" t="n">
        <v>2.731</v>
      </c>
      <c r="C196" s="69" t="n">
        <v>43497</v>
      </c>
      <c r="D196" s="70">
        <f t="array" ref="D196">IF(C196="","",IFERROR(AVERAGE(_xlfn._xlws.FILTER($B$2:$B$2000,(IFERROR(VALUE(MID($A$2:$A$2000,4,2)),0)=MONTH(C196))*(IFERROR(VALUE(RIGHT($A$2:$A$2000,4)),0)=YEAR(C196)))),""))</f>
        <v/>
      </c>
      <c r="E196" s="62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4" t="inlineStr">
        <is>
          <t>01/09/2006</t>
        </is>
      </c>
      <c r="B197" s="31" t="n">
        <v>2.6749</v>
      </c>
      <c r="C197" s="69" t="n">
        <v>43525</v>
      </c>
      <c r="D197" s="70">
        <f t="array" ref="D197">IF(C197="","",IFERROR(AVERAGE(_xlfn._xlws.FILTER($B$2:$B$2000,(IFERROR(VALUE(MID($A$2:$A$2000,4,2)),0)=MONTH(C197))*(IFERROR(VALUE(RIGHT($A$2:$A$2000,4)),0)=YEAR(C197)))),""))</f>
        <v/>
      </c>
      <c r="E197" s="62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4" t="inlineStr">
        <is>
          <t>08/09/2006</t>
        </is>
      </c>
      <c r="B198" s="31" t="n">
        <v>2.659</v>
      </c>
      <c r="C198" s="69" t="n">
        <v>43556</v>
      </c>
      <c r="D198" s="70">
        <f t="array" ref="D198">IF(C198="","",IFERROR(AVERAGE(_xlfn._xlws.FILTER($B$2:$B$2000,(IFERROR(VALUE(MID($A$2:$A$2000,4,2)),0)=MONTH(C198))*(IFERROR(VALUE(RIGHT($A$2:$A$2000,4)),0)=YEAR(C198)))),""))</f>
        <v/>
      </c>
      <c r="E198" s="62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4" t="inlineStr">
        <is>
          <t>15/09/2006</t>
        </is>
      </c>
      <c r="B199" s="31" t="n">
        <v>2.6119</v>
      </c>
      <c r="C199" s="69" t="n">
        <v>43586</v>
      </c>
      <c r="D199" s="70">
        <f t="array" ref="D199">IF(C199="","",IFERROR(AVERAGE(_xlfn._xlws.FILTER($B$2:$B$2000,(IFERROR(VALUE(MID($A$2:$A$2000,4,2)),0)=MONTH(C199))*(IFERROR(VALUE(RIGHT($A$2:$A$2000,4)),0)=YEAR(C199)))),""))</f>
        <v/>
      </c>
      <c r="E199" s="62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4" t="inlineStr">
        <is>
          <t>22/09/2006</t>
        </is>
      </c>
      <c r="B200" s="31" t="n">
        <v>2.5877</v>
      </c>
      <c r="C200" s="69" t="n">
        <v>43617</v>
      </c>
      <c r="D200" s="70">
        <f t="array" ref="D200">IF(C200="","",IFERROR(AVERAGE(_xlfn._xlws.FILTER($B$2:$B$2000,(IFERROR(VALUE(MID($A$2:$A$2000,4,2)),0)=MONTH(C200))*(IFERROR(VALUE(RIGHT($A$2:$A$2000,4)),0)=YEAR(C200)))),""))</f>
        <v/>
      </c>
      <c r="E200" s="62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4" t="inlineStr">
        <is>
          <t>29/09/2006</t>
        </is>
      </c>
      <c r="B201" s="31" t="n">
        <v>2.605</v>
      </c>
      <c r="C201" s="69" t="n">
        <v>43647</v>
      </c>
      <c r="D201" s="70">
        <f t="array" ref="D201">IF(C201="","",IFERROR(AVERAGE(_xlfn._xlws.FILTER($B$2:$B$2000,(IFERROR(VALUE(MID($A$2:$A$2000,4,2)),0)=MONTH(C201))*(IFERROR(VALUE(RIGHT($A$2:$A$2000,4)),0)=YEAR(C201)))),""))</f>
        <v/>
      </c>
      <c r="E201" s="62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4" t="inlineStr">
        <is>
          <t>06/10/2006</t>
        </is>
      </c>
      <c r="B202" s="31" t="n">
        <v>2.6273</v>
      </c>
      <c r="C202" s="69" t="n">
        <v>43678</v>
      </c>
      <c r="D202" s="70">
        <f t="array" ref="D202">IF(C202="","",IFERROR(AVERAGE(_xlfn._xlws.FILTER($B$2:$B$2000,(IFERROR(VALUE(MID($A$2:$A$2000,4,2)),0)=MONTH(C202))*(IFERROR(VALUE(RIGHT($A$2:$A$2000,4)),0)=YEAR(C202)))),""))</f>
        <v/>
      </c>
      <c r="E202" s="62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4" t="inlineStr">
        <is>
          <t>13/10/2006</t>
        </is>
      </c>
      <c r="B203" s="31" t="n">
        <v>2.6142</v>
      </c>
      <c r="C203" s="69" t="n">
        <v>43709</v>
      </c>
      <c r="D203" s="70">
        <f t="array" ref="D203">IF(C203="","",IFERROR(AVERAGE(_xlfn._xlws.FILTER($B$2:$B$2000,(IFERROR(VALUE(MID($A$2:$A$2000,4,2)),0)=MONTH(C203))*(IFERROR(VALUE(RIGHT($A$2:$A$2000,4)),0)=YEAR(C203)))),""))</f>
        <v/>
      </c>
      <c r="E203" s="62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4" t="inlineStr">
        <is>
          <t>20/10/2006</t>
        </is>
      </c>
      <c r="B204" s="31" t="n">
        <v>2.6128</v>
      </c>
      <c r="C204" s="69" t="n">
        <v>43739</v>
      </c>
      <c r="D204" s="70">
        <f t="array" ref="D204">IF(C204="","",IFERROR(AVERAGE(_xlfn._xlws.FILTER($B$2:$B$2000,(IFERROR(VALUE(MID($A$2:$A$2000,4,2)),0)=MONTH(C204))*(IFERROR(VALUE(RIGHT($A$2:$A$2000,4)),0)=YEAR(C204)))),""))</f>
        <v/>
      </c>
      <c r="E204" s="62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4" t="inlineStr">
        <is>
          <t>27/10/2006</t>
        </is>
      </c>
      <c r="B205" s="31" t="n">
        <v>2.6114</v>
      </c>
      <c r="C205" s="69" t="n">
        <v>43770</v>
      </c>
      <c r="D205" s="70">
        <f t="array" ref="D205">IF(C205="","",IFERROR(AVERAGE(_xlfn._xlws.FILTER($B$2:$B$2000,(IFERROR(VALUE(MID($A$2:$A$2000,4,2)),0)=MONTH(C205))*(IFERROR(VALUE(RIGHT($A$2:$A$2000,4)),0)=YEAR(C205)))),""))</f>
        <v/>
      </c>
      <c r="E205" s="62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4" t="inlineStr">
        <is>
          <t>03/11/2006</t>
        </is>
      </c>
      <c r="B206" s="31" t="n">
        <v>2.5961</v>
      </c>
      <c r="C206" s="69" t="n">
        <v>43800</v>
      </c>
      <c r="D206" s="70">
        <f t="array" ref="D206">IF(C206="","",IFERROR(AVERAGE(_xlfn._xlws.FILTER($B$2:$B$2000,(IFERROR(VALUE(MID($A$2:$A$2000,4,2)),0)=MONTH(C206))*(IFERROR(VALUE(RIGHT($A$2:$A$2000,4)),0)=YEAR(C206)))),""))</f>
        <v/>
      </c>
      <c r="E206" s="62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4" t="inlineStr">
        <is>
          <t>10/11/2006</t>
        </is>
      </c>
      <c r="B207" s="31" t="n">
        <v>2.5937</v>
      </c>
      <c r="C207" s="69" t="n">
        <v>43831</v>
      </c>
      <c r="D207" s="70">
        <f t="array" ref="D207">IF(C207="","",IFERROR(AVERAGE(_xlfn._xlws.FILTER($B$2:$B$2000,(IFERROR(VALUE(MID($A$2:$A$2000,4,2)),0)=MONTH(C207))*(IFERROR(VALUE(RIGHT($A$2:$A$2000,4)),0)=YEAR(C207)))),""))</f>
        <v/>
      </c>
      <c r="E207" s="62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4" t="inlineStr">
        <is>
          <t>17/11/2006</t>
        </is>
      </c>
      <c r="B208" s="31" t="n">
        <v>2.5612</v>
      </c>
      <c r="C208" s="69" t="n">
        <v>43862</v>
      </c>
      <c r="D208" s="70">
        <f t="array" ref="D208">IF(C208="","",IFERROR(AVERAGE(_xlfn._xlws.FILTER($B$2:$B$2000,(IFERROR(VALUE(MID($A$2:$A$2000,4,2)),0)=MONTH(C208))*(IFERROR(VALUE(RIGHT($A$2:$A$2000,4)),0)=YEAR(C208)))),""))</f>
        <v/>
      </c>
      <c r="E208" s="62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4" t="inlineStr">
        <is>
          <t>24/11/2006</t>
        </is>
      </c>
      <c r="B209" s="31" t="n">
        <v>2.553</v>
      </c>
      <c r="C209" s="69" t="n">
        <v>43891</v>
      </c>
      <c r="D209" s="70">
        <f t="array" ref="D209">IF(C209="","",IFERROR(AVERAGE(_xlfn._xlws.FILTER($B$2:$B$2000,(IFERROR(VALUE(MID($A$2:$A$2000,4,2)),0)=MONTH(C209))*(IFERROR(VALUE(RIGHT($A$2:$A$2000,4)),0)=YEAR(C209)))),""))</f>
        <v/>
      </c>
      <c r="E209" s="62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4" t="inlineStr">
        <is>
          <t>01/12/2006</t>
        </is>
      </c>
      <c r="B210" s="31" t="n">
        <v>2.5449</v>
      </c>
      <c r="C210" s="69" t="n">
        <v>43922</v>
      </c>
      <c r="D210" s="70">
        <f t="array" ref="D210">IF(C210="","",IFERROR(AVERAGE(_xlfn._xlws.FILTER($B$2:$B$2000,(IFERROR(VALUE(MID($A$2:$A$2000,4,2)),0)=MONTH(C210))*(IFERROR(VALUE(RIGHT($A$2:$A$2000,4)),0)=YEAR(C210)))),""))</f>
        <v/>
      </c>
      <c r="E210" s="62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4" t="inlineStr">
        <is>
          <t>08/12/2006</t>
        </is>
      </c>
      <c r="B211" s="31" t="n">
        <v>2.5694</v>
      </c>
      <c r="C211" s="69" t="n">
        <v>43952</v>
      </c>
      <c r="D211" s="70">
        <f t="array" ref="D211">IF(C211="","",IFERROR(AVERAGE(_xlfn._xlws.FILTER($B$2:$B$2000,(IFERROR(VALUE(MID($A$2:$A$2000,4,2)),0)=MONTH(C211))*(IFERROR(VALUE(RIGHT($A$2:$A$2000,4)),0)=YEAR(C211)))),""))</f>
        <v/>
      </c>
      <c r="E211" s="62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4" t="inlineStr">
        <is>
          <t>15/12/2006</t>
        </is>
      </c>
      <c r="B212" s="31" t="n">
        <v>2.6171</v>
      </c>
      <c r="C212" s="69" t="n">
        <v>43983</v>
      </c>
      <c r="D212" s="70">
        <f t="array" ref="D212">IF(C212="","",IFERROR(AVERAGE(_xlfn._xlws.FILTER($B$2:$B$2000,(IFERROR(VALUE(MID($A$2:$A$2000,4,2)),0)=MONTH(C212))*(IFERROR(VALUE(RIGHT($A$2:$A$2000,4)),0)=YEAR(C212)))),""))</f>
        <v/>
      </c>
      <c r="E212" s="62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4" t="inlineStr">
        <is>
          <t>22/12/2006</t>
        </is>
      </c>
      <c r="B213" s="31" t="n">
        <v>2.7473</v>
      </c>
      <c r="C213" s="69" t="n">
        <v>44013</v>
      </c>
      <c r="D213" s="70">
        <f t="array" ref="D213">IF(C213="","",IFERROR(AVERAGE(_xlfn._xlws.FILTER($B$2:$B$2000,(IFERROR(VALUE(MID($A$2:$A$2000,4,2)),0)=MONTH(C213))*(IFERROR(VALUE(RIGHT($A$2:$A$2000,4)),0)=YEAR(C213)))),""))</f>
        <v/>
      </c>
      <c r="E213" s="62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4" t="inlineStr">
        <is>
          <t>28/12/2006</t>
        </is>
      </c>
      <c r="B214" s="31" t="n">
        <v>2.8735</v>
      </c>
      <c r="C214" s="69" t="n">
        <v>44044</v>
      </c>
      <c r="D214" s="70">
        <f t="array" ref="D214">IF(C214="","",IFERROR(AVERAGE(_xlfn._xlws.FILTER($B$2:$B$2000,(IFERROR(VALUE(MID($A$2:$A$2000,4,2)),0)=MONTH(C214))*(IFERROR(VALUE(RIGHT($A$2:$A$2000,4)),0)=YEAR(C214)))),""))</f>
        <v/>
      </c>
      <c r="E214" s="62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4" t="inlineStr">
        <is>
          <t>05/01/2007</t>
        </is>
      </c>
      <c r="B215" s="31" t="n">
        <v>2.944</v>
      </c>
      <c r="C215" s="69" t="n">
        <v>44075</v>
      </c>
      <c r="D215" s="70">
        <f t="array" ref="D215">IF(C215="","",IFERROR(AVERAGE(_xlfn._xlws.FILTER($B$2:$B$2000,(IFERROR(VALUE(MID($A$2:$A$2000,4,2)),0)=MONTH(C215))*(IFERROR(VALUE(RIGHT($A$2:$A$2000,4)),0)=YEAR(C215)))),""))</f>
        <v/>
      </c>
      <c r="E215" s="62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4" t="inlineStr">
        <is>
          <t>12/01/2007</t>
        </is>
      </c>
      <c r="B216" s="31" t="n">
        <v>2.9005</v>
      </c>
      <c r="C216" s="69" t="n">
        <v>44105</v>
      </c>
      <c r="D216" s="70">
        <f t="array" ref="D216">IF(C216="","",IFERROR(AVERAGE(_xlfn._xlws.FILTER($B$2:$B$2000,(IFERROR(VALUE(MID($A$2:$A$2000,4,2)),0)=MONTH(C216))*(IFERROR(VALUE(RIGHT($A$2:$A$2000,4)),0)=YEAR(C216)))),""))</f>
        <v/>
      </c>
      <c r="E216" s="62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4" t="inlineStr">
        <is>
          <t>19/01/2007</t>
        </is>
      </c>
      <c r="B217" s="31" t="n">
        <v>2.8622</v>
      </c>
      <c r="C217" s="69" t="n">
        <v>44136</v>
      </c>
      <c r="D217" s="70">
        <f t="array" ref="D217">IF(C217="","",IFERROR(AVERAGE(_xlfn._xlws.FILTER($B$2:$B$2000,(IFERROR(VALUE(MID($A$2:$A$2000,4,2)),0)=MONTH(C217))*(IFERROR(VALUE(RIGHT($A$2:$A$2000,4)),0)=YEAR(C217)))),""))</f>
        <v/>
      </c>
      <c r="E217" s="62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4" t="inlineStr">
        <is>
          <t>26/01/2007</t>
        </is>
      </c>
      <c r="B218" s="31" t="n">
        <v>2.8259</v>
      </c>
      <c r="C218" s="69" t="n">
        <v>44166</v>
      </c>
      <c r="D218" s="70">
        <f t="array" ref="D218">IF(C218="","",IFERROR(AVERAGE(_xlfn._xlws.FILTER($B$2:$B$2000,(IFERROR(VALUE(MID($A$2:$A$2000,4,2)),0)=MONTH(C218))*(IFERROR(VALUE(RIGHT($A$2:$A$2000,4)),0)=YEAR(C218)))),""))</f>
        <v/>
      </c>
      <c r="E218" s="62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4" t="inlineStr">
        <is>
          <t>02/02/2007</t>
        </is>
      </c>
      <c r="B219" s="31" t="n">
        <v>2.7486</v>
      </c>
      <c r="C219" s="69" t="n">
        <v>44197</v>
      </c>
      <c r="D219" s="70">
        <f t="array" ref="D219">IF(C219="","",IFERROR(AVERAGE(_xlfn._xlws.FILTER($B$2:$B$2000,(IFERROR(VALUE(MID($A$2:$A$2000,4,2)),0)=MONTH(C219))*(IFERROR(VALUE(RIGHT($A$2:$A$2000,4)),0)=YEAR(C219)))),""))</f>
        <v/>
      </c>
      <c r="E219" s="62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4" t="inlineStr">
        <is>
          <t>09/02/2007</t>
        </is>
      </c>
      <c r="B220" s="31" t="n">
        <v>2.6478</v>
      </c>
      <c r="C220" s="69" t="n">
        <v>44228</v>
      </c>
      <c r="D220" s="70">
        <f t="array" ref="D220">IF(C220="","",IFERROR(AVERAGE(_xlfn._xlws.FILTER($B$2:$B$2000,(IFERROR(VALUE(MID($A$2:$A$2000,4,2)),0)=MONTH(C220))*(IFERROR(VALUE(RIGHT($A$2:$A$2000,4)),0)=YEAR(C220)))),""))</f>
        <v/>
      </c>
      <c r="E220" s="62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4" t="inlineStr">
        <is>
          <t>16/02/2007</t>
        </is>
      </c>
      <c r="B221" s="31" t="n">
        <v>2.7463</v>
      </c>
      <c r="C221" s="69" t="n">
        <v>44256</v>
      </c>
      <c r="D221" s="70">
        <f t="array" ref="D221">IF(C221="","",IFERROR(AVERAGE(_xlfn._xlws.FILTER($B$2:$B$2000,(IFERROR(VALUE(MID($A$2:$A$2000,4,2)),0)=MONTH(C221))*(IFERROR(VALUE(RIGHT($A$2:$A$2000,4)),0)=YEAR(C221)))),""))</f>
        <v/>
      </c>
      <c r="E221" s="62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4" t="inlineStr">
        <is>
          <t>23/02/2007</t>
        </is>
      </c>
      <c r="B222" s="31" t="n">
        <v>2.7601</v>
      </c>
      <c r="C222" s="69" t="n">
        <v>44287</v>
      </c>
      <c r="D222" s="70">
        <f t="array" ref="D222">IF(C222="","",IFERROR(AVERAGE(_xlfn._xlws.FILTER($B$2:$B$2000,(IFERROR(VALUE(MID($A$2:$A$2000,4,2)),0)=MONTH(C222))*(IFERROR(VALUE(RIGHT($A$2:$A$2000,4)),0)=YEAR(C222)))),""))</f>
        <v/>
      </c>
      <c r="E222" s="62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4" t="inlineStr">
        <is>
          <t>02/03/2007</t>
        </is>
      </c>
      <c r="B223" s="31" t="n">
        <v>2.7343</v>
      </c>
      <c r="C223" s="69" t="n">
        <v>44317</v>
      </c>
      <c r="D223" s="70">
        <f t="array" ref="D223">IF(C223="","",IFERROR(AVERAGE(_xlfn._xlws.FILTER($B$2:$B$2000,(IFERROR(VALUE(MID($A$2:$A$2000,4,2)),0)=MONTH(C223))*(IFERROR(VALUE(RIGHT($A$2:$A$2000,4)),0)=YEAR(C223)))),""))</f>
        <v/>
      </c>
      <c r="E223" s="62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4" t="inlineStr">
        <is>
          <t>09/03/2007</t>
        </is>
      </c>
      <c r="B224" s="31" t="n">
        <v>2.7572</v>
      </c>
      <c r="C224" s="69" t="n">
        <v>44348</v>
      </c>
      <c r="D224" s="70">
        <f t="array" ref="D224">IF(C224="","",IFERROR(AVERAGE(_xlfn._xlws.FILTER($B$2:$B$2000,(IFERROR(VALUE(MID($A$2:$A$2000,4,2)),0)=MONTH(C224))*(IFERROR(VALUE(RIGHT($A$2:$A$2000,4)),0)=YEAR(C224)))),""))</f>
        <v/>
      </c>
      <c r="E224" s="62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4" t="inlineStr">
        <is>
          <t>16/03/2007</t>
        </is>
      </c>
      <c r="B225" s="31" t="n">
        <v>2.828</v>
      </c>
      <c r="C225" s="69" t="n">
        <v>44378</v>
      </c>
      <c r="D225" s="70">
        <f t="array" ref="D225">IF(C225="","",IFERROR(AVERAGE(_xlfn._xlws.FILTER($B$2:$B$2000,(IFERROR(VALUE(MID($A$2:$A$2000,4,2)),0)=MONTH(C225))*(IFERROR(VALUE(RIGHT($A$2:$A$2000,4)),0)=YEAR(C225)))),""))</f>
        <v/>
      </c>
      <c r="E225" s="62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4" t="inlineStr">
        <is>
          <t>23/03/2007</t>
        </is>
      </c>
      <c r="B226" s="31" t="n">
        <v>3.0326</v>
      </c>
      <c r="C226" s="69" t="n">
        <v>44409</v>
      </c>
      <c r="D226" s="70">
        <f t="array" ref="D226">IF(C226="","",IFERROR(AVERAGE(_xlfn._xlws.FILTER($B$2:$B$2000,(IFERROR(VALUE(MID($A$2:$A$2000,4,2)),0)=MONTH(C226))*(IFERROR(VALUE(RIGHT($A$2:$A$2000,4)),0)=YEAR(C226)))),""))</f>
        <v/>
      </c>
      <c r="E226" s="62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4" t="inlineStr">
        <is>
          <t>30/03/2007</t>
        </is>
      </c>
      <c r="B227" s="31" t="n">
        <v>3.2514</v>
      </c>
      <c r="C227" s="69" t="n">
        <v>44440</v>
      </c>
      <c r="D227" s="70">
        <f t="array" ref="D227">IF(C227="","",IFERROR(AVERAGE(_xlfn._xlws.FILTER($B$2:$B$2000,(IFERROR(VALUE(MID($A$2:$A$2000,4,2)),0)=MONTH(C227))*(IFERROR(VALUE(RIGHT($A$2:$A$2000,4)),0)=YEAR(C227)))),""))</f>
        <v/>
      </c>
      <c r="E227" s="62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4" t="inlineStr">
        <is>
          <t>05/04/2007</t>
        </is>
      </c>
      <c r="B228" s="31" t="n">
        <v>3.2002</v>
      </c>
      <c r="C228" s="69" t="n">
        <v>44470</v>
      </c>
      <c r="D228" s="70">
        <f t="array" ref="D228">IF(C228="","",IFERROR(AVERAGE(_xlfn._xlws.FILTER($B$2:$B$2000,(IFERROR(VALUE(MID($A$2:$A$2000,4,2)),0)=MONTH(C228))*(IFERROR(VALUE(RIGHT($A$2:$A$2000,4)),0)=YEAR(C228)))),""))</f>
        <v/>
      </c>
      <c r="E228" s="62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4" t="inlineStr">
        <is>
          <t>13/04/2007</t>
        </is>
      </c>
      <c r="B229" s="31" t="n">
        <v>3.1776</v>
      </c>
      <c r="C229" s="69" t="n">
        <v>44501</v>
      </c>
      <c r="D229" s="70">
        <f t="array" ref="D229">IF(C229="","",IFERROR(AVERAGE(_xlfn._xlws.FILTER($B$2:$B$2000,(IFERROR(VALUE(MID($A$2:$A$2000,4,2)),0)=MONTH(C229))*(IFERROR(VALUE(RIGHT($A$2:$A$2000,4)),0)=YEAR(C229)))),""))</f>
        <v/>
      </c>
      <c r="E229" s="62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4" t="inlineStr">
        <is>
          <t>20/04/2007</t>
        </is>
      </c>
      <c r="B230" s="31" t="n">
        <v>3.2444</v>
      </c>
      <c r="C230" s="69" t="n">
        <v>44531</v>
      </c>
      <c r="D230" s="70">
        <f t="array" ref="D230">IF(C230="","",IFERROR(AVERAGE(_xlfn._xlws.FILTER($B$2:$B$2000,(IFERROR(VALUE(MID($A$2:$A$2000,4,2)),0)=MONTH(C230))*(IFERROR(VALUE(RIGHT($A$2:$A$2000,4)),0)=YEAR(C230)))),""))</f>
        <v/>
      </c>
      <c r="E230" s="62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4" t="inlineStr">
        <is>
          <t>27/04/2007</t>
        </is>
      </c>
      <c r="B231" s="31" t="n">
        <v>3.0921</v>
      </c>
      <c r="C231" s="69" t="n">
        <v>44562</v>
      </c>
      <c r="D231" s="70">
        <f t="array" ref="D231">IF(C231="","",IFERROR(AVERAGE(_xlfn._xlws.FILTER($B$2:$B$2000,(IFERROR(VALUE(MID($A$2:$A$2000,4,2)),0)=MONTH(C231))*(IFERROR(VALUE(RIGHT($A$2:$A$2000,4)),0)=YEAR(C231)))),""))</f>
        <v/>
      </c>
      <c r="E231" s="62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4" t="inlineStr">
        <is>
          <t>04/05/2007</t>
        </is>
      </c>
      <c r="B232" s="31" t="n">
        <v>2.9288</v>
      </c>
      <c r="C232" s="69" t="n">
        <v>44593</v>
      </c>
      <c r="D232" s="70">
        <f t="array" ref="D232">IF(C232="","",IFERROR(AVERAGE(_xlfn._xlws.FILTER($B$2:$B$2000,(IFERROR(VALUE(MID($A$2:$A$2000,4,2)),0)=MONTH(C232))*(IFERROR(VALUE(RIGHT($A$2:$A$2000,4)),0)=YEAR(C232)))),""))</f>
        <v/>
      </c>
      <c r="E232" s="62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4" t="inlineStr">
        <is>
          <t>11/05/2007</t>
        </is>
      </c>
      <c r="B233" s="31" t="n">
        <v>2.5246</v>
      </c>
      <c r="C233" s="69" t="n">
        <v>44621</v>
      </c>
      <c r="D233" s="70">
        <f t="array" ref="D233">IF(C233="","",IFERROR(AVERAGE(_xlfn._xlws.FILTER($B$2:$B$2000,(IFERROR(VALUE(MID($A$2:$A$2000,4,2)),0)=MONTH(C233))*(IFERROR(VALUE(RIGHT($A$2:$A$2000,4)),0)=YEAR(C233)))),""))</f>
        <v/>
      </c>
      <c r="E233" s="62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4" t="inlineStr">
        <is>
          <t>18/05/2007</t>
        </is>
      </c>
      <c r="B234" s="31" t="n">
        <v>2.2865</v>
      </c>
      <c r="C234" s="69" t="n">
        <v>44652</v>
      </c>
      <c r="D234" s="70">
        <f t="array" ref="D234">IF(C234="","",IFERROR(AVERAGE(_xlfn._xlws.FILTER($B$2:$B$2000,(IFERROR(VALUE(MID($A$2:$A$2000,4,2)),0)=MONTH(C234))*(IFERROR(VALUE(RIGHT($A$2:$A$2000,4)),0)=YEAR(C234)))),""))</f>
        <v/>
      </c>
      <c r="E234" s="62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4" t="inlineStr">
        <is>
          <t>25/05/2007</t>
        </is>
      </c>
      <c r="B235" s="31" t="n">
        <v>2.0476</v>
      </c>
      <c r="C235" s="69" t="n">
        <v>44682</v>
      </c>
      <c r="D235" s="70">
        <f t="array" ref="D235">IF(C235="","",IFERROR(AVERAGE(_xlfn._xlws.FILTER($B$2:$B$2000,(IFERROR(VALUE(MID($A$2:$A$2000,4,2)),0)=MONTH(C235))*(IFERROR(VALUE(RIGHT($A$2:$A$2000,4)),0)=YEAR(C235)))),""))</f>
        <v/>
      </c>
      <c r="E235" s="62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4" t="inlineStr">
        <is>
          <t>01/06/2007</t>
        </is>
      </c>
      <c r="B236" s="31" t="n">
        <v>2.0107</v>
      </c>
      <c r="C236" s="69" t="n">
        <v>44713</v>
      </c>
      <c r="D236" s="70">
        <f t="array" ref="D236">IF(C236="","",IFERROR(AVERAGE(_xlfn._xlws.FILTER($B$2:$B$2000,(IFERROR(VALUE(MID($A$2:$A$2000,4,2)),0)=MONTH(C236))*(IFERROR(VALUE(RIGHT($A$2:$A$2000,4)),0)=YEAR(C236)))),""))</f>
        <v/>
      </c>
      <c r="E236" s="62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4" t="inlineStr">
        <is>
          <t>08/06/2007</t>
        </is>
      </c>
      <c r="B237" s="31" t="n">
        <v>1.9986</v>
      </c>
      <c r="C237" s="69" t="n">
        <v>44743</v>
      </c>
      <c r="D237" s="70">
        <f t="array" ref="D237">IF(C237="","",IFERROR(AVERAGE(_xlfn._xlws.FILTER($B$2:$B$2000,(IFERROR(VALUE(MID($A$2:$A$2000,4,2)),0)=MONTH(C237))*(IFERROR(VALUE(RIGHT($A$2:$A$2000,4)),0)=YEAR(C237)))),""))</f>
        <v/>
      </c>
      <c r="E237" s="62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4" t="inlineStr">
        <is>
          <t>15/06/2007</t>
        </is>
      </c>
      <c r="B238" s="31" t="n">
        <v>1.9808</v>
      </c>
      <c r="C238" s="69" t="n">
        <v>44774</v>
      </c>
      <c r="D238" s="70">
        <f t="array" ref="D238">IF(C238="","",IFERROR(AVERAGE(_xlfn._xlws.FILTER($B$2:$B$2000,(IFERROR(VALUE(MID($A$2:$A$2000,4,2)),0)=MONTH(C238))*(IFERROR(VALUE(RIGHT($A$2:$A$2000,4)),0)=YEAR(C238)))),""))</f>
        <v/>
      </c>
      <c r="E238" s="62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4" t="inlineStr">
        <is>
          <t>22/06/2007</t>
        </is>
      </c>
      <c r="B239" s="31" t="n">
        <v>1.9479</v>
      </c>
      <c r="C239" s="69" t="n">
        <v>44805</v>
      </c>
      <c r="D239" s="70">
        <f t="array" ref="D239">IF(C239="","",IFERROR(AVERAGE(_xlfn._xlws.FILTER($B$2:$B$2000,(IFERROR(VALUE(MID($A$2:$A$2000,4,2)),0)=MONTH(C239))*(IFERROR(VALUE(RIGHT($A$2:$A$2000,4)),0)=YEAR(C239)))),""))</f>
        <v/>
      </c>
      <c r="E239" s="62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4" t="inlineStr">
        <is>
          <t>29/06/2007</t>
        </is>
      </c>
      <c r="B240" s="31" t="n">
        <v>1.9368</v>
      </c>
      <c r="C240" s="69" t="n">
        <v>44835</v>
      </c>
      <c r="D240" s="70">
        <f t="array" ref="D240">IF(C240="","",IFERROR(AVERAGE(_xlfn._xlws.FILTER($B$2:$B$2000,(IFERROR(VALUE(MID($A$2:$A$2000,4,2)),0)=MONTH(C240))*(IFERROR(VALUE(RIGHT($A$2:$A$2000,4)),0)=YEAR(C240)))),""))</f>
        <v/>
      </c>
      <c r="E240" s="62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4" t="inlineStr">
        <is>
          <t>06/07/2007</t>
        </is>
      </c>
      <c r="B241" s="31" t="n">
        <v>1.9364</v>
      </c>
      <c r="C241" s="69" t="n">
        <v>44866</v>
      </c>
      <c r="D241" s="70">
        <f t="array" ref="D241">IF(C241="","",IFERROR(AVERAGE(_xlfn._xlws.FILTER($B$2:$B$2000,(IFERROR(VALUE(MID($A$2:$A$2000,4,2)),0)=MONTH(C241))*(IFERROR(VALUE(RIGHT($A$2:$A$2000,4)),0)=YEAR(C241)))),""))</f>
        <v/>
      </c>
      <c r="E241" s="62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4" t="inlineStr">
        <is>
          <t>13/07/2007</t>
        </is>
      </c>
      <c r="B242" s="31" t="n">
        <v>1.9512</v>
      </c>
      <c r="C242" s="69" t="n">
        <v>44896</v>
      </c>
      <c r="D242" s="70">
        <f t="array" ref="D242">IF(C242="","",IFERROR(AVERAGE(_xlfn._xlws.FILTER($B$2:$B$2000,(IFERROR(VALUE(MID($A$2:$A$2000,4,2)),0)=MONTH(C242))*(IFERROR(VALUE(RIGHT($A$2:$A$2000,4)),0)=YEAR(C242)))),""))</f>
        <v/>
      </c>
      <c r="E242" s="62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4" t="inlineStr">
        <is>
          <t>20/07/2007</t>
        </is>
      </c>
      <c r="B243" s="31" t="n">
        <v>1.9602</v>
      </c>
      <c r="C243" s="69" t="n">
        <v>44927</v>
      </c>
      <c r="D243" s="70">
        <f t="array" ref="D243">IF(C243="","",IFERROR(AVERAGE(_xlfn._xlws.FILTER($B$2:$B$2000,(IFERROR(VALUE(MID($A$2:$A$2000,4,2)),0)=MONTH(C243))*(IFERROR(VALUE(RIGHT($A$2:$A$2000,4)),0)=YEAR(C243)))),""))</f>
        <v/>
      </c>
      <c r="E243" s="62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4" t="inlineStr">
        <is>
          <t>27/07/2007</t>
        </is>
      </c>
      <c r="B244" s="31" t="n">
        <v>1.9844</v>
      </c>
      <c r="C244" s="69" t="n">
        <v>44958</v>
      </c>
      <c r="D244" s="70">
        <f t="array" ref="D244">IF(C244="","",IFERROR(AVERAGE(_xlfn._xlws.FILTER($B$2:$B$2000,(IFERROR(VALUE(MID($A$2:$A$2000,4,2)),0)=MONTH(C244))*(IFERROR(VALUE(RIGHT($A$2:$A$2000,4)),0)=YEAR(C244)))),""))</f>
        <v/>
      </c>
      <c r="E244" s="62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4" t="inlineStr">
        <is>
          <t>03/08/2007</t>
        </is>
      </c>
      <c r="B245" s="31" t="n">
        <v>1.9588</v>
      </c>
      <c r="C245" s="69" t="n">
        <v>44986</v>
      </c>
      <c r="D245" s="70">
        <f t="array" ref="D245">IF(C245="","",IFERROR(AVERAGE(_xlfn._xlws.FILTER($B$2:$B$2000,(IFERROR(VALUE(MID($A$2:$A$2000,4,2)),0)=MONTH(C245))*(IFERROR(VALUE(RIGHT($A$2:$A$2000,4)),0)=YEAR(C245)))),""))</f>
        <v/>
      </c>
      <c r="E245" s="62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4" t="inlineStr">
        <is>
          <t>10/08/2007</t>
        </is>
      </c>
      <c r="B246" s="31" t="n">
        <v>1.9309</v>
      </c>
      <c r="C246" s="69" t="n">
        <v>45017</v>
      </c>
      <c r="D246" s="70">
        <f t="array" ref="D246">IF(C246="","",IFERROR(AVERAGE(_xlfn._xlws.FILTER($B$2:$B$2000,(IFERROR(VALUE(MID($A$2:$A$2000,4,2)),0)=MONTH(C246))*(IFERROR(VALUE(RIGHT($A$2:$A$2000,4)),0)=YEAR(C246)))),""))</f>
        <v/>
      </c>
      <c r="E246" s="62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4" t="inlineStr">
        <is>
          <t>17/08/2007</t>
        </is>
      </c>
      <c r="B247" s="31" t="n">
        <v>1.9137</v>
      </c>
      <c r="C247" s="69" t="n">
        <v>45047</v>
      </c>
      <c r="D247" s="70">
        <f t="array" ref="D247">IF(C247="","",IFERROR(AVERAGE(_xlfn._xlws.FILTER($B$2:$B$2000,(IFERROR(VALUE(MID($A$2:$A$2000,4,2)),0)=MONTH(C247))*(IFERROR(VALUE(RIGHT($A$2:$A$2000,4)),0)=YEAR(C247)))),""))</f>
        <v/>
      </c>
      <c r="E247" s="62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4" t="inlineStr">
        <is>
          <t>24/08/2007</t>
        </is>
      </c>
      <c r="B248" s="31" t="n">
        <v>1.9173</v>
      </c>
      <c r="C248" s="69" t="n">
        <v>45078</v>
      </c>
      <c r="D248" s="70">
        <f t="array" ref="D248">IF(C248="","",IFERROR(AVERAGE(_xlfn._xlws.FILTER($B$2:$B$2000,(IFERROR(VALUE(MID($A$2:$A$2000,4,2)),0)=MONTH(C248))*(IFERROR(VALUE(RIGHT($A$2:$A$2000,4)),0)=YEAR(C248)))),""))</f>
        <v/>
      </c>
      <c r="E248" s="62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4" t="inlineStr">
        <is>
          <t>31/08/2007</t>
        </is>
      </c>
      <c r="B249" s="31" t="n">
        <v>1.9283</v>
      </c>
      <c r="C249" s="69" t="n">
        <v>45108</v>
      </c>
      <c r="D249" s="70">
        <f t="array" ref="D249">IF(C249="","",IFERROR(AVERAGE(_xlfn._xlws.FILTER($B$2:$B$2000,(IFERROR(VALUE(MID($A$2:$A$2000,4,2)),0)=MONTH(C249))*(IFERROR(VALUE(RIGHT($A$2:$A$2000,4)),0)=YEAR(C249)))),""))</f>
        <v/>
      </c>
      <c r="E249" s="62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4" t="inlineStr">
        <is>
          <t>06/09/2007</t>
        </is>
      </c>
      <c r="B250" s="31" t="n">
        <v>1.9044</v>
      </c>
      <c r="C250" s="69" t="n">
        <v>45139</v>
      </c>
      <c r="D250" s="70">
        <f t="array" ref="D250">IF(C250="","",IFERROR(AVERAGE(_xlfn._xlws.FILTER($B$2:$B$2000,(IFERROR(VALUE(MID($A$2:$A$2000,4,2)),0)=MONTH(C250))*(IFERROR(VALUE(RIGHT($A$2:$A$2000,4)),0)=YEAR(C250)))),""))</f>
        <v/>
      </c>
      <c r="E250" s="62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4" t="inlineStr">
        <is>
          <t>14/09/2007</t>
        </is>
      </c>
      <c r="B251" s="31" t="n">
        <v>1.9004</v>
      </c>
      <c r="C251" s="69" t="n">
        <v>45170</v>
      </c>
      <c r="D251" s="70">
        <f t="array" ref="D251">IF(C251="","",IFERROR(AVERAGE(_xlfn._xlws.FILTER($B$2:$B$2000,(IFERROR(VALUE(MID($A$2:$A$2000,4,2)),0)=MONTH(C251))*(IFERROR(VALUE(RIGHT($A$2:$A$2000,4)),0)=YEAR(C251)))),""))</f>
        <v/>
      </c>
      <c r="E251" s="62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4" t="inlineStr">
        <is>
          <t>21/09/2007</t>
        </is>
      </c>
      <c r="B252" s="31" t="n">
        <v>1.8988</v>
      </c>
      <c r="C252" s="69" t="n">
        <v>45200</v>
      </c>
      <c r="D252" s="70">
        <f t="array" ref="D252">IF(C252="","",IFERROR(AVERAGE(_xlfn._xlws.FILTER($B$2:$B$2000,(IFERROR(VALUE(MID($A$2:$A$2000,4,2)),0)=MONTH(C252))*(IFERROR(VALUE(RIGHT($A$2:$A$2000,4)),0)=YEAR(C252)))),""))</f>
        <v/>
      </c>
      <c r="E252" s="62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4" t="inlineStr">
        <is>
          <t>28/09/2007</t>
        </is>
      </c>
      <c r="B253" s="31" t="n">
        <v>1.905</v>
      </c>
      <c r="C253" s="69" t="n">
        <v>45231</v>
      </c>
      <c r="D253" s="70">
        <f t="array" ref="D253">IF(C253="","",IFERROR(AVERAGE(_xlfn._xlws.FILTER($B$2:$B$2000,(IFERROR(VALUE(MID($A$2:$A$2000,4,2)),0)=MONTH(C253))*(IFERROR(VALUE(RIGHT($A$2:$A$2000,4)),0)=YEAR(C253)))),""))</f>
        <v/>
      </c>
      <c r="E253" s="62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4" t="inlineStr">
        <is>
          <t>05/10/2007</t>
        </is>
      </c>
      <c r="B254" s="31" t="n">
        <v>1.881</v>
      </c>
      <c r="C254" s="69" t="n">
        <v>45261</v>
      </c>
      <c r="D254" s="70">
        <f t="array" ref="D254">IF(C254="","",IFERROR(AVERAGE(_xlfn._xlws.FILTER($B$2:$B$2000,(IFERROR(VALUE(MID($A$2:$A$2000,4,2)),0)=MONTH(C254))*(IFERROR(VALUE(RIGHT($A$2:$A$2000,4)),0)=YEAR(C254)))),""))</f>
        <v/>
      </c>
      <c r="E254" s="62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4" t="inlineStr">
        <is>
          <t>11/10/2007</t>
        </is>
      </c>
      <c r="B255" s="31" t="n">
        <v>1.8774</v>
      </c>
      <c r="C255" s="69" t="n">
        <v>45292</v>
      </c>
      <c r="D255" s="70">
        <f t="array" ref="D255">IF(C255="","",IFERROR(AVERAGE(_xlfn._xlws.FILTER($B$2:$B$2000,(IFERROR(VALUE(MID($A$2:$A$2000,4,2)),0)=MONTH(C255))*(IFERROR(VALUE(RIGHT($A$2:$A$2000,4)),0)=YEAR(C255)))),""))</f>
        <v/>
      </c>
      <c r="E255" s="62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4" t="inlineStr">
        <is>
          <t>19/10/2007</t>
        </is>
      </c>
      <c r="B256" s="31" t="n">
        <v>1.8677</v>
      </c>
      <c r="C256" s="69" t="n">
        <v>45323</v>
      </c>
      <c r="D256" s="70">
        <f t="array" ref="D256">IF(C256="","",IFERROR(AVERAGE(_xlfn._xlws.FILTER($B$2:$B$2000,(IFERROR(VALUE(MID($A$2:$A$2000,4,2)),0)=MONTH(C256))*(IFERROR(VALUE(RIGHT($A$2:$A$2000,4)),0)=YEAR(C256)))),""))</f>
        <v/>
      </c>
      <c r="E256" s="62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4" t="inlineStr">
        <is>
          <t>26/10/2007</t>
        </is>
      </c>
      <c r="B257" s="31" t="n">
        <v>1.8995</v>
      </c>
      <c r="C257" s="69" t="n">
        <v>45352</v>
      </c>
      <c r="D257" s="70">
        <f t="array" ref="D257">IF(C257="","",IFERROR(AVERAGE(_xlfn._xlws.FILTER($B$2:$B$2000,(IFERROR(VALUE(MID($A$2:$A$2000,4,2)),0)=MONTH(C257))*(IFERROR(VALUE(RIGHT($A$2:$A$2000,4)),0)=YEAR(C257)))),""))</f>
        <v/>
      </c>
      <c r="E257" s="62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4" t="inlineStr">
        <is>
          <t>01/11/2007</t>
        </is>
      </c>
      <c r="B258" s="31" t="n">
        <v>2.04</v>
      </c>
      <c r="C258" s="69" t="n">
        <v>45383</v>
      </c>
      <c r="D258" s="70">
        <f t="array" ref="D258">IF(C258="","",IFERROR(AVERAGE(_xlfn._xlws.FILTER($B$2:$B$2000,(IFERROR(VALUE(MID($A$2:$A$2000,4,2)),0)=MONTH(C258))*(IFERROR(VALUE(RIGHT($A$2:$A$2000,4)),0)=YEAR(C258)))),""))</f>
        <v/>
      </c>
      <c r="E258" s="62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4" t="inlineStr">
        <is>
          <t>09/11/2007</t>
        </is>
      </c>
      <c r="B259" s="31" t="n">
        <v>2.3082</v>
      </c>
      <c r="C259" s="69" t="n">
        <v>45413</v>
      </c>
      <c r="D259" s="70">
        <f t="array" ref="D259">IF(C259="","",IFERROR(AVERAGE(_xlfn._xlws.FILTER($B$2:$B$2000,(IFERROR(VALUE(MID($A$2:$A$2000,4,2)),0)=MONTH(C259))*(IFERROR(VALUE(RIGHT($A$2:$A$2000,4)),0)=YEAR(C259)))),""))</f>
        <v/>
      </c>
      <c r="E259" s="62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4" t="inlineStr">
        <is>
          <t>16/11/2007</t>
        </is>
      </c>
      <c r="B260" s="31" t="n">
        <v>2.4073</v>
      </c>
      <c r="C260" s="69" t="n">
        <v>45444</v>
      </c>
      <c r="D260" s="70">
        <f t="array" ref="D260">IF(C260="","",IFERROR(AVERAGE(_xlfn._xlws.FILTER($B$2:$B$2000,(IFERROR(VALUE(MID($A$2:$A$2000,4,2)),0)=MONTH(C260))*(IFERROR(VALUE(RIGHT($A$2:$A$2000,4)),0)=YEAR(C260)))),""))</f>
        <v/>
      </c>
      <c r="E260" s="62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4" t="inlineStr">
        <is>
          <t>23/11/2007</t>
        </is>
      </c>
      <c r="B261" s="31" t="n">
        <v>2.4141</v>
      </c>
      <c r="C261" s="69" t="n">
        <v>45474</v>
      </c>
      <c r="D261" s="70">
        <f t="array" ref="D261">IF(C261="","",IFERROR(AVERAGE(_xlfn._xlws.FILTER($B$2:$B$2000,(IFERROR(VALUE(MID($A$2:$A$2000,4,2)),0)=MONTH(C261))*(IFERROR(VALUE(RIGHT($A$2:$A$2000,4)),0)=YEAR(C261)))),""))</f>
        <v/>
      </c>
      <c r="E261" s="62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4" t="inlineStr">
        <is>
          <t>30/11/2007</t>
        </is>
      </c>
      <c r="B262" s="31" t="n">
        <v>2.428</v>
      </c>
      <c r="C262" s="69" t="n">
        <v>45505</v>
      </c>
      <c r="D262" s="70">
        <f t="array" ref="D262">IF(C262="","",IFERROR(AVERAGE(_xlfn._xlws.FILTER($B$2:$B$2000,(IFERROR(VALUE(MID($A$2:$A$2000,4,2)),0)=MONTH(C262))*(IFERROR(VALUE(RIGHT($A$2:$A$2000,4)),0)=YEAR(C262)))),""))</f>
        <v/>
      </c>
      <c r="E262" s="62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4" t="inlineStr">
        <is>
          <t>07/12/2007</t>
        </is>
      </c>
      <c r="B263" s="31" t="n">
        <v>2.3932</v>
      </c>
      <c r="C263" s="69" t="n">
        <v>45536</v>
      </c>
      <c r="D263" s="70">
        <f t="array" ref="D263">IF(C263="","",IFERROR(AVERAGE(_xlfn._xlws.FILTER($B$2:$B$2000,(IFERROR(VALUE(MID($A$2:$A$2000,4,2)),0)=MONTH(C263))*(IFERROR(VALUE(RIGHT($A$2:$A$2000,4)),0)=YEAR(C263)))),""))</f>
        <v/>
      </c>
      <c r="E263" s="62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4" t="inlineStr">
        <is>
          <t>14/12/2007</t>
        </is>
      </c>
      <c r="B264" s="31" t="n">
        <v>2.3841</v>
      </c>
      <c r="C264" s="69" t="n">
        <v>45566</v>
      </c>
      <c r="D264" s="70">
        <f t="array" ref="D264">IF(C264="","",IFERROR(AVERAGE(_xlfn._xlws.FILTER($B$2:$B$2000,(IFERROR(VALUE(MID($A$2:$A$2000,4,2)),0)=MONTH(C264))*(IFERROR(VALUE(RIGHT($A$2:$A$2000,4)),0)=YEAR(C264)))),""))</f>
        <v/>
      </c>
      <c r="E264" s="62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4" t="inlineStr">
        <is>
          <t>21/12/2007</t>
        </is>
      </c>
      <c r="B265" s="31" t="n">
        <v>2.3575</v>
      </c>
      <c r="C265" s="69" t="n">
        <v>45597</v>
      </c>
      <c r="D265" s="70">
        <f t="array" ref="D265">IF(C265="","",IFERROR(AVERAGE(_xlfn._xlws.FILTER($B$2:$B$2000,(IFERROR(VALUE(MID($A$2:$A$2000,4,2)),0)=MONTH(C265))*(IFERROR(VALUE(RIGHT($A$2:$A$2000,4)),0)=YEAR(C265)))),""))</f>
        <v/>
      </c>
      <c r="E265" s="62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4" t="inlineStr">
        <is>
          <t>28/12/2007</t>
        </is>
      </c>
      <c r="B266" s="31" t="n">
        <v>2.3315</v>
      </c>
      <c r="C266" s="69" t="n">
        <v>45627</v>
      </c>
      <c r="D266" s="70">
        <f t="array" ref="D266">IF(C266="","",IFERROR(AVERAGE(_xlfn._xlws.FILTER($B$2:$B$2000,(IFERROR(VALUE(MID($A$2:$A$2000,4,2)),0)=MONTH(C266))*(IFERROR(VALUE(RIGHT($A$2:$A$2000,4)),0)=YEAR(C266)))),""))</f>
        <v/>
      </c>
      <c r="E266" s="62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4" t="inlineStr">
        <is>
          <t>04/01/2008</t>
        </is>
      </c>
      <c r="B267" s="31" t="n">
        <v>2.2942</v>
      </c>
      <c r="C267" s="69" t="n">
        <v>45658</v>
      </c>
      <c r="D267" s="70">
        <f t="array" ref="D267">IF(C267="","",IFERROR(AVERAGE(_xlfn._xlws.FILTER($B$2:$B$2000,(IFERROR(VALUE(MID($A$2:$A$2000,4,2)),0)=MONTH(C267))*(IFERROR(VALUE(RIGHT($A$2:$A$2000,4)),0)=YEAR(C267)))),""))</f>
        <v/>
      </c>
      <c r="E267" s="62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4" t="inlineStr">
        <is>
          <t>11/01/2008</t>
        </is>
      </c>
      <c r="B268" s="31" t="n">
        <v>2.2279</v>
      </c>
      <c r="C268" s="69" t="n">
        <v>45689</v>
      </c>
      <c r="D268" s="70">
        <f t="array" ref="D268">IF(C268="","",IFERROR(AVERAGE(_xlfn._xlws.FILTER($B$2:$B$2000,(IFERROR(VALUE(MID($A$2:$A$2000,4,2)),0)=MONTH(C268))*(IFERROR(VALUE(RIGHT($A$2:$A$2000,4)),0)=YEAR(C268)))),""))</f>
        <v/>
      </c>
      <c r="E268" s="62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4" t="inlineStr">
        <is>
          <t>18/01/2008</t>
        </is>
      </c>
      <c r="B269" s="31" t="n">
        <v>2.1747</v>
      </c>
      <c r="C269" s="69" t="n">
        <v>45717</v>
      </c>
      <c r="D269" s="70">
        <f t="array" ref="D269">IF(C269="","",IFERROR(AVERAGE(_xlfn._xlws.FILTER($B$2:$B$2000,(IFERROR(VALUE(MID($A$2:$A$2000,4,2)),0)=MONTH(C269))*(IFERROR(VALUE(RIGHT($A$2:$A$2000,4)),0)=YEAR(C269)))),""))</f>
        <v/>
      </c>
      <c r="E269" s="62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4" t="inlineStr">
        <is>
          <t>25/01/2008</t>
        </is>
      </c>
      <c r="B270" s="31" t="n">
        <v>2.1287</v>
      </c>
      <c r="C270" s="69" t="n">
        <v>45748</v>
      </c>
      <c r="D270" s="70">
        <f t="array" ref="D270">IF(C270="","",IFERROR(AVERAGE(_xlfn._xlws.FILTER($B$2:$B$2000,(IFERROR(VALUE(MID($A$2:$A$2000,4,2)),0)=MONTH(C270))*(IFERROR(VALUE(RIGHT($A$2:$A$2000,4)),0)=YEAR(C270)))),""))</f>
        <v/>
      </c>
      <c r="E270" s="62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4" t="inlineStr">
        <is>
          <t>01/02/2008</t>
        </is>
      </c>
      <c r="B271" s="31" t="n">
        <v>2.0963</v>
      </c>
      <c r="C271" s="69" t="n">
        <v>45778</v>
      </c>
      <c r="D271" s="70">
        <f t="array" ref="D271">IF(C271="","",IFERROR(AVERAGE(_xlfn._xlws.FILTER($B$2:$B$2000,(IFERROR(VALUE(MID($A$2:$A$2000,4,2)),0)=MONTH(C271))*(IFERROR(VALUE(RIGHT($A$2:$A$2000,4)),0)=YEAR(C271)))),""))</f>
        <v/>
      </c>
      <c r="E271" s="62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4" t="inlineStr">
        <is>
          <t>08/02/2008</t>
        </is>
      </c>
      <c r="B272" s="31" t="n">
        <v>2.0963</v>
      </c>
      <c r="C272" s="69" t="n">
        <v>45809</v>
      </c>
      <c r="D272" s="70">
        <f t="array" ref="D272">IF(C272="","",IFERROR(AVERAGE(_xlfn._xlws.FILTER($B$2:$B$2000,(IFERROR(VALUE(MID($A$2:$A$2000,4,2)),0)=MONTH(C272))*(IFERROR(VALUE(RIGHT($A$2:$A$2000,4)),0)=YEAR(C272)))),""))</f>
        <v/>
      </c>
      <c r="E272" s="62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4" t="inlineStr">
        <is>
          <t>15/02/2008</t>
        </is>
      </c>
      <c r="B273" s="31" t="n">
        <v>2.2033</v>
      </c>
      <c r="C273" s="69" t="n">
        <v>45839</v>
      </c>
      <c r="D273" s="70">
        <f t="array" ref="D273">IF(C273="","",IFERROR(AVERAGE(_xlfn._xlws.FILTER($B$2:$B$2000,(IFERROR(VALUE(MID($A$2:$A$2000,4,2)),0)=MONTH(C273))*(IFERROR(VALUE(RIGHT($A$2:$A$2000,4)),0)=YEAR(C273)))),""))</f>
        <v/>
      </c>
      <c r="E273" s="62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4" t="inlineStr">
        <is>
          <t>22/02/2008</t>
        </is>
      </c>
      <c r="B274" s="31" t="n">
        <v>2.2846</v>
      </c>
      <c r="C274" s="69" t="n">
        <v>45870</v>
      </c>
      <c r="D274" s="70">
        <f t="array" ref="D274">IF(C274="","",IFERROR(AVERAGE(_xlfn._xlws.FILTER($B$2:$B$2000,(IFERROR(VALUE(MID($A$2:$A$2000,4,2)),0)=MONTH(C274))*(IFERROR(VALUE(RIGHT($A$2:$A$2000,4)),0)=YEAR(C274)))),""))</f>
        <v/>
      </c>
      <c r="E274" s="62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4" t="inlineStr">
        <is>
          <t>29/02/2008</t>
        </is>
      </c>
      <c r="B275" s="31" t="n">
        <v>2.3332</v>
      </c>
      <c r="C275" s="69" t="n">
        <v>45901</v>
      </c>
      <c r="D275" s="70">
        <f t="array" ref="D275">IF(C275="","",IFERROR(AVERAGE(_xlfn._xlws.FILTER($B$2:$B$2000,(IFERROR(VALUE(MID($A$2:$A$2000,4,2)),0)=MONTH(C275))*(IFERROR(VALUE(RIGHT($A$2:$A$2000,4)),0)=YEAR(C275)))),""))</f>
        <v/>
      </c>
      <c r="E275" s="62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4" t="inlineStr">
        <is>
          <t>07/03/2008</t>
        </is>
      </c>
      <c r="B276" s="31" t="n">
        <v>2.3346</v>
      </c>
      <c r="C276" s="69" t="n">
        <v>45931</v>
      </c>
      <c r="D276" s="70">
        <f t="array" ref="D276">IF(C276="","",IFERROR(AVERAGE(_xlfn._xlws.FILTER($B$2:$B$2000,(IFERROR(VALUE(MID($A$2:$A$2000,4,2)),0)=MONTH(C276))*(IFERROR(VALUE(RIGHT($A$2:$A$2000,4)),0)=YEAR(C276)))),""))</f>
        <v/>
      </c>
      <c r="E276" s="62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4" t="inlineStr">
        <is>
          <t>14/03/2008</t>
        </is>
      </c>
      <c r="B277" s="31" t="n">
        <v>2.3444</v>
      </c>
      <c r="C277" s="69" t="n">
        <v>45962</v>
      </c>
      <c r="D277" s="70">
        <f t="array" ref="D277">IF(C277="","",IFERROR(AVERAGE(_xlfn._xlws.FILTER($B$2:$B$2000,(IFERROR(VALUE(MID($A$2:$A$2000,4,2)),0)=MONTH(C277))*(IFERROR(VALUE(RIGHT($A$2:$A$2000,4)),0)=YEAR(C277)))),""))</f>
        <v/>
      </c>
      <c r="E277" s="62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4" t="inlineStr">
        <is>
          <t>20/03/2008</t>
        </is>
      </c>
      <c r="B278" s="31" t="n">
        <v>2.3553</v>
      </c>
      <c r="C278" s="69" t="n">
        <v>45992</v>
      </c>
      <c r="D278" s="70">
        <f t="array" ref="D278">IF(C278="","",IFERROR(AVERAGE(_xlfn._xlws.FILTER($B$2:$B$2000,(IFERROR(VALUE(MID($A$2:$A$2000,4,2)),0)=MONTH(C278))*(IFERROR(VALUE(RIGHT($A$2:$A$2000,4)),0)=YEAR(C278)))),""))</f>
        <v/>
      </c>
      <c r="E278" s="62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4" t="inlineStr">
        <is>
          <t>28/03/2008</t>
        </is>
      </c>
      <c r="B279" s="31" t="n">
        <v>2.3015</v>
      </c>
      <c r="C279" s="69" t="n">
        <v>46023</v>
      </c>
      <c r="D279" s="70">
        <f t="array" ref="D279">IF(C279="","",IFERROR(AVERAGE(_xlfn._xlws.FILTER($B$2:$B$2000,(IFERROR(VALUE(MID($A$2:$A$2000,4,2)),0)=MONTH(C279))*(IFERROR(VALUE(RIGHT($A$2:$A$2000,4)),0)=YEAR(C279)))),""))</f>
        <v/>
      </c>
      <c r="E279" s="62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4" t="inlineStr">
        <is>
          <t>04/04/2008</t>
        </is>
      </c>
      <c r="B280" s="31" t="n">
        <v>2.2139</v>
      </c>
      <c r="C280" s="69" t="n">
        <v>46054</v>
      </c>
      <c r="D280" s="70">
        <f t="array" ref="D280">IF(C280="","",IFERROR(AVERAGE(_xlfn._xlws.FILTER($B$2:$B$2000,(IFERROR(VALUE(MID($A$2:$A$2000,4,2)),0)=MONTH(C280))*(IFERROR(VALUE(RIGHT($A$2:$A$2000,4)),0)=YEAR(C280)))),""))</f>
        <v/>
      </c>
      <c r="E280" s="62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4" t="inlineStr">
        <is>
          <t>11/04/2008</t>
        </is>
      </c>
      <c r="B281" s="31" t="n">
        <v>2.1458</v>
      </c>
      <c r="C281" s="69" t="n">
        <v>46082</v>
      </c>
      <c r="D281" s="70">
        <f t="array" ref="D281">IF(C281="","",IFERROR(AVERAGE(_xlfn._xlws.FILTER($B$2:$B$2000,(IFERROR(VALUE(MID($A$2:$A$2000,4,2)),0)=MONTH(C281))*(IFERROR(VALUE(RIGHT($A$2:$A$2000,4)),0)=YEAR(C281)))),""))</f>
        <v/>
      </c>
      <c r="E281" s="62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4" t="inlineStr">
        <is>
          <t>18/04/2008</t>
        </is>
      </c>
      <c r="B282" s="31" t="n">
        <v>2.1396</v>
      </c>
      <c r="C282" s="69" t="n">
        <v>46113</v>
      </c>
      <c r="D282" s="70">
        <f t="array" ref="D282">IF(C282="","",IFERROR(AVERAGE(_xlfn._xlws.FILTER($B$2:$B$2000,(IFERROR(VALUE(MID($A$2:$A$2000,4,2)),0)=MONTH(C282))*(IFERROR(VALUE(RIGHT($A$2:$A$2000,4)),0)=YEAR(C282)))),""))</f>
        <v/>
      </c>
      <c r="E282" s="62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4" t="inlineStr">
        <is>
          <t>25/04/2008</t>
        </is>
      </c>
      <c r="B283" s="31" t="n">
        <v>2.2253</v>
      </c>
      <c r="C283" s="69" t="n">
        <v>46143</v>
      </c>
      <c r="D283" s="70">
        <f t="array" ref="D283">IF(C283="","",IFERROR(AVERAGE(_xlfn._xlws.FILTER($B$2:$B$2000,(IFERROR(VALUE(MID($A$2:$A$2000,4,2)),0)=MONTH(C283))*(IFERROR(VALUE(RIGHT($A$2:$A$2000,4)),0)=YEAR(C283)))),""))</f>
        <v/>
      </c>
      <c r="E283" s="62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4" t="inlineStr">
        <is>
          <t>02/05/2008</t>
        </is>
      </c>
      <c r="B284" s="31" t="n">
        <v>2.3132</v>
      </c>
      <c r="C284" s="69" t="n">
        <v>46174</v>
      </c>
      <c r="D284" s="70">
        <f t="array" ref="D284">IF(C284="","",IFERROR(AVERAGE(_xlfn._xlws.FILTER($B$2:$B$2000,(IFERROR(VALUE(MID($A$2:$A$2000,4,2)),0)=MONTH(C284))*(IFERROR(VALUE(RIGHT($A$2:$A$2000,4)),0)=YEAR(C284)))),""))</f>
        <v/>
      </c>
      <c r="E284" s="62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4" t="inlineStr">
        <is>
          <t>09/05/2008</t>
        </is>
      </c>
      <c r="B285" s="31" t="n">
        <v>2.2646</v>
      </c>
      <c r="C285" s="69" t="n"/>
      <c r="D285" s="70">
        <f t="array" ref="D285">IF(C285="","",IFERROR(AVERAGE(_xlfn._xlws.FILTER($B$2:$B$2000,(IFERROR(VALUE(MID($A$2:$A$2000,4,2)),0)=MONTH(C285))*(IFERROR(VALUE(RIGHT($A$2:$A$2000,4)),0)=YEAR(C285)))),""))</f>
        <v/>
      </c>
      <c r="E285" s="62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4" t="inlineStr">
        <is>
          <t>16/05/2008</t>
        </is>
      </c>
      <c r="B286" s="31" t="n">
        <v>2.1006</v>
      </c>
      <c r="C286" s="69" t="n"/>
      <c r="D286" s="70">
        <f t="array" ref="D286">IF(C286="","",IFERROR(AVERAGE(_xlfn._xlws.FILTER($B$2:$B$2000,(IFERROR(VALUE(MID($A$2:$A$2000,4,2)),0)=MONTH(C286))*(IFERROR(VALUE(RIGHT($A$2:$A$2000,4)),0)=YEAR(C286)))),""))</f>
        <v/>
      </c>
      <c r="E286" s="62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4" t="inlineStr">
        <is>
          <t>23/05/2008</t>
        </is>
      </c>
      <c r="B287" s="31" t="n">
        <v>1.9934</v>
      </c>
      <c r="C287" s="69" t="n"/>
      <c r="D287" s="70">
        <f t="array" ref="D287">IF(C287="","",IFERROR(AVERAGE(_xlfn._xlws.FILTER($B$2:$B$2000,(IFERROR(VALUE(MID($A$2:$A$2000,4,2)),0)=MONTH(C287))*(IFERROR(VALUE(RIGHT($A$2:$A$2000,4)),0)=YEAR(C287)))),""))</f>
        <v/>
      </c>
      <c r="E287" s="62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4" t="inlineStr">
        <is>
          <t>30/05/2008</t>
        </is>
      </c>
      <c r="B288" s="31" t="n">
        <v>1.9306</v>
      </c>
      <c r="C288" s="69" t="n"/>
      <c r="D288" s="70">
        <f t="array" ref="D288">IF(C288="","",IFERROR(AVERAGE(_xlfn._xlws.FILTER($B$2:$B$2000,(IFERROR(VALUE(MID($A$2:$A$2000,4,2)),0)=MONTH(C288))*(IFERROR(VALUE(RIGHT($A$2:$A$2000,4)),0)=YEAR(C288)))),""))</f>
        <v/>
      </c>
      <c r="E288" s="62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4" t="inlineStr">
        <is>
          <t>06/06/2008</t>
        </is>
      </c>
      <c r="B289" s="31" t="n">
        <v>1.8738</v>
      </c>
      <c r="C289" s="69" t="n"/>
      <c r="D289" s="70">
        <f t="array" ref="D289">IF(C289="","",IFERROR(AVERAGE(_xlfn._xlws.FILTER($B$2:$B$2000,(IFERROR(VALUE(MID($A$2:$A$2000,4,2)),0)=MONTH(C289))*(IFERROR(VALUE(RIGHT($A$2:$A$2000,4)),0)=YEAR(C289)))),""))</f>
        <v/>
      </c>
      <c r="E289" s="62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4" t="inlineStr">
        <is>
          <t>13/06/2008</t>
        </is>
      </c>
      <c r="B290" s="31" t="n">
        <v>1.8925</v>
      </c>
      <c r="C290" s="69" t="n"/>
      <c r="D290" s="70">
        <f t="array" ref="D290">IF(C290="","",IFERROR(AVERAGE(_xlfn._xlws.FILTER($B$2:$B$2000,(IFERROR(VALUE(MID($A$2:$A$2000,4,2)),0)=MONTH(C290))*(IFERROR(VALUE(RIGHT($A$2:$A$2000,4)),0)=YEAR(C290)))),""))</f>
        <v/>
      </c>
      <c r="E290" s="62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4" t="inlineStr">
        <is>
          <t>20/06/2008</t>
        </is>
      </c>
      <c r="B291" s="31" t="n">
        <v>2.0059</v>
      </c>
      <c r="C291" s="69" t="n"/>
      <c r="D291" s="70">
        <f t="array" ref="D291">IF(C291="","",IFERROR(AVERAGE(_xlfn._xlws.FILTER($B$2:$B$2000,(IFERROR(VALUE(MID($A$2:$A$2000,4,2)),0)=MONTH(C291))*(IFERROR(VALUE(RIGHT($A$2:$A$2000,4)),0)=YEAR(C291)))),""))</f>
        <v/>
      </c>
      <c r="E291" s="62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4" t="inlineStr">
        <is>
          <t>27/06/2008</t>
        </is>
      </c>
      <c r="B292" s="31" t="n">
        <v>2.1416</v>
      </c>
      <c r="C292" s="69" t="n"/>
      <c r="D292" s="70">
        <f t="array" ref="D292">IF(C292="","",IFERROR(AVERAGE(_xlfn._xlws.FILTER($B$2:$B$2000,(IFERROR(VALUE(MID($A$2:$A$2000,4,2)),0)=MONTH(C292))*(IFERROR(VALUE(RIGHT($A$2:$A$2000,4)),0)=YEAR(C292)))),""))</f>
        <v/>
      </c>
      <c r="E292" s="62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4" t="inlineStr">
        <is>
          <t>04/07/2008</t>
        </is>
      </c>
      <c r="B293" s="31" t="n">
        <v>2.0775</v>
      </c>
      <c r="C293" s="69" t="n"/>
      <c r="D293" s="70">
        <f t="array" ref="D293">IF(C293="","",IFERROR(AVERAGE(_xlfn._xlws.FILTER($B$2:$B$2000,(IFERROR(VALUE(MID($A$2:$A$2000,4,2)),0)=MONTH(C293))*(IFERROR(VALUE(RIGHT($A$2:$A$2000,4)),0)=YEAR(C293)))),""))</f>
        <v/>
      </c>
      <c r="E293" s="62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4" t="inlineStr">
        <is>
          <t>11/07/2008</t>
        </is>
      </c>
      <c r="B294" s="31" t="n">
        <v>2.1057</v>
      </c>
      <c r="C294" s="69" t="n"/>
      <c r="D294" s="70">
        <f t="array" ref="D294">IF(C294="","",IFERROR(AVERAGE(_xlfn._xlws.FILTER($B$2:$B$2000,(IFERROR(VALUE(MID($A$2:$A$2000,4,2)),0)=MONTH(C294))*(IFERROR(VALUE(RIGHT($A$2:$A$2000,4)),0)=YEAR(C294)))),""))</f>
        <v/>
      </c>
      <c r="E294" s="62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4" t="inlineStr">
        <is>
          <t>18/07/2008</t>
        </is>
      </c>
      <c r="B295" s="31" t="n">
        <v>2.1103</v>
      </c>
      <c r="C295" s="69" t="n"/>
      <c r="D295" s="70">
        <f t="array" ref="D295">IF(C295="","",IFERROR(AVERAGE(_xlfn._xlws.FILTER($B$2:$B$2000,(IFERROR(VALUE(MID($A$2:$A$2000,4,2)),0)=MONTH(C295))*(IFERROR(VALUE(RIGHT($A$2:$A$2000,4)),0)=YEAR(C295)))),""))</f>
        <v/>
      </c>
      <c r="E295" s="62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4" t="inlineStr">
        <is>
          <t>25/07/2008</t>
        </is>
      </c>
      <c r="B296" s="31" t="n">
        <v>2.0868</v>
      </c>
      <c r="C296" s="69" t="n"/>
      <c r="D296" s="70">
        <f t="array" ref="D296">IF(C296="","",IFERROR(AVERAGE(_xlfn._xlws.FILTER($B$2:$B$2000,(IFERROR(VALUE(MID($A$2:$A$2000,4,2)),0)=MONTH(C296))*(IFERROR(VALUE(RIGHT($A$2:$A$2000,4)),0)=YEAR(C296)))),""))</f>
        <v/>
      </c>
      <c r="E296" s="62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4" t="inlineStr">
        <is>
          <t>01/08/2008</t>
        </is>
      </c>
      <c r="B297" s="31" t="n">
        <v>2.0362</v>
      </c>
      <c r="C297" s="69" t="n"/>
      <c r="D297" s="70">
        <f t="array" ref="D297">IF(C297="","",IFERROR(AVERAGE(_xlfn._xlws.FILTER($B$2:$B$2000,(IFERROR(VALUE(MID($A$2:$A$2000,4,2)),0)=MONTH(C297))*(IFERROR(VALUE(RIGHT($A$2:$A$2000,4)),0)=YEAR(C297)))),""))</f>
        <v/>
      </c>
      <c r="E297" s="62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4" t="inlineStr">
        <is>
          <t>08/08/2008</t>
        </is>
      </c>
      <c r="B298" s="31" t="n">
        <v>2.0266</v>
      </c>
      <c r="C298" s="69" t="n"/>
      <c r="D298" s="70">
        <f t="array" ref="D298">IF(C298="","",IFERROR(AVERAGE(_xlfn._xlws.FILTER($B$2:$B$2000,(IFERROR(VALUE(MID($A$2:$A$2000,4,2)),0)=MONTH(C298))*(IFERROR(VALUE(RIGHT($A$2:$A$2000,4)),0)=YEAR(C298)))),""))</f>
        <v/>
      </c>
      <c r="E298" s="62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4" t="inlineStr">
        <is>
          <t>15/08/2008</t>
        </is>
      </c>
      <c r="B299" s="31" t="n">
        <v>2.0762</v>
      </c>
      <c r="C299" s="69" t="n"/>
      <c r="D299" s="70">
        <f t="array" ref="D299">IF(C299="","",IFERROR(AVERAGE(_xlfn._xlws.FILTER($B$2:$B$2000,(IFERROR(VALUE(MID($A$2:$A$2000,4,2)),0)=MONTH(C299))*(IFERROR(VALUE(RIGHT($A$2:$A$2000,4)),0)=YEAR(C299)))),""))</f>
        <v/>
      </c>
      <c r="E299" s="62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4" t="inlineStr">
        <is>
          <t>22/08/2008</t>
        </is>
      </c>
      <c r="B300" s="31" t="n">
        <v>2.1644</v>
      </c>
      <c r="C300" s="69" t="n"/>
      <c r="D300" s="70">
        <f t="array" ref="D300">IF(C300="","",IFERROR(AVERAGE(_xlfn._xlws.FILTER($B$2:$B$2000,(IFERROR(VALUE(MID($A$2:$A$2000,4,2)),0)=MONTH(C300))*(IFERROR(VALUE(RIGHT($A$2:$A$2000,4)),0)=YEAR(C300)))),""))</f>
        <v/>
      </c>
      <c r="E300" s="62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4" t="inlineStr">
        <is>
          <t>29/08/2008</t>
        </is>
      </c>
      <c r="B301" s="31" t="n">
        <v>2.1565</v>
      </c>
      <c r="C301" s="69" t="n"/>
      <c r="D301" s="70">
        <f t="array" ref="D301">IF(C301="","",IFERROR(AVERAGE(_xlfn._xlws.FILTER($B$2:$B$2000,(IFERROR(VALUE(MID($A$2:$A$2000,4,2)),0)=MONTH(C301))*(IFERROR(VALUE(RIGHT($A$2:$A$2000,4)),0)=YEAR(C301)))),""))</f>
        <v/>
      </c>
      <c r="E301" s="62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4" t="inlineStr">
        <is>
          <t>05/09/2008</t>
        </is>
      </c>
      <c r="B302" s="31" t="n">
        <v>2.1565</v>
      </c>
      <c r="C302" s="69" t="n"/>
      <c r="D302" s="70">
        <f t="array" ref="D302">IF(C302="","",IFERROR(AVERAGE(_xlfn._xlws.FILTER($B$2:$B$2000,(IFERROR(VALUE(MID($A$2:$A$2000,4,2)),0)=MONTH(C302))*(IFERROR(VALUE(RIGHT($A$2:$A$2000,4)),0)=YEAR(C302)))),""))</f>
        <v/>
      </c>
      <c r="E302" s="62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4" t="inlineStr">
        <is>
          <t>12/09/2008</t>
        </is>
      </c>
      <c r="B303" s="31" t="n">
        <v>2.1664</v>
      </c>
      <c r="C303" s="69" t="n"/>
      <c r="D303" s="70">
        <f t="array" ref="D303">IF(C303="","",IFERROR(AVERAGE(_xlfn._xlws.FILTER($B$2:$B$2000,(IFERROR(VALUE(MID($A$2:$A$2000,4,2)),0)=MONTH(C303))*(IFERROR(VALUE(RIGHT($A$2:$A$2000,4)),0)=YEAR(C303)))),""))</f>
        <v/>
      </c>
      <c r="E303" s="62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4" t="inlineStr">
        <is>
          <t>19/09/2008</t>
        </is>
      </c>
      <c r="B304" s="31" t="n">
        <v>2.2131</v>
      </c>
      <c r="C304" s="69" t="n"/>
      <c r="D304" s="70">
        <f t="array" ref="D304">IF(C304="","",IFERROR(AVERAGE(_xlfn._xlws.FILTER($B$2:$B$2000,(IFERROR(VALUE(MID($A$2:$A$2000,4,2)),0)=MONTH(C304))*(IFERROR(VALUE(RIGHT($A$2:$A$2000,4)),0)=YEAR(C304)))),""))</f>
        <v/>
      </c>
      <c r="E304" s="62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4" t="inlineStr">
        <is>
          <t>26/09/2008</t>
        </is>
      </c>
      <c r="B305" s="31" t="n">
        <v>2.2326</v>
      </c>
      <c r="C305" s="69" t="n"/>
      <c r="D305" s="70">
        <f t="array" ref="D305">IF(C305="","",IFERROR(AVERAGE(_xlfn._xlws.FILTER($B$2:$B$2000,(IFERROR(VALUE(MID($A$2:$A$2000,4,2)),0)=MONTH(C305))*(IFERROR(VALUE(RIGHT($A$2:$A$2000,4)),0)=YEAR(C305)))),""))</f>
        <v/>
      </c>
      <c r="E305" s="62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4" t="inlineStr">
        <is>
          <t>03/10/2008</t>
        </is>
      </c>
      <c r="B306" s="31" t="n">
        <v>2.2107</v>
      </c>
      <c r="C306" s="69" t="n"/>
      <c r="D306" s="70">
        <f t="array" ref="D306">IF(C306="","",IFERROR(AVERAGE(_xlfn._xlws.FILTER($B$2:$B$2000,(IFERROR(VALUE(MID($A$2:$A$2000,4,2)),0)=MONTH(C306))*(IFERROR(VALUE(RIGHT($A$2:$A$2000,4)),0)=YEAR(C306)))),""))</f>
        <v/>
      </c>
      <c r="E306" s="62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4" t="inlineStr">
        <is>
          <t>10/10/2008</t>
        </is>
      </c>
      <c r="B307" s="31" t="n">
        <v>2.2046</v>
      </c>
      <c r="C307" s="69" t="n"/>
      <c r="D307" s="70">
        <f t="array" ref="D307">IF(C307="","",IFERROR(AVERAGE(_xlfn._xlws.FILTER($B$2:$B$2000,(IFERROR(VALUE(MID($A$2:$A$2000,4,2)),0)=MONTH(C307))*(IFERROR(VALUE(RIGHT($A$2:$A$2000,4)),0)=YEAR(C307)))),""))</f>
        <v/>
      </c>
      <c r="E307" s="62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4" t="inlineStr">
        <is>
          <t>17/10/2008</t>
        </is>
      </c>
      <c r="B308" s="31" t="n">
        <v>2.1304</v>
      </c>
      <c r="C308" s="69" t="n"/>
      <c r="D308" s="70">
        <f t="array" ref="D308">IF(C308="","",IFERROR(AVERAGE(_xlfn._xlws.FILTER($B$2:$B$2000,(IFERROR(VALUE(MID($A$2:$A$2000,4,2)),0)=MONTH(C308))*(IFERROR(VALUE(RIGHT($A$2:$A$2000,4)),0)=YEAR(C308)))),""))</f>
        <v/>
      </c>
      <c r="E308" s="62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4" t="inlineStr">
        <is>
          <t>24/10/2008</t>
        </is>
      </c>
      <c r="B309" s="31" t="n">
        <v>2.0541</v>
      </c>
      <c r="C309" s="69" t="n"/>
      <c r="D309" s="70">
        <f t="array" ref="D309">IF(C309="","",IFERROR(AVERAGE(_xlfn._xlws.FILTER($B$2:$B$2000,(IFERROR(VALUE(MID($A$2:$A$2000,4,2)),0)=MONTH(C309))*(IFERROR(VALUE(RIGHT($A$2:$A$2000,4)),0)=YEAR(C309)))),""))</f>
        <v/>
      </c>
      <c r="E309" s="62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4" t="inlineStr">
        <is>
          <t>31/10/2008</t>
        </is>
      </c>
      <c r="B310" s="31" t="n">
        <v>1.975</v>
      </c>
      <c r="C310" s="69" t="n"/>
      <c r="D310" s="70">
        <f t="array" ref="D310">IF(C310="","",IFERROR(AVERAGE(_xlfn._xlws.FILTER($B$2:$B$2000,(IFERROR(VALUE(MID($A$2:$A$2000,4,2)),0)=MONTH(C310))*(IFERROR(VALUE(RIGHT($A$2:$A$2000,4)),0)=YEAR(C310)))),""))</f>
        <v/>
      </c>
      <c r="E310" s="62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4" t="inlineStr">
        <is>
          <t>07/11/2008</t>
        </is>
      </c>
      <c r="B311" s="31" t="n">
        <v>1.9632</v>
      </c>
      <c r="C311" s="69" t="n"/>
      <c r="D311" s="70">
        <f t="array" ref="D311">IF(C311="","",IFERROR(AVERAGE(_xlfn._xlws.FILTER($B$2:$B$2000,(IFERROR(VALUE(MID($A$2:$A$2000,4,2)),0)=MONTH(C311))*(IFERROR(VALUE(RIGHT($A$2:$A$2000,4)),0)=YEAR(C311)))),""))</f>
        <v/>
      </c>
      <c r="E311" s="62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4" t="inlineStr">
        <is>
          <t>14/11/2008</t>
        </is>
      </c>
      <c r="B312" s="31" t="n">
        <v>2.1076</v>
      </c>
      <c r="C312" s="69" t="n"/>
      <c r="D312" s="70">
        <f t="array" ref="D312">IF(C312="","",IFERROR(AVERAGE(_xlfn._xlws.FILTER($B$2:$B$2000,(IFERROR(VALUE(MID($A$2:$A$2000,4,2)),0)=MONTH(C312))*(IFERROR(VALUE(RIGHT($A$2:$A$2000,4)),0)=YEAR(C312)))),""))</f>
        <v/>
      </c>
      <c r="E312" s="62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4" t="inlineStr">
        <is>
          <t>21/11/2008</t>
        </is>
      </c>
      <c r="B313" s="31" t="n">
        <v>2.2023</v>
      </c>
      <c r="C313" s="69" t="n"/>
      <c r="D313" s="70">
        <f t="array" ref="D313">IF(C313="","",IFERROR(AVERAGE(_xlfn._xlws.FILTER($B$2:$B$2000,(IFERROR(VALUE(MID($A$2:$A$2000,4,2)),0)=MONTH(C313))*(IFERROR(VALUE(RIGHT($A$2:$A$2000,4)),0)=YEAR(C313)))),""))</f>
        <v/>
      </c>
      <c r="E313" s="62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4" t="inlineStr">
        <is>
          <t>28/11/2008</t>
        </is>
      </c>
      <c r="B314" s="31" t="n">
        <v>2.1255</v>
      </c>
      <c r="C314" s="69" t="n"/>
      <c r="D314" s="70">
        <f t="array" ref="D314">IF(C314="","",IFERROR(AVERAGE(_xlfn._xlws.FILTER($B$2:$B$2000,(IFERROR(VALUE(MID($A$2:$A$2000,4,2)),0)=MONTH(C314))*(IFERROR(VALUE(RIGHT($A$2:$A$2000,4)),0)=YEAR(C314)))),""))</f>
        <v/>
      </c>
      <c r="E314" s="62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4" t="inlineStr">
        <is>
          <t>05/12/2008</t>
        </is>
      </c>
      <c r="B315" s="31" t="n">
        <v>2.121</v>
      </c>
      <c r="C315" s="69" t="n"/>
      <c r="D315" s="70">
        <f t="array" ref="D315">IF(C315="","",IFERROR(AVERAGE(_xlfn._xlws.FILTER($B$2:$B$2000,(IFERROR(VALUE(MID($A$2:$A$2000,4,2)),0)=MONTH(C315))*(IFERROR(VALUE(RIGHT($A$2:$A$2000,4)),0)=YEAR(C315)))),""))</f>
        <v/>
      </c>
      <c r="E315" s="62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4" t="inlineStr">
        <is>
          <t>12/12/2008</t>
        </is>
      </c>
      <c r="B316" s="31" t="n">
        <v>2.1202</v>
      </c>
      <c r="C316" s="69" t="n"/>
      <c r="D316" s="70">
        <f t="array" ref="D316">IF(C316="","",IFERROR(AVERAGE(_xlfn._xlws.FILTER($B$2:$B$2000,(IFERROR(VALUE(MID($A$2:$A$2000,4,2)),0)=MONTH(C316))*(IFERROR(VALUE(RIGHT($A$2:$A$2000,4)),0)=YEAR(C316)))),""))</f>
        <v/>
      </c>
      <c r="E316" s="62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4" t="inlineStr">
        <is>
          <t>19/12/2008</t>
        </is>
      </c>
      <c r="B317" s="31" t="n">
        <v>2.128</v>
      </c>
      <c r="C317" s="69" t="n"/>
      <c r="D317" s="70">
        <f t="array" ref="D317">IF(C317="","",IFERROR(AVERAGE(_xlfn._xlws.FILTER($B$2:$B$2000,(IFERROR(VALUE(MID($A$2:$A$2000,4,2)),0)=MONTH(C317))*(IFERROR(VALUE(RIGHT($A$2:$A$2000,4)),0)=YEAR(C317)))),""))</f>
        <v/>
      </c>
      <c r="E317" s="62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4" t="inlineStr">
        <is>
          <t>26/12/2008</t>
        </is>
      </c>
      <c r="B318" s="31" t="n">
        <v>2.1297</v>
      </c>
      <c r="C318" s="69" t="n"/>
      <c r="D318" s="70">
        <f t="array" ref="D318">IF(C318="","",IFERROR(AVERAGE(_xlfn._xlws.FILTER($B$2:$B$2000,(IFERROR(VALUE(MID($A$2:$A$2000,4,2)),0)=MONTH(C318))*(IFERROR(VALUE(RIGHT($A$2:$A$2000,4)),0)=YEAR(C318)))),""))</f>
        <v/>
      </c>
      <c r="E318" s="62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4" t="inlineStr">
        <is>
          <t>02/01/2009</t>
        </is>
      </c>
      <c r="B319" s="31" t="n">
        <v>2.1799</v>
      </c>
      <c r="C319" s="69" t="n"/>
      <c r="D319" s="70">
        <f t="array" ref="D319">IF(C319="","",IFERROR(AVERAGE(_xlfn._xlws.FILTER($B$2:$B$2000,(IFERROR(VALUE(MID($A$2:$A$2000,4,2)),0)=MONTH(C319))*(IFERROR(VALUE(RIGHT($A$2:$A$2000,4)),0)=YEAR(C319)))),""))</f>
        <v/>
      </c>
      <c r="E319" s="62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4" t="inlineStr">
        <is>
          <t>09/01/2009</t>
        </is>
      </c>
      <c r="B320" s="31" t="n">
        <v>2.2253</v>
      </c>
      <c r="C320" s="69" t="n"/>
      <c r="D320" s="70">
        <f t="array" ref="D320">IF(C320="","",IFERROR(AVERAGE(_xlfn._xlws.FILTER($B$2:$B$2000,(IFERROR(VALUE(MID($A$2:$A$2000,4,2)),0)=MONTH(C320))*(IFERROR(VALUE(RIGHT($A$2:$A$2000,4)),0)=YEAR(C320)))),""))</f>
        <v/>
      </c>
      <c r="E320" s="62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4" t="inlineStr">
        <is>
          <t>16/01/2009</t>
        </is>
      </c>
      <c r="B321" s="31" t="n">
        <v>2.2508</v>
      </c>
      <c r="C321" s="69" t="n"/>
      <c r="D321" s="70">
        <f t="array" ref="D321">IF(C321="","",IFERROR(AVERAGE(_xlfn._xlws.FILTER($B$2:$B$2000,(IFERROR(VALUE(MID($A$2:$A$2000,4,2)),0)=MONTH(C321))*(IFERROR(VALUE(RIGHT($A$2:$A$2000,4)),0)=YEAR(C321)))),""))</f>
        <v/>
      </c>
      <c r="E321" s="62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4" t="inlineStr">
        <is>
          <t>23/01/2009</t>
        </is>
      </c>
      <c r="B322" s="31" t="n">
        <v>2.3312</v>
      </c>
      <c r="C322" s="69" t="n"/>
      <c r="D322" s="70">
        <f t="array" ref="D322">IF(C322="","",IFERROR(AVERAGE(_xlfn._xlws.FILTER($B$2:$B$2000,(IFERROR(VALUE(MID($A$2:$A$2000,4,2)),0)=MONTH(C322))*(IFERROR(VALUE(RIGHT($A$2:$A$2000,4)),0)=YEAR(C322)))),""))</f>
        <v/>
      </c>
      <c r="E322" s="62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4" t="inlineStr">
        <is>
          <t>30/01/2009</t>
        </is>
      </c>
      <c r="B323" s="31" t="n">
        <v>2.3312</v>
      </c>
      <c r="C323" s="69" t="n"/>
      <c r="D323" s="70">
        <f t="array" ref="D323">IF(C323="","",IFERROR(AVERAGE(_xlfn._xlws.FILTER($B$2:$B$2000,(IFERROR(VALUE(MID($A$2:$A$2000,4,2)),0)=MONTH(C323))*(IFERROR(VALUE(RIGHT($A$2:$A$2000,4)),0)=YEAR(C323)))),""))</f>
        <v/>
      </c>
      <c r="E323" s="62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4" t="inlineStr">
        <is>
          <t>06/02/2009</t>
        </is>
      </c>
      <c r="B324" s="31" t="n">
        <v>2.3691</v>
      </c>
      <c r="C324" s="69" t="n"/>
      <c r="D324" s="70">
        <f t="array" ref="D324">IF(C324="","",IFERROR(AVERAGE(_xlfn._xlws.FILTER($B$2:$B$2000,(IFERROR(VALUE(MID($A$2:$A$2000,4,2)),0)=MONTH(C324))*(IFERROR(VALUE(RIGHT($A$2:$A$2000,4)),0)=YEAR(C324)))),""))</f>
        <v/>
      </c>
      <c r="E324" s="62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4" t="inlineStr">
        <is>
          <t>13/02/2009</t>
        </is>
      </c>
      <c r="B325" s="31" t="n">
        <v>2.2657</v>
      </c>
      <c r="C325" s="69" t="n"/>
      <c r="D325" s="70">
        <f t="array" ref="D325">IF(C325="","",IFERROR(AVERAGE(_xlfn._xlws.FILTER($B$2:$B$2000,(IFERROR(VALUE(MID($A$2:$A$2000,4,2)),0)=MONTH(C325))*(IFERROR(VALUE(RIGHT($A$2:$A$2000,4)),0)=YEAR(C325)))),""))</f>
        <v/>
      </c>
      <c r="E325" s="62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4" t="inlineStr">
        <is>
          <t>20/02/2009</t>
        </is>
      </c>
      <c r="B326" s="31" t="n">
        <v>2.1009</v>
      </c>
      <c r="C326" s="69" t="n"/>
      <c r="D326" s="70">
        <f t="array" ref="D326">IF(C326="","",IFERROR(AVERAGE(_xlfn._xlws.FILTER($B$2:$B$2000,(IFERROR(VALUE(MID($A$2:$A$2000,4,2)),0)=MONTH(C326))*(IFERROR(VALUE(RIGHT($A$2:$A$2000,4)),0)=YEAR(C326)))),""))</f>
        <v/>
      </c>
      <c r="E326" s="62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4" t="inlineStr">
        <is>
          <t>27/02/2009</t>
        </is>
      </c>
      <c r="B327" s="31" t="n">
        <v>2.0513</v>
      </c>
      <c r="C327" s="69" t="n"/>
      <c r="D327" s="70">
        <f t="array" ref="D327">IF(C327="","",IFERROR(AVERAGE(_xlfn._xlws.FILTER($B$2:$B$2000,(IFERROR(VALUE(MID($A$2:$A$2000,4,2)),0)=MONTH(C327))*(IFERROR(VALUE(RIGHT($A$2:$A$2000,4)),0)=YEAR(C327)))),""))</f>
        <v/>
      </c>
      <c r="E327" s="62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4" t="inlineStr">
        <is>
          <t>06/03/2009</t>
        </is>
      </c>
      <c r="B328" s="31" t="n">
        <v>2.0142</v>
      </c>
      <c r="C328" s="69" t="n"/>
      <c r="D328" s="70">
        <f t="array" ref="D328">IF(C328="","",IFERROR(AVERAGE(_xlfn._xlws.FILTER($B$2:$B$2000,(IFERROR(VALUE(MID($A$2:$A$2000,4,2)),0)=MONTH(C328))*(IFERROR(VALUE(RIGHT($A$2:$A$2000,4)),0)=YEAR(C328)))),""))</f>
        <v/>
      </c>
      <c r="E328" s="62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4" t="inlineStr">
        <is>
          <t>13/03/2009</t>
        </is>
      </c>
      <c r="B329" s="31" t="n">
        <v>1.9799</v>
      </c>
      <c r="C329" s="69" t="n"/>
      <c r="D329" s="70">
        <f t="array" ref="D329">IF(C329="","",IFERROR(AVERAGE(_xlfn._xlws.FILTER($B$2:$B$2000,(IFERROR(VALUE(MID($A$2:$A$2000,4,2)),0)=MONTH(C329))*(IFERROR(VALUE(RIGHT($A$2:$A$2000,4)),0)=YEAR(C329)))),""))</f>
        <v/>
      </c>
      <c r="E329" s="62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4" t="inlineStr">
        <is>
          <t>20/03/2009</t>
        </is>
      </c>
      <c r="B330" s="31" t="n">
        <v>1.8598</v>
      </c>
      <c r="C330" s="69" t="n"/>
      <c r="D330" s="70">
        <f t="array" ref="D330">IF(C330="","",IFERROR(AVERAGE(_xlfn._xlws.FILTER($B$2:$B$2000,(IFERROR(VALUE(MID($A$2:$A$2000,4,2)),0)=MONTH(C330))*(IFERROR(VALUE(RIGHT($A$2:$A$2000,4)),0)=YEAR(C330)))),""))</f>
        <v/>
      </c>
      <c r="E330" s="62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4" t="inlineStr">
        <is>
          <t>27/03/2009</t>
        </is>
      </c>
      <c r="B331" s="31" t="n">
        <v>1.7232</v>
      </c>
      <c r="C331" s="69" t="n"/>
      <c r="D331" s="70">
        <f t="array" ref="D331">IF(C331="","",IFERROR(AVERAGE(_xlfn._xlws.FILTER($B$2:$B$2000,(IFERROR(VALUE(MID($A$2:$A$2000,4,2)),0)=MONTH(C331))*(IFERROR(VALUE(RIGHT($A$2:$A$2000,4)),0)=YEAR(C331)))),""))</f>
        <v/>
      </c>
      <c r="E331" s="62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4" t="inlineStr">
        <is>
          <t>03/04/2009</t>
        </is>
      </c>
      <c r="B332" s="31" t="n">
        <v>1.6465</v>
      </c>
      <c r="C332" s="69" t="n"/>
      <c r="D332" s="70">
        <f t="array" ref="D332">IF(C332="","",IFERROR(AVERAGE(_xlfn._xlws.FILTER($B$2:$B$2000,(IFERROR(VALUE(MID($A$2:$A$2000,4,2)),0)=MONTH(C332))*(IFERROR(VALUE(RIGHT($A$2:$A$2000,4)),0)=YEAR(C332)))),""))</f>
        <v/>
      </c>
      <c r="E332" s="62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4" t="inlineStr">
        <is>
          <t>09/04/2009</t>
        </is>
      </c>
      <c r="B333" s="31" t="n">
        <v>1.6949</v>
      </c>
      <c r="C333" s="69" t="n"/>
      <c r="D333" s="70">
        <f t="array" ref="D333">IF(C333="","",IFERROR(AVERAGE(_xlfn._xlws.FILTER($B$2:$B$2000,(IFERROR(VALUE(MID($A$2:$A$2000,4,2)),0)=MONTH(C333))*(IFERROR(VALUE(RIGHT($A$2:$A$2000,4)),0)=YEAR(C333)))),""))</f>
        <v/>
      </c>
      <c r="E333" s="62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4" t="inlineStr">
        <is>
          <t>17/04/2009</t>
        </is>
      </c>
      <c r="B334" s="31" t="n">
        <v>1.952</v>
      </c>
      <c r="C334" s="69" t="n"/>
      <c r="D334" s="70">
        <f t="array" ref="D334">IF(C334="","",IFERROR(AVERAGE(_xlfn._xlws.FILTER($B$2:$B$2000,(IFERROR(VALUE(MID($A$2:$A$2000,4,2)),0)=MONTH(C334))*(IFERROR(VALUE(RIGHT($A$2:$A$2000,4)),0)=YEAR(C334)))),""))</f>
        <v/>
      </c>
      <c r="E334" s="62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4" t="inlineStr">
        <is>
          <t>24/04/2009</t>
        </is>
      </c>
      <c r="B335" s="31" t="n">
        <v>1.9937</v>
      </c>
      <c r="C335" s="69" t="n"/>
      <c r="D335" s="70">
        <f t="array" ref="D335">IF(C335="","",IFERROR(AVERAGE(_xlfn._xlws.FILTER($B$2:$B$2000,(IFERROR(VALUE(MID($A$2:$A$2000,4,2)),0)=MONTH(C335))*(IFERROR(VALUE(RIGHT($A$2:$A$2000,4)),0)=YEAR(C335)))),""))</f>
        <v/>
      </c>
      <c r="E335" s="62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4" t="inlineStr">
        <is>
          <t>30/04/2009</t>
        </is>
      </c>
      <c r="B336" s="31" t="n">
        <v>1.7132</v>
      </c>
      <c r="C336" s="69" t="n"/>
      <c r="D336" s="70">
        <f t="array" ref="D336">IF(C336="","",IFERROR(AVERAGE(_xlfn._xlws.FILTER($B$2:$B$2000,(IFERROR(VALUE(MID($A$2:$A$2000,4,2)),0)=MONTH(C336))*(IFERROR(VALUE(RIGHT($A$2:$A$2000,4)),0)=YEAR(C336)))),""))</f>
        <v/>
      </c>
      <c r="E336" s="62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4" t="inlineStr">
        <is>
          <t>08/05/2009</t>
        </is>
      </c>
      <c r="B337" s="31" t="n">
        <v>1.6859</v>
      </c>
      <c r="C337" s="69" t="n"/>
      <c r="D337" s="70">
        <f t="array" ref="D337">IF(C337="","",IFERROR(AVERAGE(_xlfn._xlws.FILTER($B$2:$B$2000,(IFERROR(VALUE(MID($A$2:$A$2000,4,2)),0)=MONTH(C337))*(IFERROR(VALUE(RIGHT($A$2:$A$2000,4)),0)=YEAR(C337)))),""))</f>
        <v/>
      </c>
      <c r="E337" s="62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4" t="inlineStr">
        <is>
          <t>15/05/2009</t>
        </is>
      </c>
      <c r="B338" s="31" t="n">
        <v>1.7004</v>
      </c>
      <c r="C338" s="69" t="n"/>
      <c r="D338" s="70">
        <f t="array" ref="D338">IF(C338="","",IFERROR(AVERAGE(_xlfn._xlws.FILTER($B$2:$B$2000,(IFERROR(VALUE(MID($A$2:$A$2000,4,2)),0)=MONTH(C338))*(IFERROR(VALUE(RIGHT($A$2:$A$2000,4)),0)=YEAR(C338)))),""))</f>
        <v/>
      </c>
      <c r="E338" s="62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4" t="inlineStr">
        <is>
          <t>22/05/2009</t>
        </is>
      </c>
      <c r="B339" s="31" t="n">
        <v>1.7226</v>
      </c>
      <c r="C339" s="69" t="n"/>
      <c r="D339" s="70">
        <f t="array" ref="D339">IF(C339="","",IFERROR(AVERAGE(_xlfn._xlws.FILTER($B$2:$B$2000,(IFERROR(VALUE(MID($A$2:$A$2000,4,2)),0)=MONTH(C339))*(IFERROR(VALUE(RIGHT($A$2:$A$2000,4)),0)=YEAR(C339)))),""))</f>
        <v/>
      </c>
      <c r="E339" s="62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4" t="inlineStr">
        <is>
          <t>29/05/2009</t>
        </is>
      </c>
      <c r="B340" s="31" t="n">
        <v>1.713</v>
      </c>
      <c r="C340" s="69" t="n"/>
      <c r="D340" s="70">
        <f t="array" ref="D340">IF(C340="","",IFERROR(AVERAGE(_xlfn._xlws.FILTER($B$2:$B$2000,(IFERROR(VALUE(MID($A$2:$A$2000,4,2)),0)=MONTH(C340))*(IFERROR(VALUE(RIGHT($A$2:$A$2000,4)),0)=YEAR(C340)))),""))</f>
        <v/>
      </c>
      <c r="E340" s="62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4" t="inlineStr">
        <is>
          <t>05/06/2009</t>
        </is>
      </c>
      <c r="B341" s="31" t="n">
        <v>1.6949</v>
      </c>
      <c r="C341" s="69" t="n"/>
      <c r="D341" s="70">
        <f t="array" ref="D341">IF(C341="","",IFERROR(AVERAGE(_xlfn._xlws.FILTER($B$2:$B$2000,(IFERROR(VALUE(MID($A$2:$A$2000,4,2)),0)=MONTH(C341))*(IFERROR(VALUE(RIGHT($A$2:$A$2000,4)),0)=YEAR(C341)))),""))</f>
        <v/>
      </c>
      <c r="E341" s="62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4" t="inlineStr">
        <is>
          <t>12/06/2009</t>
        </is>
      </c>
      <c r="B342" s="31" t="n">
        <v>1.7237</v>
      </c>
      <c r="C342" s="69" t="n"/>
      <c r="D342" s="70">
        <f t="array" ref="D342">IF(C342="","",IFERROR(AVERAGE(_xlfn._xlws.FILTER($B$2:$B$2000,(IFERROR(VALUE(MID($A$2:$A$2000,4,2)),0)=MONTH(C342))*(IFERROR(VALUE(RIGHT($A$2:$A$2000,4)),0)=YEAR(C342)))),""))</f>
        <v/>
      </c>
      <c r="E342" s="62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4" t="inlineStr">
        <is>
          <t>19/06/2009</t>
        </is>
      </c>
      <c r="B343" s="31" t="n">
        <v>1.7762</v>
      </c>
      <c r="C343" s="69" t="n"/>
      <c r="D343" s="70">
        <f t="array" ref="D343">IF(C343="","",IFERROR(AVERAGE(_xlfn._xlws.FILTER($B$2:$B$2000,(IFERROR(VALUE(MID($A$2:$A$2000,4,2)),0)=MONTH(C343))*(IFERROR(VALUE(RIGHT($A$2:$A$2000,4)),0)=YEAR(C343)))),""))</f>
        <v/>
      </c>
      <c r="E343" s="62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4" t="inlineStr">
        <is>
          <t>26/06/2009</t>
        </is>
      </c>
      <c r="B344" s="31" t="n">
        <v>1.8833</v>
      </c>
      <c r="C344" s="69" t="n"/>
      <c r="D344" s="70">
        <f t="array" ref="D344">IF(C344="","",IFERROR(AVERAGE(_xlfn._xlws.FILTER($B$2:$B$2000,(IFERROR(VALUE(MID($A$2:$A$2000,4,2)),0)=MONTH(C344))*(IFERROR(VALUE(RIGHT($A$2:$A$2000,4)),0)=YEAR(C344)))),""))</f>
        <v/>
      </c>
      <c r="E344" s="62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4" t="inlineStr">
        <is>
          <t>03/07/2009</t>
        </is>
      </c>
      <c r="B345" s="31" t="n">
        <v>2.0335</v>
      </c>
      <c r="C345" s="69" t="n"/>
      <c r="D345" s="70">
        <f t="array" ref="D345">IF(C345="","",IFERROR(AVERAGE(_xlfn._xlws.FILTER($B$2:$B$2000,(IFERROR(VALUE(MID($A$2:$A$2000,4,2)),0)=MONTH(C345))*(IFERROR(VALUE(RIGHT($A$2:$A$2000,4)),0)=YEAR(C345)))),""))</f>
        <v/>
      </c>
      <c r="E345" s="62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4" t="inlineStr">
        <is>
          <t>10/07/2009</t>
        </is>
      </c>
      <c r="B346" s="31" t="n">
        <v>2.1337</v>
      </c>
      <c r="C346" s="69" t="n"/>
      <c r="D346" s="70">
        <f t="array" ref="D346">IF(C346="","",IFERROR(AVERAGE(_xlfn._xlws.FILTER($B$2:$B$2000,(IFERROR(VALUE(MID($A$2:$A$2000,4,2)),0)=MONTH(C346))*(IFERROR(VALUE(RIGHT($A$2:$A$2000,4)),0)=YEAR(C346)))),""))</f>
        <v/>
      </c>
      <c r="E346" s="62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4" t="inlineStr">
        <is>
          <t>17/07/2009</t>
        </is>
      </c>
      <c r="B347" s="31" t="n">
        <v>2.0994</v>
      </c>
      <c r="C347" s="69" t="n"/>
      <c r="D347" s="70">
        <f t="array" ref="D347">IF(C347="","",IFERROR(AVERAGE(_xlfn._xlws.FILTER($B$2:$B$2000,(IFERROR(VALUE(MID($A$2:$A$2000,4,2)),0)=MONTH(C347))*(IFERROR(VALUE(RIGHT($A$2:$A$2000,4)),0)=YEAR(C347)))),""))</f>
        <v/>
      </c>
      <c r="E347" s="62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4" t="inlineStr">
        <is>
          <t>24/07/2009</t>
        </is>
      </c>
      <c r="B348" s="31" t="n">
        <v>2.0162</v>
      </c>
      <c r="C348" s="69" t="n"/>
      <c r="D348" s="70">
        <f t="array" ref="D348">IF(C348="","",IFERROR(AVERAGE(_xlfn._xlws.FILTER($B$2:$B$2000,(IFERROR(VALUE(MID($A$2:$A$2000,4,2)),0)=MONTH(C348))*(IFERROR(VALUE(RIGHT($A$2:$A$2000,4)),0)=YEAR(C348)))),""))</f>
        <v/>
      </c>
      <c r="E348" s="62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4" t="inlineStr">
        <is>
          <t>31/07/2009</t>
        </is>
      </c>
      <c r="B349" s="31" t="n">
        <v>2.1205</v>
      </c>
      <c r="C349" s="69" t="n"/>
      <c r="D349" s="70">
        <f t="array" ref="D349">IF(C349="","",IFERROR(AVERAGE(_xlfn._xlws.FILTER($B$2:$B$2000,(IFERROR(VALUE(MID($A$2:$A$2000,4,2)),0)=MONTH(C349))*(IFERROR(VALUE(RIGHT($A$2:$A$2000,4)),0)=YEAR(C349)))),""))</f>
        <v/>
      </c>
      <c r="E349" s="62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4" t="inlineStr">
        <is>
          <t>07/08/2009</t>
        </is>
      </c>
      <c r="B350" s="31" t="n">
        <v>2.0888</v>
      </c>
      <c r="C350" s="69" t="n"/>
      <c r="D350" s="70">
        <f t="array" ref="D350">IF(C350="","",IFERROR(AVERAGE(_xlfn._xlws.FILTER($B$2:$B$2000,(IFERROR(VALUE(MID($A$2:$A$2000,4,2)),0)=MONTH(C350))*(IFERROR(VALUE(RIGHT($A$2:$A$2000,4)),0)=YEAR(C350)))),""))</f>
        <v/>
      </c>
      <c r="E350" s="62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4" t="inlineStr">
        <is>
          <t>14/08/2009</t>
        </is>
      </c>
      <c r="B351" s="31" t="n">
        <v>2.0738</v>
      </c>
      <c r="C351" s="69" t="n"/>
      <c r="D351" s="70">
        <f t="array" ref="D351">IF(C351="","",IFERROR(AVERAGE(_xlfn._xlws.FILTER($B$2:$B$2000,(IFERROR(VALUE(MID($A$2:$A$2000,4,2)),0)=MONTH(C351))*(IFERROR(VALUE(RIGHT($A$2:$A$2000,4)),0)=YEAR(C351)))),""))</f>
        <v/>
      </c>
      <c r="E351" s="62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4" t="inlineStr">
        <is>
          <t>21/08/2009</t>
        </is>
      </c>
      <c r="B352" s="31" t="n">
        <v>2.1611</v>
      </c>
      <c r="C352" s="69" t="n"/>
      <c r="D352" s="70">
        <f t="array" ref="D352">IF(C352="","",IFERROR(AVERAGE(_xlfn._xlws.FILTER($B$2:$B$2000,(IFERROR(VALUE(MID($A$2:$A$2000,4,2)),0)=MONTH(C352))*(IFERROR(VALUE(RIGHT($A$2:$A$2000,4)),0)=YEAR(C352)))),""))</f>
        <v/>
      </c>
      <c r="E352" s="62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4" t="inlineStr">
        <is>
          <t>28/08/2009</t>
        </is>
      </c>
      <c r="B353" s="31" t="n">
        <v>2.2241</v>
      </c>
      <c r="C353" s="69" t="n"/>
      <c r="D353" s="70">
        <f t="array" ref="D353">IF(C353="","",IFERROR(AVERAGE(_xlfn._xlws.FILTER($B$2:$B$2000,(IFERROR(VALUE(MID($A$2:$A$2000,4,2)),0)=MONTH(C353))*(IFERROR(VALUE(RIGHT($A$2:$A$2000,4)),0)=YEAR(C353)))),""))</f>
        <v/>
      </c>
      <c r="E353" s="62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4" t="inlineStr">
        <is>
          <t>04/09/2009</t>
        </is>
      </c>
      <c r="B354" s="31" t="n">
        <v>2.1817</v>
      </c>
      <c r="C354" s="69" t="n"/>
      <c r="D354" s="70">
        <f t="array" ref="D354">IF(C354="","",IFERROR(AVERAGE(_xlfn._xlws.FILTER($B$2:$B$2000,(IFERROR(VALUE(MID($A$2:$A$2000,4,2)),0)=MONTH(C354))*(IFERROR(VALUE(RIGHT($A$2:$A$2000,4)),0)=YEAR(C354)))),""))</f>
        <v/>
      </c>
      <c r="E354" s="62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4" t="inlineStr">
        <is>
          <t>11/09/2009</t>
        </is>
      </c>
      <c r="B355" s="31" t="n">
        <v>2.307</v>
      </c>
      <c r="C355" s="69" t="n"/>
      <c r="D355" s="70">
        <f t="array" ref="D355">IF(C355="","",IFERROR(AVERAGE(_xlfn._xlws.FILTER($B$2:$B$2000,(IFERROR(VALUE(MID($A$2:$A$2000,4,2)),0)=MONTH(C355))*(IFERROR(VALUE(RIGHT($A$2:$A$2000,4)),0)=YEAR(C355)))),""))</f>
        <v/>
      </c>
      <c r="E355" s="62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4" t="inlineStr">
        <is>
          <t>18/09/2009</t>
        </is>
      </c>
      <c r="B356" s="31" t="n">
        <v>2.3079</v>
      </c>
      <c r="C356" s="69" t="n"/>
      <c r="D356" s="70">
        <f t="array" ref="D356">IF(C356="","",IFERROR(AVERAGE(_xlfn._xlws.FILTER($B$2:$B$2000,(IFERROR(VALUE(MID($A$2:$A$2000,4,2)),0)=MONTH(C356))*(IFERROR(VALUE(RIGHT($A$2:$A$2000,4)),0)=YEAR(C356)))),""))</f>
        <v/>
      </c>
      <c r="E356" s="62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4" t="inlineStr">
        <is>
          <t>25/09/2009</t>
        </is>
      </c>
      <c r="B357" s="31" t="n">
        <v>2.4915</v>
      </c>
      <c r="C357" s="69" t="n"/>
      <c r="D357" s="70">
        <f t="array" ref="D357">IF(C357="","",IFERROR(AVERAGE(_xlfn._xlws.FILTER($B$2:$B$2000,(IFERROR(VALUE(MID($A$2:$A$2000,4,2)),0)=MONTH(C357))*(IFERROR(VALUE(RIGHT($A$2:$A$2000,4)),0)=YEAR(C357)))),""))</f>
        <v/>
      </c>
      <c r="E357" s="62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4" t="inlineStr">
        <is>
          <t>02/10/2009</t>
        </is>
      </c>
      <c r="B358" s="31" t="n">
        <v>2.6231</v>
      </c>
      <c r="C358" s="69" t="n"/>
      <c r="D358" s="70">
        <f t="array" ref="D358">IF(C358="","",IFERROR(AVERAGE(_xlfn._xlws.FILTER($B$2:$B$2000,(IFERROR(VALUE(MID($A$2:$A$2000,4,2)),0)=MONTH(C358))*(IFERROR(VALUE(RIGHT($A$2:$A$2000,4)),0)=YEAR(C358)))),""))</f>
        <v/>
      </c>
      <c r="E358" s="62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4" t="inlineStr">
        <is>
          <t>09/10/2009</t>
        </is>
      </c>
      <c r="B359" s="31" t="n">
        <v>2.6359</v>
      </c>
      <c r="C359" s="69" t="n"/>
      <c r="D359" s="70">
        <f t="array" ref="D359">IF(C359="","",IFERROR(AVERAGE(_xlfn._xlws.FILTER($B$2:$B$2000,(IFERROR(VALUE(MID($A$2:$A$2000,4,2)),0)=MONTH(C359))*(IFERROR(VALUE(RIGHT($A$2:$A$2000,4)),0)=YEAR(C359)))),""))</f>
        <v/>
      </c>
      <c r="E359" s="62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4" t="inlineStr">
        <is>
          <t>16/10/2009</t>
        </is>
      </c>
      <c r="B360" s="31" t="n">
        <v>2.7334</v>
      </c>
      <c r="C360" s="69" t="n"/>
      <c r="D360" s="70">
        <f t="array" ref="D360">IF(C360="","",IFERROR(AVERAGE(_xlfn._xlws.FILTER($B$2:$B$2000,(IFERROR(VALUE(MID($A$2:$A$2000,4,2)),0)=MONTH(C360))*(IFERROR(VALUE(RIGHT($A$2:$A$2000,4)),0)=YEAR(C360)))),""))</f>
        <v/>
      </c>
      <c r="E360" s="62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4" t="inlineStr">
        <is>
          <t>23/10/2009</t>
        </is>
      </c>
      <c r="B361" s="31" t="n">
        <v>2.8033</v>
      </c>
      <c r="C361" s="69" t="n"/>
      <c r="D361" s="70">
        <f t="array" ref="D361">IF(C361="","",IFERROR(AVERAGE(_xlfn._xlws.FILTER($B$2:$B$2000,(IFERROR(VALUE(MID($A$2:$A$2000,4,2)),0)=MONTH(C361))*(IFERROR(VALUE(RIGHT($A$2:$A$2000,4)),0)=YEAR(C361)))),""))</f>
        <v/>
      </c>
      <c r="E361" s="62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4" t="inlineStr">
        <is>
          <t>30/10/2009</t>
        </is>
      </c>
      <c r="B362" s="31" t="n">
        <v>2.8297</v>
      </c>
      <c r="C362" s="69" t="n"/>
      <c r="D362" s="70">
        <f t="array" ref="D362">IF(C362="","",IFERROR(AVERAGE(_xlfn._xlws.FILTER($B$2:$B$2000,(IFERROR(VALUE(MID($A$2:$A$2000,4,2)),0)=MONTH(C362))*(IFERROR(VALUE(RIGHT($A$2:$A$2000,4)),0)=YEAR(C362)))),""))</f>
        <v/>
      </c>
      <c r="E362" s="62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4" t="inlineStr">
        <is>
          <t>06/11/2009</t>
        </is>
      </c>
      <c r="B363" s="31" t="n">
        <v>2.7684</v>
      </c>
      <c r="C363" s="69" t="n"/>
      <c r="D363" s="70">
        <f t="array" ref="D363">IF(C363="","",IFERROR(AVERAGE(_xlfn._xlws.FILTER($B$2:$B$2000,(IFERROR(VALUE(MID($A$2:$A$2000,4,2)),0)=MONTH(C363))*(IFERROR(VALUE(RIGHT($A$2:$A$2000,4)),0)=YEAR(C363)))),""))</f>
        <v/>
      </c>
      <c r="E363" s="62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4" t="inlineStr">
        <is>
          <t>13/11/2009</t>
        </is>
      </c>
      <c r="B364" s="31" t="n">
        <v>2.7842</v>
      </c>
      <c r="C364" s="69" t="n"/>
      <c r="D364" s="70">
        <f t="array" ref="D364">IF(C364="","",IFERROR(AVERAGE(_xlfn._xlws.FILTER($B$2:$B$2000,(IFERROR(VALUE(MID($A$2:$A$2000,4,2)),0)=MONTH(C364))*(IFERROR(VALUE(RIGHT($A$2:$A$2000,4)),0)=YEAR(C364)))),""))</f>
        <v/>
      </c>
      <c r="E364" s="62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4" t="inlineStr">
        <is>
          <t>20/11/2009</t>
        </is>
      </c>
      <c r="B365" s="31" t="n">
        <v>2.7301</v>
      </c>
      <c r="C365" s="69" t="n"/>
      <c r="D365" s="70">
        <f t="array" ref="D365">IF(C365="","",IFERROR(AVERAGE(_xlfn._xlws.FILTER($B$2:$B$2000,(IFERROR(VALUE(MID($A$2:$A$2000,4,2)),0)=MONTH(C365))*(IFERROR(VALUE(RIGHT($A$2:$A$2000,4)),0)=YEAR(C365)))),""))</f>
        <v/>
      </c>
      <c r="E365" s="62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4" t="inlineStr">
        <is>
          <t>27/11/2009</t>
        </is>
      </c>
      <c r="B366" s="31" t="n">
        <v>2.7131</v>
      </c>
      <c r="C366" s="69" t="n"/>
      <c r="D366" s="70">
        <f t="array" ref="D366">IF(C366="","",IFERROR(AVERAGE(_xlfn._xlws.FILTER($B$2:$B$2000,(IFERROR(VALUE(MID($A$2:$A$2000,4,2)),0)=MONTH(C366))*(IFERROR(VALUE(RIGHT($A$2:$A$2000,4)),0)=YEAR(C366)))),""))</f>
        <v/>
      </c>
      <c r="E366" s="62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4" t="inlineStr">
        <is>
          <t>04/12/2009</t>
        </is>
      </c>
      <c r="B367" s="31" t="n">
        <v>2.7407</v>
      </c>
      <c r="C367" s="69" t="n"/>
      <c r="D367" s="70">
        <f t="array" ref="D367">IF(C367="","",IFERROR(AVERAGE(_xlfn._xlws.FILTER($B$2:$B$2000,(IFERROR(VALUE(MID($A$2:$A$2000,4,2)),0)=MONTH(C367))*(IFERROR(VALUE(RIGHT($A$2:$A$2000,4)),0)=YEAR(C367)))),""))</f>
        <v/>
      </c>
      <c r="E367" s="62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4" t="inlineStr">
        <is>
          <t>11/12/2009</t>
        </is>
      </c>
      <c r="B368" s="31" t="n">
        <v>2.8278</v>
      </c>
      <c r="C368" s="69" t="n"/>
      <c r="D368" s="70">
        <f t="array" ref="D368">IF(C368="","",IFERROR(AVERAGE(_xlfn._xlws.FILTER($B$2:$B$2000,(IFERROR(VALUE(MID($A$2:$A$2000,4,2)),0)=MONTH(C368))*(IFERROR(VALUE(RIGHT($A$2:$A$2000,4)),0)=YEAR(C368)))),""))</f>
        <v/>
      </c>
      <c r="E368" s="62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4" t="inlineStr">
        <is>
          <t>18/12/2009</t>
        </is>
      </c>
      <c r="B369" s="31" t="n">
        <v>3.0025</v>
      </c>
      <c r="C369" s="69" t="n"/>
      <c r="D369" s="70">
        <f t="array" ref="D369">IF(C369="","",IFERROR(AVERAGE(_xlfn._xlws.FILTER($B$2:$B$2000,(IFERROR(VALUE(MID($A$2:$A$2000,4,2)),0)=MONTH(C369))*(IFERROR(VALUE(RIGHT($A$2:$A$2000,4)),0)=YEAR(C369)))),""))</f>
        <v/>
      </c>
      <c r="E369" s="62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4" t="inlineStr">
        <is>
          <t>23/12/2009</t>
        </is>
      </c>
      <c r="B370" s="31" t="n">
        <v>3.1968</v>
      </c>
      <c r="C370" s="69" t="n"/>
      <c r="D370" s="70">
        <f t="array" ref="D370">IF(C370="","",IFERROR(AVERAGE(_xlfn._xlws.FILTER($B$2:$B$2000,(IFERROR(VALUE(MID($A$2:$A$2000,4,2)),0)=MONTH(C370))*(IFERROR(VALUE(RIGHT($A$2:$A$2000,4)),0)=YEAR(C370)))),""))</f>
        <v/>
      </c>
      <c r="E370" s="62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4" t="inlineStr">
        <is>
          <t>30/12/2009</t>
        </is>
      </c>
      <c r="B371" s="31" t="n">
        <v>3.2299</v>
      </c>
      <c r="C371" s="69" t="n"/>
      <c r="D371" s="70">
        <f t="array" ref="D371">IF(C371="","",IFERROR(AVERAGE(_xlfn._xlws.FILTER($B$2:$B$2000,(IFERROR(VALUE(MID($A$2:$A$2000,4,2)),0)=MONTH(C371))*(IFERROR(VALUE(RIGHT($A$2:$A$2000,4)),0)=YEAR(C371)))),""))</f>
        <v/>
      </c>
      <c r="E371" s="62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4" t="inlineStr">
        <is>
          <t>08/01/2010</t>
        </is>
      </c>
      <c r="B372" s="31" t="n">
        <v>3.4002</v>
      </c>
      <c r="C372" s="69" t="n"/>
      <c r="D372" s="70">
        <f t="array" ref="D372">IF(C372="","",IFERROR(AVERAGE(_xlfn._xlws.FILTER($B$2:$B$2000,(IFERROR(VALUE(MID($A$2:$A$2000,4,2)),0)=MONTH(C372))*(IFERROR(VALUE(RIGHT($A$2:$A$2000,4)),0)=YEAR(C372)))),""))</f>
        <v/>
      </c>
      <c r="E372" s="62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4" t="inlineStr">
        <is>
          <t>15/01/2010</t>
        </is>
      </c>
      <c r="B373" s="31" t="n">
        <v>3.464</v>
      </c>
      <c r="C373" s="69" t="n"/>
      <c r="D373" s="70">
        <f t="array" ref="D373">IF(C373="","",IFERROR(AVERAGE(_xlfn._xlws.FILTER($B$2:$B$2000,(IFERROR(VALUE(MID($A$2:$A$2000,4,2)),0)=MONTH(C373))*(IFERROR(VALUE(RIGHT($A$2:$A$2000,4)),0)=YEAR(C373)))),""))</f>
        <v/>
      </c>
      <c r="E373" s="62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4" t="inlineStr">
        <is>
          <t>22/01/2010</t>
        </is>
      </c>
      <c r="B374" s="31" t="n">
        <v>3.5115</v>
      </c>
      <c r="C374" s="69" t="n"/>
      <c r="D374" s="70">
        <f t="array" ref="D374">IF(C374="","",IFERROR(AVERAGE(_xlfn._xlws.FILTER($B$2:$B$2000,(IFERROR(VALUE(MID($A$2:$A$2000,4,2)),0)=MONTH(C374))*(IFERROR(VALUE(RIGHT($A$2:$A$2000,4)),0)=YEAR(C374)))),""))</f>
        <v/>
      </c>
      <c r="E374" s="62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4" t="inlineStr">
        <is>
          <t>29/01/2010</t>
        </is>
      </c>
      <c r="B375" s="31" t="n">
        <v>3.4763</v>
      </c>
      <c r="C375" s="69" t="n"/>
      <c r="D375" s="70">
        <f t="array" ref="D375">IF(C375="","",IFERROR(AVERAGE(_xlfn._xlws.FILTER($B$2:$B$2000,(IFERROR(VALUE(MID($A$2:$A$2000,4,2)),0)=MONTH(C375))*(IFERROR(VALUE(RIGHT($A$2:$A$2000,4)),0)=YEAR(C375)))),""))</f>
        <v/>
      </c>
      <c r="E375" s="62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4" t="inlineStr">
        <is>
          <t>05/02/2010</t>
        </is>
      </c>
      <c r="B376" s="31" t="n">
        <v>3.343</v>
      </c>
      <c r="C376" s="69" t="n"/>
      <c r="D376" s="70">
        <f t="array" ref="D376">IF(C376="","",IFERROR(AVERAGE(_xlfn._xlws.FILTER($B$2:$B$2000,(IFERROR(VALUE(MID($A$2:$A$2000,4,2)),0)=MONTH(C376))*(IFERROR(VALUE(RIGHT($A$2:$A$2000,4)),0)=YEAR(C376)))),""))</f>
        <v/>
      </c>
      <c r="E376" s="62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4" t="inlineStr">
        <is>
          <t>12/02/2010</t>
        </is>
      </c>
      <c r="B377" s="31" t="n">
        <v>3.2342</v>
      </c>
      <c r="C377" s="69" t="n"/>
      <c r="D377" s="70">
        <f t="array" ref="D377">IF(C377="","",IFERROR(AVERAGE(_xlfn._xlws.FILTER($B$2:$B$2000,(IFERROR(VALUE(MID($A$2:$A$2000,4,2)),0)=MONTH(C377))*(IFERROR(VALUE(RIGHT($A$2:$A$2000,4)),0)=YEAR(C377)))),""))</f>
        <v/>
      </c>
      <c r="E377" s="62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4" t="inlineStr">
        <is>
          <t>19/02/2010</t>
        </is>
      </c>
      <c r="B378" s="31" t="n">
        <v>3.14</v>
      </c>
      <c r="C378" s="69" t="n"/>
      <c r="D378" s="70">
        <f t="array" ref="D378">IF(C378="","",IFERROR(AVERAGE(_xlfn._xlws.FILTER($B$2:$B$2000,(IFERROR(VALUE(MID($A$2:$A$2000,4,2)),0)=MONTH(C378))*(IFERROR(VALUE(RIGHT($A$2:$A$2000,4)),0)=YEAR(C378)))),""))</f>
        <v/>
      </c>
      <c r="E378" s="62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4" t="inlineStr">
        <is>
          <t>26/02/2010</t>
        </is>
      </c>
      <c r="B379" s="31" t="n">
        <v>2.8683</v>
      </c>
      <c r="C379" s="69" t="n"/>
      <c r="D379" s="70">
        <f t="array" ref="D379">IF(C379="","",IFERROR(AVERAGE(_xlfn._xlws.FILTER($B$2:$B$2000,(IFERROR(VALUE(MID($A$2:$A$2000,4,2)),0)=MONTH(C379))*(IFERROR(VALUE(RIGHT($A$2:$A$2000,4)),0)=YEAR(C379)))),""))</f>
        <v/>
      </c>
      <c r="E379" s="62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4" t="inlineStr">
        <is>
          <t>05/03/2010</t>
        </is>
      </c>
      <c r="B380" s="31" t="n">
        <v>2.6667</v>
      </c>
      <c r="C380" s="69" t="n"/>
      <c r="D380" s="70">
        <f t="array" ref="D380">IF(C380="","",IFERROR(AVERAGE(_xlfn._xlws.FILTER($B$2:$B$2000,(IFERROR(VALUE(MID($A$2:$A$2000,4,2)),0)=MONTH(C380))*(IFERROR(VALUE(RIGHT($A$2:$A$2000,4)),0)=YEAR(C380)))),""))</f>
        <v/>
      </c>
      <c r="E380" s="62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4" t="inlineStr">
        <is>
          <t>12/03/2010</t>
        </is>
      </c>
      <c r="B381" s="31" t="n">
        <v>2.359</v>
      </c>
      <c r="C381" s="69" t="n"/>
      <c r="D381" s="70">
        <f t="array" ref="D381">IF(C381="","",IFERROR(AVERAGE(_xlfn._xlws.FILTER($B$2:$B$2000,(IFERROR(VALUE(MID($A$2:$A$2000,4,2)),0)=MONTH(C381))*(IFERROR(VALUE(RIGHT($A$2:$A$2000,4)),0)=YEAR(C381)))),""))</f>
        <v/>
      </c>
      <c r="E381" s="62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4" t="inlineStr">
        <is>
          <t>19/03/2010</t>
        </is>
      </c>
      <c r="B382" s="31" t="n">
        <v>2.3213</v>
      </c>
      <c r="C382" s="69" t="n"/>
      <c r="D382" s="70">
        <f t="array" ref="D382">IF(C382="","",IFERROR(AVERAGE(_xlfn._xlws.FILTER($B$2:$B$2000,(IFERROR(VALUE(MID($A$2:$A$2000,4,2)),0)=MONTH(C382))*(IFERROR(VALUE(RIGHT($A$2:$A$2000,4)),0)=YEAR(C382)))),""))</f>
        <v/>
      </c>
      <c r="E382" s="62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4" t="inlineStr">
        <is>
          <t>26/03/2010</t>
        </is>
      </c>
      <c r="B383" s="31" t="n">
        <v>2.1596</v>
      </c>
      <c r="C383" s="69" t="n"/>
      <c r="D383" s="70">
        <f t="array" ref="D383">IF(C383="","",IFERROR(AVERAGE(_xlfn._xlws.FILTER($B$2:$B$2000,(IFERROR(VALUE(MID($A$2:$A$2000,4,2)),0)=MONTH(C383))*(IFERROR(VALUE(RIGHT($A$2:$A$2000,4)),0)=YEAR(C383)))),""))</f>
        <v/>
      </c>
      <c r="E383" s="62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4" t="inlineStr">
        <is>
          <t>01/04/2010</t>
        </is>
      </c>
      <c r="B384" s="31" t="n">
        <v>2.1788</v>
      </c>
      <c r="C384" s="69" t="n"/>
      <c r="D384" s="70">
        <f t="array" ref="D384">IF(C384="","",IFERROR(AVERAGE(_xlfn._xlws.FILTER($B$2:$B$2000,(IFERROR(VALUE(MID($A$2:$A$2000,4,2)),0)=MONTH(C384))*(IFERROR(VALUE(RIGHT($A$2:$A$2000,4)),0)=YEAR(C384)))),""))</f>
        <v/>
      </c>
      <c r="E384" s="62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4" t="inlineStr">
        <is>
          <t>09/04/2010</t>
        </is>
      </c>
      <c r="B385" s="31" t="n">
        <v>2.5866</v>
      </c>
      <c r="C385" s="69" t="n"/>
      <c r="D385" s="70">
        <f t="array" ref="D385">IF(C385="","",IFERROR(AVERAGE(_xlfn._xlws.FILTER($B$2:$B$2000,(IFERROR(VALUE(MID($A$2:$A$2000,4,2)),0)=MONTH(C385))*(IFERROR(VALUE(RIGHT($A$2:$A$2000,4)),0)=YEAR(C385)))),""))</f>
        <v/>
      </c>
      <c r="E385" s="62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4" t="inlineStr">
        <is>
          <t>16/04/2010</t>
        </is>
      </c>
      <c r="B386" s="31" t="n">
        <v>2.3557</v>
      </c>
      <c r="C386" s="69" t="n"/>
      <c r="D386" s="70">
        <f t="array" ref="D386">IF(C386="","",IFERROR(AVERAGE(_xlfn._xlws.FILTER($B$2:$B$2000,(IFERROR(VALUE(MID($A$2:$A$2000,4,2)),0)=MONTH(C386))*(IFERROR(VALUE(RIGHT($A$2:$A$2000,4)),0)=YEAR(C386)))),""))</f>
        <v/>
      </c>
      <c r="E386" s="62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4" t="inlineStr">
        <is>
          <t>23/04/2010</t>
        </is>
      </c>
      <c r="B387" s="31" t="n">
        <v>2.1578</v>
      </c>
      <c r="C387" s="69" t="n"/>
      <c r="D387" s="70">
        <f t="array" ref="D387">IF(C387="","",IFERROR(AVERAGE(_xlfn._xlws.FILTER($B$2:$B$2000,(IFERROR(VALUE(MID($A$2:$A$2000,4,2)),0)=MONTH(C387))*(IFERROR(VALUE(RIGHT($A$2:$A$2000,4)),0)=YEAR(C387)))),""))</f>
        <v/>
      </c>
      <c r="E387" s="62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4" t="inlineStr">
        <is>
          <t>30/04/2010</t>
        </is>
      </c>
      <c r="B388" s="31" t="n">
        <v>2.0961</v>
      </c>
      <c r="C388" s="69" t="n"/>
      <c r="D388" s="70">
        <f t="array" ref="D388">IF(C388="","",IFERROR(AVERAGE(_xlfn._xlws.FILTER($B$2:$B$2000,(IFERROR(VALUE(MID($A$2:$A$2000,4,2)),0)=MONTH(C388))*(IFERROR(VALUE(RIGHT($A$2:$A$2000,4)),0)=YEAR(C388)))),""))</f>
        <v/>
      </c>
      <c r="E388" s="62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4" t="inlineStr">
        <is>
          <t>07/05/2010</t>
        </is>
      </c>
      <c r="B389" s="31" t="n">
        <v>2.0427</v>
      </c>
      <c r="C389" s="69" t="n"/>
      <c r="D389" s="70">
        <f t="array" ref="D389">IF(C389="","",IFERROR(AVERAGE(_xlfn._xlws.FILTER($B$2:$B$2000,(IFERROR(VALUE(MID($A$2:$A$2000,4,2)),0)=MONTH(C389))*(IFERROR(VALUE(RIGHT($A$2:$A$2000,4)),0)=YEAR(C389)))),""))</f>
        <v/>
      </c>
      <c r="E389" s="62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4" t="inlineStr">
        <is>
          <t>14/05/2010</t>
        </is>
      </c>
      <c r="B390" s="31" t="n">
        <v>2.0315</v>
      </c>
      <c r="C390" s="69" t="n"/>
      <c r="D390" s="70">
        <f t="array" ref="D390">IF(C390="","",IFERROR(AVERAGE(_xlfn._xlws.FILTER($B$2:$B$2000,(IFERROR(VALUE(MID($A$2:$A$2000,4,2)),0)=MONTH(C390))*(IFERROR(VALUE(RIGHT($A$2:$A$2000,4)),0)=YEAR(C390)))),""))</f>
        <v/>
      </c>
      <c r="E390" s="62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4" t="inlineStr">
        <is>
          <t>21/05/2010</t>
        </is>
      </c>
      <c r="B391" s="31" t="n">
        <v>2.0167</v>
      </c>
      <c r="C391" s="69" t="n"/>
      <c r="D391" s="70">
        <f t="array" ref="D391">IF(C391="","",IFERROR(AVERAGE(_xlfn._xlws.FILTER($B$2:$B$2000,(IFERROR(VALUE(MID($A$2:$A$2000,4,2)),0)=MONTH(C391))*(IFERROR(VALUE(RIGHT($A$2:$A$2000,4)),0)=YEAR(C391)))),""))</f>
        <v/>
      </c>
      <c r="E391" s="62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4" t="inlineStr">
        <is>
          <t>28/05/2010</t>
        </is>
      </c>
      <c r="B392" s="31" t="n">
        <v>1.9839</v>
      </c>
      <c r="C392" s="69" t="n"/>
      <c r="D392" s="70">
        <f t="array" ref="D392">IF(C392="","",IFERROR(AVERAGE(_xlfn._xlws.FILTER($B$2:$B$2000,(IFERROR(VALUE(MID($A$2:$A$2000,4,2)),0)=MONTH(C392))*(IFERROR(VALUE(RIGHT($A$2:$A$2000,4)),0)=YEAR(C392)))),""))</f>
        <v/>
      </c>
      <c r="E392" s="62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4" t="inlineStr">
        <is>
          <t>04/06/2010</t>
        </is>
      </c>
      <c r="B393" s="31" t="n">
        <v>1.9564</v>
      </c>
      <c r="C393" s="69" t="n"/>
      <c r="D393" s="70">
        <f t="array" ref="D393">IF(C393="","",IFERROR(AVERAGE(_xlfn._xlws.FILTER($B$2:$B$2000,(IFERROR(VALUE(MID($A$2:$A$2000,4,2)),0)=MONTH(C393))*(IFERROR(VALUE(RIGHT($A$2:$A$2000,4)),0)=YEAR(C393)))),""))</f>
        <v/>
      </c>
      <c r="E393" s="62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4" t="inlineStr">
        <is>
          <t>11/06/2010</t>
        </is>
      </c>
      <c r="B394" s="31" t="n">
        <v>1.947</v>
      </c>
      <c r="C394" s="69" t="n"/>
      <c r="D394" s="70">
        <f t="array" ref="D394">IF(C394="","",IFERROR(AVERAGE(_xlfn._xlws.FILTER($B$2:$B$2000,(IFERROR(VALUE(MID($A$2:$A$2000,4,2)),0)=MONTH(C394))*(IFERROR(VALUE(RIGHT($A$2:$A$2000,4)),0)=YEAR(C394)))),""))</f>
        <v/>
      </c>
      <c r="E394" s="62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4" t="inlineStr">
        <is>
          <t>18/06/2010</t>
        </is>
      </c>
      <c r="B395" s="31" t="n">
        <v>2.0474</v>
      </c>
      <c r="C395" s="69" t="n"/>
      <c r="D395" s="70">
        <f t="array" ref="D395">IF(C395="","",IFERROR(AVERAGE(_xlfn._xlws.FILTER($B$2:$B$2000,(IFERROR(VALUE(MID($A$2:$A$2000,4,2)),0)=MONTH(C395))*(IFERROR(VALUE(RIGHT($A$2:$A$2000,4)),0)=YEAR(C395)))),""))</f>
        <v/>
      </c>
      <c r="E395" s="62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4" t="inlineStr">
        <is>
          <t>25/06/2010</t>
        </is>
      </c>
      <c r="B396" s="31" t="n">
        <v>2.0596</v>
      </c>
      <c r="C396" s="69" t="n"/>
      <c r="D396" s="70">
        <f t="array" ref="D396">IF(C396="","",IFERROR(AVERAGE(_xlfn._xlws.FILTER($B$2:$B$2000,(IFERROR(VALUE(MID($A$2:$A$2000,4,2)),0)=MONTH(C396))*(IFERROR(VALUE(RIGHT($A$2:$A$2000,4)),0)=YEAR(C396)))),""))</f>
        <v/>
      </c>
      <c r="E396" s="62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4" t="inlineStr">
        <is>
          <t>02/07/2010</t>
        </is>
      </c>
      <c r="B397" s="31" t="n">
        <v>2.0446</v>
      </c>
      <c r="C397" s="69" t="n"/>
      <c r="D397" s="70">
        <f t="array" ref="D397">IF(C397="","",IFERROR(AVERAGE(_xlfn._xlws.FILTER($B$2:$B$2000,(IFERROR(VALUE(MID($A$2:$A$2000,4,2)),0)=MONTH(C397))*(IFERROR(VALUE(RIGHT($A$2:$A$2000,4)),0)=YEAR(C397)))),""))</f>
        <v/>
      </c>
      <c r="E397" s="62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4" t="inlineStr">
        <is>
          <t>08/07/2010</t>
        </is>
      </c>
      <c r="B398" s="31" t="n">
        <v>2.139</v>
      </c>
      <c r="C398" s="69" t="n"/>
      <c r="D398" s="70">
        <f t="array" ref="D398">IF(C398="","",IFERROR(AVERAGE(_xlfn._xlws.FILTER($B$2:$B$2000,(IFERROR(VALUE(MID($A$2:$A$2000,4,2)),0)=MONTH(C398))*(IFERROR(VALUE(RIGHT($A$2:$A$2000,4)),0)=YEAR(C398)))),""))</f>
        <v/>
      </c>
      <c r="E398" s="62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4" t="inlineStr">
        <is>
          <t>16/07/2010</t>
        </is>
      </c>
      <c r="B399" s="31" t="n">
        <v>2.2833</v>
      </c>
      <c r="C399" s="69" t="n"/>
      <c r="D399" s="70">
        <f t="array" ref="D399">IF(C399="","",IFERROR(AVERAGE(_xlfn._xlws.FILTER($B$2:$B$2000,(IFERROR(VALUE(MID($A$2:$A$2000,4,2)),0)=MONTH(C399))*(IFERROR(VALUE(RIGHT($A$2:$A$2000,4)),0)=YEAR(C399)))),""))</f>
        <v/>
      </c>
      <c r="E399" s="62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4" t="inlineStr">
        <is>
          <t>23/07/2010</t>
        </is>
      </c>
      <c r="B400" s="31" t="n">
        <v>2.2711</v>
      </c>
      <c r="C400" s="69" t="n"/>
      <c r="D400" s="70">
        <f t="array" ref="D400">IF(C400="","",IFERROR(AVERAGE(_xlfn._xlws.FILTER($B$2:$B$2000,(IFERROR(VALUE(MID($A$2:$A$2000,4,2)),0)=MONTH(C400))*(IFERROR(VALUE(RIGHT($A$2:$A$2000,4)),0)=YEAR(C400)))),""))</f>
        <v/>
      </c>
      <c r="E400" s="62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4" t="inlineStr">
        <is>
          <t>30/07/2010</t>
        </is>
      </c>
      <c r="B401" s="31" t="n">
        <v>2.2656</v>
      </c>
      <c r="C401" s="69" t="n"/>
      <c r="D401" s="70">
        <f t="array" ref="D401">IF(C401="","",IFERROR(AVERAGE(_xlfn._xlws.FILTER($B$2:$B$2000,(IFERROR(VALUE(MID($A$2:$A$2000,4,2)),0)=MONTH(C401))*(IFERROR(VALUE(RIGHT($A$2:$A$2000,4)),0)=YEAR(C401)))),""))</f>
        <v/>
      </c>
      <c r="E401" s="62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4" t="inlineStr">
        <is>
          <t>06/08/2010</t>
        </is>
      </c>
      <c r="B402" s="31" t="n">
        <v>2.3115</v>
      </c>
      <c r="C402" s="69" t="n"/>
      <c r="D402" s="70">
        <f t="array" ref="D402">IF(C402="","",IFERROR(AVERAGE(_xlfn._xlws.FILTER($B$2:$B$2000,(IFERROR(VALUE(MID($A$2:$A$2000,4,2)),0)=MONTH(C402))*(IFERROR(VALUE(RIGHT($A$2:$A$2000,4)),0)=YEAR(C402)))),""))</f>
        <v/>
      </c>
      <c r="E402" s="62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4" t="inlineStr">
        <is>
          <t>13/08/2010</t>
        </is>
      </c>
      <c r="B403" s="31" t="n">
        <v>2.3041</v>
      </c>
      <c r="C403" s="69" t="n"/>
      <c r="D403" s="70">
        <f t="array" ref="D403">IF(C403="","",IFERROR(AVERAGE(_xlfn._xlws.FILTER($B$2:$B$2000,(IFERROR(VALUE(MID($A$2:$A$2000,4,2)),0)=MONTH(C403))*(IFERROR(VALUE(RIGHT($A$2:$A$2000,4)),0)=YEAR(C403)))),""))</f>
        <v/>
      </c>
      <c r="E403" s="62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4" t="inlineStr">
        <is>
          <t>20/08/2010</t>
        </is>
      </c>
      <c r="B404" s="31" t="n">
        <v>2.2972</v>
      </c>
      <c r="C404" s="69" t="n"/>
      <c r="D404" s="70">
        <f t="array" ref="D404">IF(C404="","",IFERROR(AVERAGE(_xlfn._xlws.FILTER($B$2:$B$2000,(IFERROR(VALUE(MID($A$2:$A$2000,4,2)),0)=MONTH(C404))*(IFERROR(VALUE(RIGHT($A$2:$A$2000,4)),0)=YEAR(C404)))),""))</f>
        <v/>
      </c>
      <c r="E404" s="62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4" t="inlineStr">
        <is>
          <t>27/08/2010</t>
        </is>
      </c>
      <c r="B405" s="31" t="n">
        <v>2.2854</v>
      </c>
      <c r="C405" s="69" t="n"/>
      <c r="D405" s="70">
        <f t="array" ref="D405">IF(C405="","",IFERROR(AVERAGE(_xlfn._xlws.FILTER($B$2:$B$2000,(IFERROR(VALUE(MID($A$2:$A$2000,4,2)),0)=MONTH(C405))*(IFERROR(VALUE(RIGHT($A$2:$A$2000,4)),0)=YEAR(C405)))),""))</f>
        <v/>
      </c>
      <c r="E405" s="62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4" t="inlineStr">
        <is>
          <t>03/09/2010</t>
        </is>
      </c>
      <c r="B406" s="31" t="n">
        <v>2.2708</v>
      </c>
      <c r="C406" s="69" t="n"/>
      <c r="D406" s="70">
        <f t="array" ref="D406">IF(C406="","",IFERROR(AVERAGE(_xlfn._xlws.FILTER($B$2:$B$2000,(IFERROR(VALUE(MID($A$2:$A$2000,4,2)),0)=MONTH(C406))*(IFERROR(VALUE(RIGHT($A$2:$A$2000,4)),0)=YEAR(C406)))),""))</f>
        <v/>
      </c>
      <c r="E406" s="62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4" t="inlineStr">
        <is>
          <t>10/09/2010</t>
        </is>
      </c>
      <c r="B407" s="31" t="n">
        <v>2.3132</v>
      </c>
      <c r="C407" s="69" t="n"/>
      <c r="D407" s="70">
        <f t="array" ref="D407">IF(C407="","",IFERROR(AVERAGE(_xlfn._xlws.FILTER($B$2:$B$2000,(IFERROR(VALUE(MID($A$2:$A$2000,4,2)),0)=MONTH(C407))*(IFERROR(VALUE(RIGHT($A$2:$A$2000,4)),0)=YEAR(C407)))),""))</f>
        <v/>
      </c>
      <c r="E407" s="62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4" t="inlineStr">
        <is>
          <t>17/09/2010</t>
        </is>
      </c>
      <c r="B408" s="31" t="n">
        <v>2.3662</v>
      </c>
      <c r="C408" s="69" t="n"/>
      <c r="D408" s="70">
        <f t="array" ref="D408">IF(C408="","",IFERROR(AVERAGE(_xlfn._xlws.FILTER($B$2:$B$2000,(IFERROR(VALUE(MID($A$2:$A$2000,4,2)),0)=MONTH(C408))*(IFERROR(VALUE(RIGHT($A$2:$A$2000,4)),0)=YEAR(C408)))),""))</f>
        <v/>
      </c>
      <c r="E408" s="62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4" t="inlineStr">
        <is>
          <t>24/09/2010</t>
        </is>
      </c>
      <c r="B409" s="31" t="n">
        <v>2.4778</v>
      </c>
      <c r="C409" s="69" t="n"/>
      <c r="D409" s="70">
        <f t="array" ref="D409">IF(C409="","",IFERROR(AVERAGE(_xlfn._xlws.FILTER($B$2:$B$2000,(IFERROR(VALUE(MID($A$2:$A$2000,4,2)),0)=MONTH(C409))*(IFERROR(VALUE(RIGHT($A$2:$A$2000,4)),0)=YEAR(C409)))),""))</f>
        <v/>
      </c>
      <c r="E409" s="62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4" t="inlineStr">
        <is>
          <t>01/10/2010</t>
        </is>
      </c>
      <c r="B410" s="31" t="n">
        <v>2.6179</v>
      </c>
      <c r="C410" s="69" t="n"/>
      <c r="D410" s="70">
        <f t="array" ref="D410">IF(C410="","",IFERROR(AVERAGE(_xlfn._xlws.FILTER($B$2:$B$2000,(IFERROR(VALUE(MID($A$2:$A$2000,4,2)),0)=MONTH(C410))*(IFERROR(VALUE(RIGHT($A$2:$A$2000,4)),0)=YEAR(C410)))),""))</f>
        <v/>
      </c>
      <c r="E410" s="62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4" t="inlineStr">
        <is>
          <t>08/10/2010</t>
        </is>
      </c>
      <c r="B411" s="31" t="n">
        <v>2.6306</v>
      </c>
      <c r="C411" s="69" t="n"/>
      <c r="D411" s="70">
        <f t="array" ref="D411">IF(C411="","",IFERROR(AVERAGE(_xlfn._xlws.FILTER($B$2:$B$2000,(IFERROR(VALUE(MID($A$2:$A$2000,4,2)),0)=MONTH(C411))*(IFERROR(VALUE(RIGHT($A$2:$A$2000,4)),0)=YEAR(C411)))),""))</f>
        <v/>
      </c>
      <c r="E411" s="62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4" t="inlineStr">
        <is>
          <t>15/10/2010</t>
        </is>
      </c>
      <c r="B412" s="31" t="n">
        <v>2.6316</v>
      </c>
      <c r="C412" s="69" t="n"/>
      <c r="D412" s="70">
        <f t="array" ref="D412">IF(C412="","",IFERROR(AVERAGE(_xlfn._xlws.FILTER($B$2:$B$2000,(IFERROR(VALUE(MID($A$2:$A$2000,4,2)),0)=MONTH(C412))*(IFERROR(VALUE(RIGHT($A$2:$A$2000,4)),0)=YEAR(C412)))),""))</f>
        <v/>
      </c>
      <c r="E412" s="62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4" t="inlineStr">
        <is>
          <t>22/10/2010</t>
        </is>
      </c>
      <c r="B413" s="31" t="n">
        <v>2.6257</v>
      </c>
      <c r="C413" s="69" t="n"/>
      <c r="D413" s="70">
        <f t="array" ref="D413">IF(C413="","",IFERROR(AVERAGE(_xlfn._xlws.FILTER($B$2:$B$2000,(IFERROR(VALUE(MID($A$2:$A$2000,4,2)),0)=MONTH(C413))*(IFERROR(VALUE(RIGHT($A$2:$A$2000,4)),0)=YEAR(C413)))),""))</f>
        <v/>
      </c>
      <c r="E413" s="62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4" t="inlineStr">
        <is>
          <t>29/10/2010</t>
        </is>
      </c>
      <c r="B414" s="31" t="n">
        <v>2.637</v>
      </c>
      <c r="C414" s="69" t="n"/>
      <c r="D414" s="70">
        <f t="array" ref="D414">IF(C414="","",IFERROR(AVERAGE(_xlfn._xlws.FILTER($B$2:$B$2000,(IFERROR(VALUE(MID($A$2:$A$2000,4,2)),0)=MONTH(C414))*(IFERROR(VALUE(RIGHT($A$2:$A$2000,4)),0)=YEAR(C414)))),""))</f>
        <v/>
      </c>
      <c r="E414" s="62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4" t="inlineStr">
        <is>
          <t>05/11/2010</t>
        </is>
      </c>
      <c r="B415" s="31" t="n">
        <v>2.6062</v>
      </c>
      <c r="C415" s="69" t="n"/>
      <c r="D415" s="70">
        <f t="array" ref="D415">IF(C415="","",IFERROR(AVERAGE(_xlfn._xlws.FILTER($B$2:$B$2000,(IFERROR(VALUE(MID($A$2:$A$2000,4,2)),0)=MONTH(C415))*(IFERROR(VALUE(RIGHT($A$2:$A$2000,4)),0)=YEAR(C415)))),""))</f>
        <v/>
      </c>
      <c r="E415" s="62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4" t="inlineStr">
        <is>
          <t>12/11/2010</t>
        </is>
      </c>
      <c r="B416" s="31" t="n">
        <v>2.6343</v>
      </c>
      <c r="C416" s="69" t="n"/>
      <c r="D416" s="70">
        <f t="array" ref="D416">IF(C416="","",IFERROR(AVERAGE(_xlfn._xlws.FILTER($B$2:$B$2000,(IFERROR(VALUE(MID($A$2:$A$2000,4,2)),0)=MONTH(C416))*(IFERROR(VALUE(RIGHT($A$2:$A$2000,4)),0)=YEAR(C416)))),""))</f>
        <v/>
      </c>
      <c r="E416" s="62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4" t="inlineStr">
        <is>
          <t>19/11/2010</t>
        </is>
      </c>
      <c r="B417" s="31" t="n">
        <v>2.6526</v>
      </c>
      <c r="C417" s="69" t="n"/>
      <c r="D417" s="70">
        <f t="array" ref="D417">IF(C417="","",IFERROR(AVERAGE(_xlfn._xlws.FILTER($B$2:$B$2000,(IFERROR(VALUE(MID($A$2:$A$2000,4,2)),0)=MONTH(C417))*(IFERROR(VALUE(RIGHT($A$2:$A$2000,4)),0)=YEAR(C417)))),""))</f>
        <v/>
      </c>
      <c r="E417" s="62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4" t="inlineStr">
        <is>
          <t>26/11/2010</t>
        </is>
      </c>
      <c r="B418" s="31" t="n">
        <v>2.7584</v>
      </c>
      <c r="C418" s="69" t="n"/>
      <c r="D418" s="70">
        <f t="array" ref="D418">IF(C418="","",IFERROR(AVERAGE(_xlfn._xlws.FILTER($B$2:$B$2000,(IFERROR(VALUE(MID($A$2:$A$2000,4,2)),0)=MONTH(C418))*(IFERROR(VALUE(RIGHT($A$2:$A$2000,4)),0)=YEAR(C418)))),""))</f>
        <v/>
      </c>
      <c r="E418" s="62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4" t="inlineStr">
        <is>
          <t>03/12/2010</t>
        </is>
      </c>
      <c r="B419" s="31" t="n">
        <v>2.7756</v>
      </c>
      <c r="C419" s="69" t="n"/>
      <c r="D419" s="70">
        <f t="array" ref="D419">IF(C419="","",IFERROR(AVERAGE(_xlfn._xlws.FILTER($B$2:$B$2000,(IFERROR(VALUE(MID($A$2:$A$2000,4,2)),0)=MONTH(C419))*(IFERROR(VALUE(RIGHT($A$2:$A$2000,4)),0)=YEAR(C419)))),""))</f>
        <v/>
      </c>
      <c r="E419" s="62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4" t="inlineStr">
        <is>
          <t>10/12/2010</t>
        </is>
      </c>
      <c r="B420" s="31" t="n">
        <v>2.8101</v>
      </c>
      <c r="C420" s="69" t="n"/>
      <c r="D420" s="70">
        <f t="array" ref="D420">IF(C420="","",IFERROR(AVERAGE(_xlfn._xlws.FILTER($B$2:$B$2000,(IFERROR(VALUE(MID($A$2:$A$2000,4,2)),0)=MONTH(C420))*(IFERROR(VALUE(RIGHT($A$2:$A$2000,4)),0)=YEAR(C420)))),""))</f>
        <v/>
      </c>
      <c r="E420" s="62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4" t="inlineStr">
        <is>
          <t>17/12/2010</t>
        </is>
      </c>
      <c r="B421" s="31" t="n">
        <v>2.8433</v>
      </c>
      <c r="C421" s="69" t="n"/>
      <c r="D421" s="70">
        <f t="array" ref="D421">IF(C421="","",IFERROR(AVERAGE(_xlfn._xlws.FILTER($B$2:$B$2000,(IFERROR(VALUE(MID($A$2:$A$2000,4,2)),0)=MONTH(C421))*(IFERROR(VALUE(RIGHT($A$2:$A$2000,4)),0)=YEAR(C421)))),""))</f>
        <v/>
      </c>
      <c r="E421" s="62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4" t="inlineStr">
        <is>
          <t>23/12/2010</t>
        </is>
      </c>
      <c r="B422" s="31" t="n">
        <v>2.8722</v>
      </c>
      <c r="C422" s="69" t="n"/>
      <c r="D422" s="70">
        <f t="array" ref="D422">IF(C422="","",IFERROR(AVERAGE(_xlfn._xlws.FILTER($B$2:$B$2000,(IFERROR(VALUE(MID($A$2:$A$2000,4,2)),0)=MONTH(C422))*(IFERROR(VALUE(RIGHT($A$2:$A$2000,4)),0)=YEAR(C422)))),""))</f>
        <v/>
      </c>
      <c r="E422" s="62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4" t="inlineStr">
        <is>
          <t>30/12/2010</t>
        </is>
      </c>
      <c r="B423" s="31" t="n">
        <v>2.918</v>
      </c>
      <c r="C423" s="69" t="n"/>
      <c r="D423" s="70">
        <f t="array" ref="D423">IF(C423="","",IFERROR(AVERAGE(_xlfn._xlws.FILTER($B$2:$B$2000,(IFERROR(VALUE(MID($A$2:$A$2000,4,2)),0)=MONTH(C423))*(IFERROR(VALUE(RIGHT($A$2:$A$2000,4)),0)=YEAR(C423)))),""))</f>
        <v/>
      </c>
      <c r="E423" s="62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4" t="inlineStr">
        <is>
          <t>07/01/2011</t>
        </is>
      </c>
      <c r="B424" s="31" t="n">
        <v>2.9132</v>
      </c>
      <c r="C424" s="69" t="n"/>
      <c r="D424" s="70">
        <f t="array" ref="D424">IF(C424="","",IFERROR(AVERAGE(_xlfn._xlws.FILTER($B$2:$B$2000,(IFERROR(VALUE(MID($A$2:$A$2000,4,2)),0)=MONTH(C424))*(IFERROR(VALUE(RIGHT($A$2:$A$2000,4)),0)=YEAR(C424)))),""))</f>
        <v/>
      </c>
      <c r="E424" s="62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4" t="inlineStr">
        <is>
          <t>14/01/2011</t>
        </is>
      </c>
      <c r="B425" s="31" t="n">
        <v>2.8852</v>
      </c>
      <c r="C425" s="69" t="n"/>
      <c r="D425" s="70">
        <f t="array" ref="D425">IF(C425="","",IFERROR(AVERAGE(_xlfn._xlws.FILTER($B$2:$B$2000,(IFERROR(VALUE(MID($A$2:$A$2000,4,2)),0)=MONTH(C425))*(IFERROR(VALUE(RIGHT($A$2:$A$2000,4)),0)=YEAR(C425)))),""))</f>
        <v/>
      </c>
      <c r="E425" s="62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4" t="inlineStr">
        <is>
          <t>21/01/2011</t>
        </is>
      </c>
      <c r="B426" s="31" t="n">
        <v>2.8933</v>
      </c>
      <c r="C426" s="69" t="n"/>
      <c r="D426" s="70">
        <f t="array" ref="D426">IF(C426="","",IFERROR(AVERAGE(_xlfn._xlws.FILTER($B$2:$B$2000,(IFERROR(VALUE(MID($A$2:$A$2000,4,2)),0)=MONTH(C426))*(IFERROR(VALUE(RIGHT($A$2:$A$2000,4)),0)=YEAR(C426)))),""))</f>
        <v/>
      </c>
      <c r="E426" s="62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4" t="inlineStr">
        <is>
          <t>28/01/2011</t>
        </is>
      </c>
      <c r="B427" s="31" t="n">
        <v>2.9046</v>
      </c>
      <c r="C427" s="69" t="n"/>
      <c r="D427" s="70">
        <f t="array" ref="D427">IF(C427="","",IFERROR(AVERAGE(_xlfn._xlws.FILTER($B$2:$B$2000,(IFERROR(VALUE(MID($A$2:$A$2000,4,2)),0)=MONTH(C427))*(IFERROR(VALUE(RIGHT($A$2:$A$2000,4)),0)=YEAR(C427)))),""))</f>
        <v/>
      </c>
      <c r="E427" s="62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4" t="inlineStr">
        <is>
          <t>04/02/2011</t>
        </is>
      </c>
      <c r="B428" s="31" t="n">
        <v>2.8781</v>
      </c>
      <c r="C428" s="69" t="n"/>
      <c r="D428" s="70">
        <f t="array" ref="D428">IF(C428="","",IFERROR(AVERAGE(_xlfn._xlws.FILTER($B$2:$B$2000,(IFERROR(VALUE(MID($A$2:$A$2000,4,2)),0)=MONTH(C428))*(IFERROR(VALUE(RIGHT($A$2:$A$2000,4)),0)=YEAR(C428)))),""))</f>
        <v/>
      </c>
      <c r="E428" s="62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4" t="inlineStr">
        <is>
          <t>11/02/2011</t>
        </is>
      </c>
      <c r="B429" s="31" t="n">
        <v>2.9627</v>
      </c>
      <c r="C429" s="69" t="n"/>
      <c r="D429" s="70">
        <f t="array" ref="D429">IF(C429="","",IFERROR(AVERAGE(_xlfn._xlws.FILTER($B$2:$B$2000,(IFERROR(VALUE(MID($A$2:$A$2000,4,2)),0)=MONTH(C429))*(IFERROR(VALUE(RIGHT($A$2:$A$2000,4)),0)=YEAR(C429)))),""))</f>
        <v/>
      </c>
      <c r="E429" s="62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4" t="inlineStr">
        <is>
          <t>18/02/2011</t>
        </is>
      </c>
      <c r="B430" s="31" t="n">
        <v>3.0778</v>
      </c>
      <c r="C430" s="69" t="n"/>
      <c r="D430" s="70">
        <f t="array" ref="D430">IF(C430="","",IFERROR(AVERAGE(_xlfn._xlws.FILTER($B$2:$B$2000,(IFERROR(VALUE(MID($A$2:$A$2000,4,2)),0)=MONTH(C430))*(IFERROR(VALUE(RIGHT($A$2:$A$2000,4)),0)=YEAR(C430)))),""))</f>
        <v/>
      </c>
      <c r="E430" s="62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4" t="inlineStr">
        <is>
          <t>25/02/2011</t>
        </is>
      </c>
      <c r="B431" s="31" t="n">
        <v>3.218</v>
      </c>
      <c r="C431" s="69" t="n"/>
      <c r="D431" s="70">
        <f t="array" ref="D431">IF(C431="","",IFERROR(AVERAGE(_xlfn._xlws.FILTER($B$2:$B$2000,(IFERROR(VALUE(MID($A$2:$A$2000,4,2)),0)=MONTH(C431))*(IFERROR(VALUE(RIGHT($A$2:$A$2000,4)),0)=YEAR(C431)))),""))</f>
        <v/>
      </c>
      <c r="E431" s="62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4" t="inlineStr">
        <is>
          <t>04/03/2011</t>
        </is>
      </c>
      <c r="B432" s="31" t="n">
        <v>3.446</v>
      </c>
      <c r="C432" s="69" t="n"/>
      <c r="D432" s="70">
        <f t="array" ref="D432">IF(C432="","",IFERROR(AVERAGE(_xlfn._xlws.FILTER($B$2:$B$2000,(IFERROR(VALUE(MID($A$2:$A$2000,4,2)),0)=MONTH(C432))*(IFERROR(VALUE(RIGHT($A$2:$A$2000,4)),0)=YEAR(C432)))),""))</f>
        <v/>
      </c>
      <c r="E432" s="62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4" t="inlineStr">
        <is>
          <t>11/03/2011</t>
        </is>
      </c>
      <c r="B433" s="31" t="n">
        <v>3.5357</v>
      </c>
      <c r="C433" s="69" t="n"/>
      <c r="D433" s="70">
        <f t="array" ref="D433">IF(C433="","",IFERROR(AVERAGE(_xlfn._xlws.FILTER($B$2:$B$2000,(IFERROR(VALUE(MID($A$2:$A$2000,4,2)),0)=MONTH(C433))*(IFERROR(VALUE(RIGHT($A$2:$A$2000,4)),0)=YEAR(C433)))),""))</f>
        <v/>
      </c>
      <c r="E433" s="62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4" t="inlineStr">
        <is>
          <t>18/03/2011</t>
        </is>
      </c>
      <c r="B434" s="31" t="n">
        <v>3.8414</v>
      </c>
      <c r="C434" s="69" t="n"/>
      <c r="D434" s="70">
        <f t="array" ref="D434">IF(C434="","",IFERROR(AVERAGE(_xlfn._xlws.FILTER($B$2:$B$2000,(IFERROR(VALUE(MID($A$2:$A$2000,4,2)),0)=MONTH(C434))*(IFERROR(VALUE(RIGHT($A$2:$A$2000,4)),0)=YEAR(C434)))),""))</f>
        <v/>
      </c>
      <c r="E434" s="62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4" t="inlineStr">
        <is>
          <t>25/03/2011</t>
        </is>
      </c>
      <c r="B435" s="31" t="n">
        <v>4.1961</v>
      </c>
      <c r="C435" s="69" t="n"/>
      <c r="D435" s="70">
        <f t="array" ref="D435">IF(C435="","",IFERROR(AVERAGE(_xlfn._xlws.FILTER($B$2:$B$2000,(IFERROR(VALUE(MID($A$2:$A$2000,4,2)),0)=MONTH(C435))*(IFERROR(VALUE(RIGHT($A$2:$A$2000,4)),0)=YEAR(C435)))),""))</f>
        <v/>
      </c>
      <c r="E435" s="62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4" t="inlineStr">
        <is>
          <t>01/04/2011</t>
        </is>
      </c>
      <c r="B436" s="31" t="n">
        <v>3.731</v>
      </c>
      <c r="C436" s="69" t="n"/>
      <c r="D436" s="70">
        <f t="array" ref="D436">IF(C436="","",IFERROR(AVERAGE(_xlfn._xlws.FILTER($B$2:$B$2000,(IFERROR(VALUE(MID($A$2:$A$2000,4,2)),0)=MONTH(C436))*(IFERROR(VALUE(RIGHT($A$2:$A$2000,4)),0)=YEAR(C436)))),""))</f>
        <v/>
      </c>
      <c r="E436" s="62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4" t="inlineStr">
        <is>
          <t>08/04/2011</t>
        </is>
      </c>
      <c r="B437" s="31" t="n">
        <v>3.5455</v>
      </c>
      <c r="C437" s="69" t="n"/>
      <c r="D437" s="70">
        <f t="array" ref="D437">IF(C437="","",IFERROR(AVERAGE(_xlfn._xlws.FILTER($B$2:$B$2000,(IFERROR(VALUE(MID($A$2:$A$2000,4,2)),0)=MONTH(C437))*(IFERROR(VALUE(RIGHT($A$2:$A$2000,4)),0)=YEAR(C437)))),""))</f>
        <v/>
      </c>
      <c r="E437" s="62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4" t="inlineStr">
        <is>
          <t>15/04/2011</t>
        </is>
      </c>
      <c r="B438" s="31" t="n">
        <v>3.5427</v>
      </c>
      <c r="C438" s="69" t="n"/>
      <c r="D438" s="70">
        <f t="array" ref="D438">IF(C438="","",IFERROR(AVERAGE(_xlfn._xlws.FILTER($B$2:$B$2000,(IFERROR(VALUE(MID($A$2:$A$2000,4,2)),0)=MONTH(C438))*(IFERROR(VALUE(RIGHT($A$2:$A$2000,4)),0)=YEAR(C438)))),""))</f>
        <v/>
      </c>
      <c r="E438" s="62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4" t="inlineStr">
        <is>
          <t>20/04/2011</t>
        </is>
      </c>
      <c r="B439" s="31" t="n">
        <v>3.7285</v>
      </c>
      <c r="C439" s="69" t="n"/>
      <c r="D439" s="70">
        <f t="array" ref="D439">IF(C439="","",IFERROR(AVERAGE(_xlfn._xlws.FILTER($B$2:$B$2000,(IFERROR(VALUE(MID($A$2:$A$2000,4,2)),0)=MONTH(C439))*(IFERROR(VALUE(RIGHT($A$2:$A$2000,4)),0)=YEAR(C439)))),""))</f>
        <v/>
      </c>
      <c r="E439" s="62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4" t="inlineStr">
        <is>
          <t>29/04/2011</t>
        </is>
      </c>
      <c r="B440" s="31" t="n">
        <v>3.4226</v>
      </c>
      <c r="C440" s="69" t="n"/>
      <c r="D440" s="70">
        <f t="array" ref="D440">IF(C440="","",IFERROR(AVERAGE(_xlfn._xlws.FILTER($B$2:$B$2000,(IFERROR(VALUE(MID($A$2:$A$2000,4,2)),0)=MONTH(C440))*(IFERROR(VALUE(RIGHT($A$2:$A$2000,4)),0)=YEAR(C440)))),""))</f>
        <v/>
      </c>
      <c r="E440" s="62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4" t="inlineStr">
        <is>
          <t>06/05/2011</t>
        </is>
      </c>
      <c r="B441" s="31" t="n">
        <v>2.7141</v>
      </c>
      <c r="C441" s="69" t="n"/>
      <c r="D441" s="70">
        <f t="array" ref="D441">IF(C441="","",IFERROR(AVERAGE(_xlfn._xlws.FILTER($B$2:$B$2000,(IFERROR(VALUE(MID($A$2:$A$2000,4,2)),0)=MONTH(C441))*(IFERROR(VALUE(RIGHT($A$2:$A$2000,4)),0)=YEAR(C441)))),""))</f>
        <v/>
      </c>
      <c r="E441" s="62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4" t="inlineStr">
        <is>
          <t>13/05/2011</t>
        </is>
      </c>
      <c r="B442" s="31" t="n">
        <v>2.4667</v>
      </c>
      <c r="C442" s="69" t="n"/>
      <c r="D442" s="70">
        <f t="array" ref="D442">IF(C442="","",IFERROR(AVERAGE(_xlfn._xlws.FILTER($B$2:$B$2000,(IFERROR(VALUE(MID($A$2:$A$2000,4,2)),0)=MONTH(C442))*(IFERROR(VALUE(RIGHT($A$2:$A$2000,4)),0)=YEAR(C442)))),""))</f>
        <v/>
      </c>
      <c r="E442" s="62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4" t="inlineStr">
        <is>
          <t>20/05/2011</t>
        </is>
      </c>
      <c r="B443" s="31" t="n">
        <v>2.5113</v>
      </c>
      <c r="C443" s="69" t="n"/>
      <c r="D443" s="70">
        <f t="array" ref="D443">IF(C443="","",IFERROR(AVERAGE(_xlfn._xlws.FILTER($B$2:$B$2000,(IFERROR(VALUE(MID($A$2:$A$2000,4,2)),0)=MONTH(C443))*(IFERROR(VALUE(RIGHT($A$2:$A$2000,4)),0)=YEAR(C443)))),""))</f>
        <v/>
      </c>
      <c r="E443" s="62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4" t="inlineStr">
        <is>
          <t>27/05/2011</t>
        </is>
      </c>
      <c r="B444" s="31" t="n">
        <v>2.5923</v>
      </c>
      <c r="C444" s="69" t="n"/>
      <c r="D444" s="70">
        <f t="array" ref="D444">IF(C444="","",IFERROR(AVERAGE(_xlfn._xlws.FILTER($B$2:$B$2000,(IFERROR(VALUE(MID($A$2:$A$2000,4,2)),0)=MONTH(C444))*(IFERROR(VALUE(RIGHT($A$2:$A$2000,4)),0)=YEAR(C444)))),""))</f>
        <v/>
      </c>
      <c r="E444" s="62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4" t="inlineStr">
        <is>
          <t>03/06/2011</t>
        </is>
      </c>
      <c r="B445" s="31" t="n">
        <v>2.5834</v>
      </c>
      <c r="C445" s="69" t="n"/>
      <c r="D445" s="70">
        <f t="array" ref="D445">IF(C445="","",IFERROR(AVERAGE(_xlfn._xlws.FILTER($B$2:$B$2000,(IFERROR(VALUE(MID($A$2:$A$2000,4,2)),0)=MONTH(C445))*(IFERROR(VALUE(RIGHT($A$2:$A$2000,4)),0)=YEAR(C445)))),""))</f>
        <v/>
      </c>
      <c r="E445" s="62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4" t="inlineStr">
        <is>
          <t>10/06/2011</t>
        </is>
      </c>
      <c r="B446" s="31" t="n">
        <v>2.7683</v>
      </c>
      <c r="C446" s="69" t="n"/>
      <c r="D446" s="70">
        <f t="array" ref="D446">IF(C446="","",IFERROR(AVERAGE(_xlfn._xlws.FILTER($B$2:$B$2000,(IFERROR(VALUE(MID($A$2:$A$2000,4,2)),0)=MONTH(C446))*(IFERROR(VALUE(RIGHT($A$2:$A$2000,4)),0)=YEAR(C446)))),""))</f>
        <v/>
      </c>
      <c r="E446" s="62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4" t="inlineStr">
        <is>
          <t>17/06/2011</t>
        </is>
      </c>
      <c r="B447" s="31" t="n">
        <v>2.9347</v>
      </c>
      <c r="C447" s="69" t="n"/>
      <c r="D447" s="70">
        <f t="array" ref="D447">IF(C447="","",IFERROR(AVERAGE(_xlfn._xlws.FILTER($B$2:$B$2000,(IFERROR(VALUE(MID($A$2:$A$2000,4,2)),0)=MONTH(C447))*(IFERROR(VALUE(RIGHT($A$2:$A$2000,4)),0)=YEAR(C447)))),""))</f>
        <v/>
      </c>
      <c r="E447" s="62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4" t="inlineStr">
        <is>
          <t>24/06/2011</t>
        </is>
      </c>
      <c r="B448" s="31" t="n">
        <v>2.9327</v>
      </c>
      <c r="C448" s="69" t="n"/>
      <c r="D448" s="70">
        <f t="array" ref="D448">IF(C448="","",IFERROR(AVERAGE(_xlfn._xlws.FILTER($B$2:$B$2000,(IFERROR(VALUE(MID($A$2:$A$2000,4,2)),0)=MONTH(C448))*(IFERROR(VALUE(RIGHT($A$2:$A$2000,4)),0)=YEAR(C448)))),""))</f>
        <v/>
      </c>
      <c r="E448" s="62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4" t="inlineStr">
        <is>
          <t>01/07/2011</t>
        </is>
      </c>
      <c r="B449" s="31" t="n">
        <v>2.9316</v>
      </c>
      <c r="C449" s="69" t="n"/>
      <c r="D449" s="70">
        <f t="array" ref="D449">IF(C449="","",IFERROR(AVERAGE(_xlfn._xlws.FILTER($B$2:$B$2000,(IFERROR(VALUE(MID($A$2:$A$2000,4,2)),0)=MONTH(C449))*(IFERROR(VALUE(RIGHT($A$2:$A$2000,4)),0)=YEAR(C449)))),""))</f>
        <v/>
      </c>
      <c r="E449" s="62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4" t="inlineStr">
        <is>
          <t>08/07/2011</t>
        </is>
      </c>
      <c r="B450" s="31" t="n">
        <v>2.8999</v>
      </c>
      <c r="C450" s="69" t="n"/>
      <c r="D450" s="70">
        <f t="array" ref="D450">IF(C450="","",IFERROR(AVERAGE(_xlfn._xlws.FILTER($B$2:$B$2000,(IFERROR(VALUE(MID($A$2:$A$2000,4,2)),0)=MONTH(C450))*(IFERROR(VALUE(RIGHT($A$2:$A$2000,4)),0)=YEAR(C450)))),""))</f>
        <v/>
      </c>
      <c r="E450" s="62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4" t="inlineStr">
        <is>
          <t>15/07/2011</t>
        </is>
      </c>
      <c r="B451" s="31" t="n">
        <v>2.8961</v>
      </c>
      <c r="C451" s="69" t="n"/>
      <c r="D451" s="70">
        <f t="array" ref="D451">IF(C451="","",IFERROR(AVERAGE(_xlfn._xlws.FILTER($B$2:$B$2000,(IFERROR(VALUE(MID($A$2:$A$2000,4,2)),0)=MONTH(C451))*(IFERROR(VALUE(RIGHT($A$2:$A$2000,4)),0)=YEAR(C451)))),""))</f>
        <v/>
      </c>
      <c r="E451" s="62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4" t="inlineStr">
        <is>
          <t>22/07/2011</t>
        </is>
      </c>
      <c r="B452" s="31" t="n">
        <v>2.9065</v>
      </c>
      <c r="C452" s="69" t="n"/>
      <c r="D452" s="70">
        <f t="array" ref="D452">IF(C452="","",IFERROR(AVERAGE(_xlfn._xlws.FILTER($B$2:$B$2000,(IFERROR(VALUE(MID($A$2:$A$2000,4,2)),0)=MONTH(C452))*(IFERROR(VALUE(RIGHT($A$2:$A$2000,4)),0)=YEAR(C452)))),""))</f>
        <v/>
      </c>
      <c r="E452" s="62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4" t="inlineStr">
        <is>
          <t>29/07/2011</t>
        </is>
      </c>
      <c r="B453" s="31" t="n">
        <v>2.9073</v>
      </c>
      <c r="C453" s="69" t="n"/>
      <c r="D453" s="70">
        <f t="array" ref="D453">IF(C453="","",IFERROR(AVERAGE(_xlfn._xlws.FILTER($B$2:$B$2000,(IFERROR(VALUE(MID($A$2:$A$2000,4,2)),0)=MONTH(C453))*(IFERROR(VALUE(RIGHT($A$2:$A$2000,4)),0)=YEAR(C453)))),""))</f>
        <v/>
      </c>
      <c r="E453" s="62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4" t="inlineStr">
        <is>
          <t>05/08/2011</t>
        </is>
      </c>
      <c r="B454" s="31" t="n">
        <v>2.8923</v>
      </c>
      <c r="C454" s="69" t="n"/>
      <c r="D454" s="70">
        <f t="array" ref="D454">IF(C454="","",IFERROR(AVERAGE(_xlfn._xlws.FILTER($B$2:$B$2000,(IFERROR(VALUE(MID($A$2:$A$2000,4,2)),0)=MONTH(C454))*(IFERROR(VALUE(RIGHT($A$2:$A$2000,4)),0)=YEAR(C454)))),""))</f>
        <v/>
      </c>
      <c r="E454" s="62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4" t="inlineStr">
        <is>
          <t>12/08/2011</t>
        </is>
      </c>
      <c r="B455" s="31" t="n">
        <v>2.934</v>
      </c>
      <c r="C455" s="69" t="n"/>
      <c r="D455" s="70">
        <f t="array" ref="D455">IF(C455="","",IFERROR(AVERAGE(_xlfn._xlws.FILTER($B$2:$B$2000,(IFERROR(VALUE(MID($A$2:$A$2000,4,2)),0)=MONTH(C455))*(IFERROR(VALUE(RIGHT($A$2:$A$2000,4)),0)=YEAR(C455)))),""))</f>
        <v/>
      </c>
      <c r="E455" s="62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4" t="inlineStr">
        <is>
          <t>19/08/2011</t>
        </is>
      </c>
      <c r="B456" s="31" t="n">
        <v>3.0796</v>
      </c>
      <c r="C456" s="69" t="n"/>
      <c r="D456" s="70">
        <f t="array" ref="D456">IF(C456="","",IFERROR(AVERAGE(_xlfn._xlws.FILTER($B$2:$B$2000,(IFERROR(VALUE(MID($A$2:$A$2000,4,2)),0)=MONTH(C456))*(IFERROR(VALUE(RIGHT($A$2:$A$2000,4)),0)=YEAR(C456)))),""))</f>
        <v/>
      </c>
      <c r="E456" s="62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4" t="inlineStr">
        <is>
          <t>26/08/2011</t>
        </is>
      </c>
      <c r="B457" s="31" t="n">
        <v>3.1727</v>
      </c>
      <c r="C457" s="69" t="n"/>
      <c r="D457" s="70">
        <f t="array" ref="D457">IF(C457="","",IFERROR(AVERAGE(_xlfn._xlws.FILTER($B$2:$B$2000,(IFERROR(VALUE(MID($A$2:$A$2000,4,2)),0)=MONTH(C457))*(IFERROR(VALUE(RIGHT($A$2:$A$2000,4)),0)=YEAR(C457)))),""))</f>
        <v/>
      </c>
      <c r="E457" s="62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4" t="inlineStr">
        <is>
          <t>02/09/2011</t>
        </is>
      </c>
      <c r="B458" s="31" t="n">
        <v>3.0936</v>
      </c>
      <c r="C458" s="69" t="n"/>
      <c r="D458" s="70">
        <f t="array" ref="D458">IF(C458="","",IFERROR(AVERAGE(_xlfn._xlws.FILTER($B$2:$B$2000,(IFERROR(VALUE(MID($A$2:$A$2000,4,2)),0)=MONTH(C458))*(IFERROR(VALUE(RIGHT($A$2:$A$2000,4)),0)=YEAR(C458)))),""))</f>
        <v/>
      </c>
      <c r="E458" s="62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4" t="inlineStr">
        <is>
          <t>09/09/2011</t>
        </is>
      </c>
      <c r="B459" s="31" t="n">
        <v>3.0857</v>
      </c>
      <c r="C459" s="69" t="n"/>
      <c r="D459" s="70">
        <f t="array" ref="D459">IF(C459="","",IFERROR(AVERAGE(_xlfn._xlws.FILTER($B$2:$B$2000,(IFERROR(VALUE(MID($A$2:$A$2000,4,2)),0)=MONTH(C459))*(IFERROR(VALUE(RIGHT($A$2:$A$2000,4)),0)=YEAR(C459)))),""))</f>
        <v/>
      </c>
      <c r="E459" s="62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4" t="inlineStr">
        <is>
          <t>16/09/2011</t>
        </is>
      </c>
      <c r="B460" s="31" t="n">
        <v>3.0645</v>
      </c>
      <c r="C460" s="69" t="n"/>
      <c r="D460" s="70">
        <f t="array" ref="D460">IF(C460="","",IFERROR(AVERAGE(_xlfn._xlws.FILTER($B$2:$B$2000,(IFERROR(VALUE(MID($A$2:$A$2000,4,2)),0)=MONTH(C460))*(IFERROR(VALUE(RIGHT($A$2:$A$2000,4)),0)=YEAR(C460)))),""))</f>
        <v/>
      </c>
      <c r="E460" s="62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4" t="inlineStr">
        <is>
          <t>23/09/2011</t>
        </is>
      </c>
      <c r="B461" s="31" t="n">
        <v>3.0023</v>
      </c>
      <c r="C461" s="69" t="n"/>
      <c r="D461" s="70">
        <f t="array" ref="D461">IF(C461="","",IFERROR(AVERAGE(_xlfn._xlws.FILTER($B$2:$B$2000,(IFERROR(VALUE(MID($A$2:$A$2000,4,2)),0)=MONTH(C461))*(IFERROR(VALUE(RIGHT($A$2:$A$2000,4)),0)=YEAR(C461)))),""))</f>
        <v/>
      </c>
      <c r="E461" s="62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4" t="inlineStr">
        <is>
          <t>30/09/2011</t>
        </is>
      </c>
      <c r="B462" s="31" t="n">
        <v>2.9955</v>
      </c>
      <c r="C462" s="69" t="n"/>
      <c r="D462" s="70">
        <f t="array" ref="D462">IF(C462="","",IFERROR(AVERAGE(_xlfn._xlws.FILTER($B$2:$B$2000,(IFERROR(VALUE(MID($A$2:$A$2000,4,2)),0)=MONTH(C462))*(IFERROR(VALUE(RIGHT($A$2:$A$2000,4)),0)=YEAR(C462)))),""))</f>
        <v/>
      </c>
      <c r="E462" s="62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4" t="inlineStr">
        <is>
          <t>07/10/2011</t>
        </is>
      </c>
      <c r="B463" s="31" t="n">
        <v>3.0601</v>
      </c>
      <c r="C463" s="69" t="n"/>
      <c r="D463" s="70">
        <f t="array" ref="D463">IF(C463="","",IFERROR(AVERAGE(_xlfn._xlws.FILTER($B$2:$B$2000,(IFERROR(VALUE(MID($A$2:$A$2000,4,2)),0)=MONTH(C463))*(IFERROR(VALUE(RIGHT($A$2:$A$2000,4)),0)=YEAR(C463)))),""))</f>
        <v/>
      </c>
      <c r="E463" s="62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4" t="inlineStr">
        <is>
          <t>14/10/2011</t>
        </is>
      </c>
      <c r="B464" s="31" t="n">
        <v>3.0617</v>
      </c>
      <c r="C464" s="69" t="n"/>
      <c r="D464" s="70">
        <f t="array" ref="D464">IF(C464="","",IFERROR(AVERAGE(_xlfn._xlws.FILTER($B$2:$B$2000,(IFERROR(VALUE(MID($A$2:$A$2000,4,2)),0)=MONTH(C464))*(IFERROR(VALUE(RIGHT($A$2:$A$2000,4)),0)=YEAR(C464)))),""))</f>
        <v/>
      </c>
      <c r="E464" s="62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4" t="inlineStr">
        <is>
          <t>21/10/2011</t>
        </is>
      </c>
      <c r="B465" s="31" t="n">
        <v>3.0989</v>
      </c>
      <c r="C465" s="69" t="n"/>
      <c r="D465" s="70">
        <f t="array" ref="D465">IF(C465="","",IFERROR(AVERAGE(_xlfn._xlws.FILTER($B$2:$B$2000,(IFERROR(VALUE(MID($A$2:$A$2000,4,2)),0)=MONTH(C465))*(IFERROR(VALUE(RIGHT($A$2:$A$2000,4)),0)=YEAR(C465)))),""))</f>
        <v/>
      </c>
      <c r="E465" s="62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4" t="inlineStr">
        <is>
          <t>28/10/2011</t>
        </is>
      </c>
      <c r="B466" s="31" t="n">
        <v>3.1623</v>
      </c>
      <c r="C466" s="69" t="n"/>
      <c r="D466" s="70">
        <f t="array" ref="D466">IF(C466="","",IFERROR(AVERAGE(_xlfn._xlws.FILTER($B$2:$B$2000,(IFERROR(VALUE(MID($A$2:$A$2000,4,2)),0)=MONTH(C466))*(IFERROR(VALUE(RIGHT($A$2:$A$2000,4)),0)=YEAR(C466)))),""))</f>
        <v/>
      </c>
      <c r="E466" s="62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4" t="inlineStr">
        <is>
          <t>04/11/2011</t>
        </is>
      </c>
      <c r="B467" s="31" t="n">
        <v>3.1598</v>
      </c>
      <c r="C467" s="69" t="n"/>
      <c r="D467" s="70">
        <f t="array" ref="D467">IF(C467="","",IFERROR(AVERAGE(_xlfn._xlws.FILTER($B$2:$B$2000,(IFERROR(VALUE(MID($A$2:$A$2000,4,2)),0)=MONTH(C467))*(IFERROR(VALUE(RIGHT($A$2:$A$2000,4)),0)=YEAR(C467)))),""))</f>
        <v/>
      </c>
      <c r="E467" s="62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4" t="inlineStr">
        <is>
          <t>11/11/2011</t>
        </is>
      </c>
      <c r="B468" s="31" t="n">
        <v>3.1843</v>
      </c>
      <c r="C468" s="69" t="n"/>
      <c r="D468" s="70">
        <f t="array" ref="D468">IF(C468="","",IFERROR(AVERAGE(_xlfn._xlws.FILTER($B$2:$B$2000,(IFERROR(VALUE(MID($A$2:$A$2000,4,2)),0)=MONTH(C468))*(IFERROR(VALUE(RIGHT($A$2:$A$2000,4)),0)=YEAR(C468)))),""))</f>
        <v/>
      </c>
      <c r="E468" s="62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4" t="inlineStr">
        <is>
          <t>18/11/2011</t>
        </is>
      </c>
      <c r="B469" s="31" t="n">
        <v>3.2091</v>
      </c>
      <c r="C469" s="69" t="n"/>
      <c r="D469" s="70">
        <f t="array" ref="D469">IF(C469="","",IFERROR(AVERAGE(_xlfn._xlws.FILTER($B$2:$B$2000,(IFERROR(VALUE(MID($A$2:$A$2000,4,2)),0)=MONTH(C469))*(IFERROR(VALUE(RIGHT($A$2:$A$2000,4)),0)=YEAR(C469)))),""))</f>
        <v/>
      </c>
      <c r="E469" s="62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4" t="inlineStr">
        <is>
          <t>25/11/2011</t>
        </is>
      </c>
      <c r="B470" s="31" t="n">
        <v>3.2226</v>
      </c>
      <c r="C470" s="69" t="n"/>
      <c r="D470" s="70">
        <f t="array" ref="D470">IF(C470="","",IFERROR(AVERAGE(_xlfn._xlws.FILTER($B$2:$B$2000,(IFERROR(VALUE(MID($A$2:$A$2000,4,2)),0)=MONTH(C470))*(IFERROR(VALUE(RIGHT($A$2:$A$2000,4)),0)=YEAR(C470)))),""))</f>
        <v/>
      </c>
      <c r="E470" s="62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4" t="inlineStr">
        <is>
          <t>02/12/2011</t>
        </is>
      </c>
      <c r="B471" s="31" t="n">
        <v>3.1911</v>
      </c>
      <c r="C471" s="69" t="n"/>
      <c r="D471" s="70">
        <f t="array" ref="D471">IF(C471="","",IFERROR(AVERAGE(_xlfn._xlws.FILTER($B$2:$B$2000,(IFERROR(VALUE(MID($A$2:$A$2000,4,2)),0)=MONTH(C471))*(IFERROR(VALUE(RIGHT($A$2:$A$2000,4)),0)=YEAR(C471)))),""))</f>
        <v/>
      </c>
      <c r="E471" s="62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4" t="inlineStr">
        <is>
          <t>09/12/2011</t>
        </is>
      </c>
      <c r="B472" s="31" t="n">
        <v>3.1889</v>
      </c>
      <c r="C472" s="69" t="n"/>
      <c r="D472" s="70">
        <f t="array" ref="D472">IF(C472="","",IFERROR(AVERAGE(_xlfn._xlws.FILTER($B$2:$B$2000,(IFERROR(VALUE(MID($A$2:$A$2000,4,2)),0)=MONTH(C472))*(IFERROR(VALUE(RIGHT($A$2:$A$2000,4)),0)=YEAR(C472)))),""))</f>
        <v/>
      </c>
      <c r="E472" s="62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4" t="inlineStr">
        <is>
          <t>16/12/2011</t>
        </is>
      </c>
      <c r="B473" s="31" t="n">
        <v>3.1656</v>
      </c>
      <c r="C473" s="69" t="n"/>
      <c r="D473" s="70">
        <f t="array" ref="D473">IF(C473="","",IFERROR(AVERAGE(_xlfn._xlws.FILTER($B$2:$B$2000,(IFERROR(VALUE(MID($A$2:$A$2000,4,2)),0)=MONTH(C473))*(IFERROR(VALUE(RIGHT($A$2:$A$2000,4)),0)=YEAR(C473)))),""))</f>
        <v/>
      </c>
      <c r="E473" s="62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4" t="inlineStr">
        <is>
          <t>23/12/2011</t>
        </is>
      </c>
      <c r="B474" s="31" t="n">
        <v>3.0984</v>
      </c>
      <c r="C474" s="69" t="n"/>
      <c r="D474" s="70">
        <f t="array" ref="D474">IF(C474="","",IFERROR(AVERAGE(_xlfn._xlws.FILTER($B$2:$B$2000,(IFERROR(VALUE(MID($A$2:$A$2000,4,2)),0)=MONTH(C474))*(IFERROR(VALUE(RIGHT($A$2:$A$2000,4)),0)=YEAR(C474)))),""))</f>
        <v/>
      </c>
      <c r="E474" s="62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4" t="inlineStr">
        <is>
          <t>29/12/2011</t>
        </is>
      </c>
      <c r="B475" s="31" t="n">
        <v>2.9945</v>
      </c>
      <c r="C475" s="69" t="n"/>
      <c r="D475" s="70">
        <f t="array" ref="D475">IF(C475="","",IFERROR(AVERAGE(_xlfn._xlws.FILTER($B$2:$B$2000,(IFERROR(VALUE(MID($A$2:$A$2000,4,2)),0)=MONTH(C475))*(IFERROR(VALUE(RIGHT($A$2:$A$2000,4)),0)=YEAR(C475)))),""))</f>
        <v/>
      </c>
      <c r="E475" s="62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4" t="inlineStr">
        <is>
          <t>06/01/2012</t>
        </is>
      </c>
      <c r="B476" s="31" t="n">
        <v>2.999</v>
      </c>
      <c r="C476" s="69" t="n"/>
      <c r="D476" s="70">
        <f t="array" ref="D476">IF(C476="","",IFERROR(AVERAGE(_xlfn._xlws.FILTER($B$2:$B$2000,(IFERROR(VALUE(MID($A$2:$A$2000,4,2)),0)=MONTH(C476))*(IFERROR(VALUE(RIGHT($A$2:$A$2000,4)),0)=YEAR(C476)))),""))</f>
        <v/>
      </c>
      <c r="E476" s="62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4" t="inlineStr">
        <is>
          <t>13/01/2012</t>
        </is>
      </c>
      <c r="B477" s="31" t="n">
        <v>3.059</v>
      </c>
      <c r="C477" s="69" t="n"/>
      <c r="D477" s="70">
        <f t="array" ref="D477">IF(C477="","",IFERROR(AVERAGE(_xlfn._xlws.FILTER($B$2:$B$2000,(IFERROR(VALUE(MID($A$2:$A$2000,4,2)),0)=MONTH(C477))*(IFERROR(VALUE(RIGHT($A$2:$A$2000,4)),0)=YEAR(C477)))),""))</f>
        <v/>
      </c>
      <c r="E477" s="62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4" t="inlineStr">
        <is>
          <t>20/01/2012</t>
        </is>
      </c>
      <c r="B478" s="31" t="n">
        <v>2.8993</v>
      </c>
      <c r="C478" s="69" t="n"/>
      <c r="D478" s="70">
        <f t="array" ref="D478">IF(C478="","",IFERROR(AVERAGE(_xlfn._xlws.FILTER($B$2:$B$2000,(IFERROR(VALUE(MID($A$2:$A$2000,4,2)),0)=MONTH(C478))*(IFERROR(VALUE(RIGHT($A$2:$A$2000,4)),0)=YEAR(C478)))),""))</f>
        <v/>
      </c>
      <c r="E478" s="62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4" t="inlineStr">
        <is>
          <t>27/01/2012</t>
        </is>
      </c>
      <c r="B479" s="31" t="n">
        <v>2.7381</v>
      </c>
      <c r="C479" s="69" t="n"/>
      <c r="D479" s="70">
        <f t="array" ref="D479">IF(C479="","",IFERROR(AVERAGE(_xlfn._xlws.FILTER($B$2:$B$2000,(IFERROR(VALUE(MID($A$2:$A$2000,4,2)),0)=MONTH(C479))*(IFERROR(VALUE(RIGHT($A$2:$A$2000,4)),0)=YEAR(C479)))),""))</f>
        <v/>
      </c>
      <c r="E479" s="62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4" t="inlineStr">
        <is>
          <t>03/02/2012</t>
        </is>
      </c>
      <c r="B480" s="31" t="n">
        <v>2.6947</v>
      </c>
      <c r="C480" s="69" t="n"/>
      <c r="D480" s="70">
        <f t="array" ref="D480">IF(C480="","",IFERROR(AVERAGE(_xlfn._xlws.FILTER($B$2:$B$2000,(IFERROR(VALUE(MID($A$2:$A$2000,4,2)),0)=MONTH(C480))*(IFERROR(VALUE(RIGHT($A$2:$A$2000,4)),0)=YEAR(C480)))),""))</f>
        <v/>
      </c>
      <c r="E480" s="62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4" t="inlineStr">
        <is>
          <t>10/02/2012</t>
        </is>
      </c>
      <c r="B481" s="31" t="n">
        <v>2.708</v>
      </c>
      <c r="C481" s="69" t="n"/>
      <c r="D481" s="70">
        <f t="array" ref="D481">IF(C481="","",IFERROR(AVERAGE(_xlfn._xlws.FILTER($B$2:$B$2000,(IFERROR(VALUE(MID($A$2:$A$2000,4,2)),0)=MONTH(C481))*(IFERROR(VALUE(RIGHT($A$2:$A$2000,4)),0)=YEAR(C481)))),""))</f>
        <v/>
      </c>
      <c r="E481" s="62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4" t="inlineStr">
        <is>
          <t>17/02/2012</t>
        </is>
      </c>
      <c r="B482" s="31" t="n">
        <v>2.896</v>
      </c>
      <c r="C482" s="69" t="n"/>
      <c r="D482" s="70">
        <f t="array" ref="D482">IF(C482="","",IFERROR(AVERAGE(_xlfn._xlws.FILTER($B$2:$B$2000,(IFERROR(VALUE(MID($A$2:$A$2000,4,2)),0)=MONTH(C482))*(IFERROR(VALUE(RIGHT($A$2:$A$2000,4)),0)=YEAR(C482)))),""))</f>
        <v/>
      </c>
      <c r="E482" s="62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4" t="inlineStr">
        <is>
          <t>24/02/2012</t>
        </is>
      </c>
      <c r="B483" s="31" t="n">
        <v>2.916</v>
      </c>
      <c r="C483" s="69" t="n"/>
      <c r="D483" s="70">
        <f t="array" ref="D483">IF(C483="","",IFERROR(AVERAGE(_xlfn._xlws.FILTER($B$2:$B$2000,(IFERROR(VALUE(MID($A$2:$A$2000,4,2)),0)=MONTH(C483))*(IFERROR(VALUE(RIGHT($A$2:$A$2000,4)),0)=YEAR(C483)))),""))</f>
        <v/>
      </c>
      <c r="E483" s="62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4" t="inlineStr">
        <is>
          <t>02/03/2012</t>
        </is>
      </c>
      <c r="B484" s="31" t="n">
        <v>2.9414</v>
      </c>
      <c r="C484" s="69" t="n"/>
      <c r="D484" s="70">
        <f t="array" ref="D484">IF(C484="","",IFERROR(AVERAGE(_xlfn._xlws.FILTER($B$2:$B$2000,(IFERROR(VALUE(MID($A$2:$A$2000,4,2)),0)=MONTH(C484))*(IFERROR(VALUE(RIGHT($A$2:$A$2000,4)),0)=YEAR(C484)))),""))</f>
        <v/>
      </c>
      <c r="E484" s="62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4" t="inlineStr">
        <is>
          <t>09/03/2012</t>
        </is>
      </c>
      <c r="B485" s="31" t="n">
        <v>2.9899</v>
      </c>
      <c r="C485" s="69" t="n"/>
      <c r="D485" s="70">
        <f t="array" ref="D485">IF(C485="","",IFERROR(AVERAGE(_xlfn._xlws.FILTER($B$2:$B$2000,(IFERROR(VALUE(MID($A$2:$A$2000,4,2)),0)=MONTH(C485))*(IFERROR(VALUE(RIGHT($A$2:$A$2000,4)),0)=YEAR(C485)))),""))</f>
        <v/>
      </c>
      <c r="E485" s="62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4" t="inlineStr">
        <is>
          <t>16/03/2012</t>
        </is>
      </c>
      <c r="B486" s="31" t="n">
        <v>3.0071</v>
      </c>
      <c r="C486" s="69" t="n"/>
      <c r="D486" s="70">
        <f t="array" ref="D486">IF(C486="","",IFERROR(AVERAGE(_xlfn._xlws.FILTER($B$2:$B$2000,(IFERROR(VALUE(MID($A$2:$A$2000,4,2)),0)=MONTH(C486))*(IFERROR(VALUE(RIGHT($A$2:$A$2000,4)),0)=YEAR(C486)))),""))</f>
        <v/>
      </c>
      <c r="E486" s="62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4" t="inlineStr">
        <is>
          <t>23/03/2012</t>
        </is>
      </c>
      <c r="B487" s="31" t="n">
        <v>3.0126</v>
      </c>
      <c r="C487" s="69" t="n"/>
      <c r="D487" s="70">
        <f t="array" ref="D487">IF(C487="","",IFERROR(AVERAGE(_xlfn._xlws.FILTER($B$2:$B$2000,(IFERROR(VALUE(MID($A$2:$A$2000,4,2)),0)=MONTH(C487))*(IFERROR(VALUE(RIGHT($A$2:$A$2000,4)),0)=YEAR(C487)))),""))</f>
        <v/>
      </c>
      <c r="E487" s="62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4" t="inlineStr">
        <is>
          <t>30/03/2012</t>
        </is>
      </c>
      <c r="B488" s="31" t="n">
        <v>3.0273</v>
      </c>
      <c r="C488" s="69" t="n"/>
      <c r="D488" s="70">
        <f t="array" ref="D488">IF(C488="","",IFERROR(AVERAGE(_xlfn._xlws.FILTER($B$2:$B$2000,(IFERROR(VALUE(MID($A$2:$A$2000,4,2)),0)=MONTH(C488))*(IFERROR(VALUE(RIGHT($A$2:$A$2000,4)),0)=YEAR(C488)))),""))</f>
        <v/>
      </c>
      <c r="E488" s="62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4" t="inlineStr">
        <is>
          <t>05/04/2012</t>
        </is>
      </c>
      <c r="B489" s="31" t="n">
        <v>2.9951</v>
      </c>
      <c r="C489" s="69" t="n"/>
      <c r="D489" s="70">
        <f t="array" ref="D489">IF(C489="","",IFERROR(AVERAGE(_xlfn._xlws.FILTER($B$2:$B$2000,(IFERROR(VALUE(MID($A$2:$A$2000,4,2)),0)=MONTH(C489))*(IFERROR(VALUE(RIGHT($A$2:$A$2000,4)),0)=YEAR(C489)))),""))</f>
        <v/>
      </c>
      <c r="E489" s="62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4" t="inlineStr">
        <is>
          <t>13/04/2012</t>
        </is>
      </c>
      <c r="B490" s="31" t="n">
        <v>2.9719</v>
      </c>
      <c r="C490" s="69" t="n"/>
      <c r="D490" s="70">
        <f t="array" ref="D490">IF(C490="","",IFERROR(AVERAGE(_xlfn._xlws.FILTER($B$2:$B$2000,(IFERROR(VALUE(MID($A$2:$A$2000,4,2)),0)=MONTH(C490))*(IFERROR(VALUE(RIGHT($A$2:$A$2000,4)),0)=YEAR(C490)))),""))</f>
        <v/>
      </c>
      <c r="E490" s="62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4" t="inlineStr">
        <is>
          <t>20/04/2012</t>
        </is>
      </c>
      <c r="B491" s="31" t="n">
        <v>2.8665</v>
      </c>
      <c r="C491" s="69" t="n"/>
      <c r="D491" s="70">
        <f t="array" ref="D491">IF(C491="","",IFERROR(AVERAGE(_xlfn._xlws.FILTER($B$2:$B$2000,(IFERROR(VALUE(MID($A$2:$A$2000,4,2)),0)=MONTH(C491))*(IFERROR(VALUE(RIGHT($A$2:$A$2000,4)),0)=YEAR(C491)))),""))</f>
        <v/>
      </c>
      <c r="E491" s="62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4" t="inlineStr">
        <is>
          <t>27/04/2012</t>
        </is>
      </c>
      <c r="B492" s="31" t="n">
        <v>2.8186</v>
      </c>
      <c r="C492" s="69" t="n"/>
      <c r="D492" s="70">
        <f t="array" ref="D492">IF(C492="","",IFERROR(AVERAGE(_xlfn._xlws.FILTER($B$2:$B$2000,(IFERROR(VALUE(MID($A$2:$A$2000,4,2)),0)=MONTH(C492))*(IFERROR(VALUE(RIGHT($A$2:$A$2000,4)),0)=YEAR(C492)))),""))</f>
        <v/>
      </c>
      <c r="E492" s="62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4" t="inlineStr">
        <is>
          <t>04/05/2012</t>
        </is>
      </c>
      <c r="B493" s="31" t="n">
        <v>2.8466</v>
      </c>
      <c r="C493" s="69" t="n"/>
      <c r="D493" s="70">
        <f t="array" ref="D493">IF(C493="","",IFERROR(AVERAGE(_xlfn._xlws.FILTER($B$2:$B$2000,(IFERROR(VALUE(MID($A$2:$A$2000,4,2)),0)=MONTH(C493))*(IFERROR(VALUE(RIGHT($A$2:$A$2000,4)),0)=YEAR(C493)))),""))</f>
        <v/>
      </c>
      <c r="E493" s="62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4" t="inlineStr">
        <is>
          <t>11/05/2012</t>
        </is>
      </c>
      <c r="B494" s="31" t="n">
        <v>2.8251</v>
      </c>
      <c r="C494" s="69" t="n"/>
      <c r="D494" s="70">
        <f t="array" ref="D494">IF(C494="","",IFERROR(AVERAGE(_xlfn._xlws.FILTER($B$2:$B$2000,(IFERROR(VALUE(MID($A$2:$A$2000,4,2)),0)=MONTH(C494))*(IFERROR(VALUE(RIGHT($A$2:$A$2000,4)),0)=YEAR(C494)))),""))</f>
        <v/>
      </c>
      <c r="E494" s="62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4" t="inlineStr">
        <is>
          <t>18/05/2012</t>
        </is>
      </c>
      <c r="B495" s="31" t="n">
        <v>2.795</v>
      </c>
      <c r="C495" s="69" t="n"/>
      <c r="D495" s="70">
        <f t="array" ref="D495">IF(C495="","",IFERROR(AVERAGE(_xlfn._xlws.FILTER($B$2:$B$2000,(IFERROR(VALUE(MID($A$2:$A$2000,4,2)),0)=MONTH(C495))*(IFERROR(VALUE(RIGHT($A$2:$A$2000,4)),0)=YEAR(C495)))),""))</f>
        <v/>
      </c>
      <c r="E495" s="62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4" t="inlineStr">
        <is>
          <t>25/05/2012</t>
        </is>
      </c>
      <c r="B496" s="31" t="n">
        <v>2.7102</v>
      </c>
      <c r="C496" s="69" t="n"/>
      <c r="D496" s="70">
        <f t="array" ref="D496">IF(C496="","",IFERROR(AVERAGE(_xlfn._xlws.FILTER($B$2:$B$2000,(IFERROR(VALUE(MID($A$2:$A$2000,4,2)),0)=MONTH(C496))*(IFERROR(VALUE(RIGHT($A$2:$A$2000,4)),0)=YEAR(C496)))),""))</f>
        <v/>
      </c>
      <c r="E496" s="62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4" t="inlineStr">
        <is>
          <t>01/06/2012</t>
        </is>
      </c>
      <c r="B497" s="31" t="n">
        <v>2.6616</v>
      </c>
      <c r="C497" s="69" t="n"/>
      <c r="D497" s="70">
        <f t="array" ref="D497">IF(C497="","",IFERROR(AVERAGE(_xlfn._xlws.FILTER($B$2:$B$2000,(IFERROR(VALUE(MID($A$2:$A$2000,4,2)),0)=MONTH(C497))*(IFERROR(VALUE(RIGHT($A$2:$A$2000,4)),0)=YEAR(C497)))),""))</f>
        <v/>
      </c>
      <c r="E497" s="62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4" t="inlineStr">
        <is>
          <t>08/06/2012</t>
        </is>
      </c>
      <c r="B498" s="31" t="n">
        <v>2.6315</v>
      </c>
      <c r="C498" s="69" t="n"/>
      <c r="D498" s="70">
        <f t="array" ref="D498">IF(C498="","",IFERROR(AVERAGE(_xlfn._xlws.FILTER($B$2:$B$2000,(IFERROR(VALUE(MID($A$2:$A$2000,4,2)),0)=MONTH(C498))*(IFERROR(VALUE(RIGHT($A$2:$A$2000,4)),0)=YEAR(C498)))),""))</f>
        <v/>
      </c>
      <c r="E498" s="62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4" t="inlineStr">
        <is>
          <t>15/06/2012</t>
        </is>
      </c>
      <c r="B499" s="31" t="n">
        <v>2.6266</v>
      </c>
      <c r="C499" s="69" t="n"/>
      <c r="D499" s="70">
        <f t="array" ref="D499">IF(C499="","",IFERROR(AVERAGE(_xlfn._xlws.FILTER($B$2:$B$2000,(IFERROR(VALUE(MID($A$2:$A$2000,4,2)),0)=MONTH(C499))*(IFERROR(VALUE(RIGHT($A$2:$A$2000,4)),0)=YEAR(C499)))),""))</f>
        <v/>
      </c>
      <c r="E499" s="62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4" t="inlineStr">
        <is>
          <t>22/06/2012</t>
        </is>
      </c>
      <c r="B500" s="31" t="n">
        <v>2.6315</v>
      </c>
      <c r="C500" s="69" t="n"/>
      <c r="D500" s="70">
        <f t="array" ref="D500">IF(C500="","",IFERROR(AVERAGE(_xlfn._xlws.FILTER($B$2:$B$2000,(IFERROR(VALUE(MID($A$2:$A$2000,4,2)),0)=MONTH(C500))*(IFERROR(VALUE(RIGHT($A$2:$A$2000,4)),0)=YEAR(C500)))),""))</f>
        <v/>
      </c>
      <c r="E500" s="62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4" t="inlineStr">
        <is>
          <t>29/06/2012</t>
        </is>
      </c>
      <c r="B501" s="31" t="n">
        <v>2.6162</v>
      </c>
      <c r="C501" s="69" t="n"/>
      <c r="D501" s="70">
        <f t="array" ref="D501">IF(C501="","",IFERROR(AVERAGE(_xlfn._xlws.FILTER($B$2:$B$2000,(IFERROR(VALUE(MID($A$2:$A$2000,4,2)),0)=MONTH(C501))*(IFERROR(VALUE(RIGHT($A$2:$A$2000,4)),0)=YEAR(C501)))),""))</f>
        <v/>
      </c>
      <c r="E501" s="62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4" t="inlineStr">
        <is>
          <t>06/07/2012</t>
        </is>
      </c>
      <c r="B502" s="31" t="n">
        <v>2.5452</v>
      </c>
      <c r="C502" s="69" t="n"/>
      <c r="D502" s="70">
        <f t="array" ref="D502">IF(C502="","",IFERROR(AVERAGE(_xlfn._xlws.FILTER($B$2:$B$2000,(IFERROR(VALUE(MID($A$2:$A$2000,4,2)),0)=MONTH(C502))*(IFERROR(VALUE(RIGHT($A$2:$A$2000,4)),0)=YEAR(C502)))),""))</f>
        <v/>
      </c>
      <c r="E502" s="62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4" t="inlineStr">
        <is>
          <t>13/07/2012</t>
        </is>
      </c>
      <c r="B503" s="31" t="n">
        <v>2.5303</v>
      </c>
      <c r="C503" s="69" t="n"/>
      <c r="D503" s="70">
        <f t="array" ref="D503">IF(C503="","",IFERROR(AVERAGE(_xlfn._xlws.FILTER($B$2:$B$2000,(IFERROR(VALUE(MID($A$2:$A$2000,4,2)),0)=MONTH(C503))*(IFERROR(VALUE(RIGHT($A$2:$A$2000,4)),0)=YEAR(C503)))),""))</f>
        <v/>
      </c>
      <c r="E503" s="62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4" t="inlineStr">
        <is>
          <t>20/07/2012</t>
        </is>
      </c>
      <c r="B504" s="31" t="n">
        <v>2.5301</v>
      </c>
      <c r="C504" s="69" t="n"/>
      <c r="D504" s="70">
        <f t="array" ref="D504">IF(C504="","",IFERROR(AVERAGE(_xlfn._xlws.FILTER($B$2:$B$2000,(IFERROR(VALUE(MID($A$2:$A$2000,4,2)),0)=MONTH(C504))*(IFERROR(VALUE(RIGHT($A$2:$A$2000,4)),0)=YEAR(C504)))),""))</f>
        <v/>
      </c>
      <c r="E504" s="62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4" t="inlineStr">
        <is>
          <t>27/07/2012</t>
        </is>
      </c>
      <c r="B505" s="31" t="n">
        <v>2.5377</v>
      </c>
      <c r="C505" s="69" t="n"/>
      <c r="D505" s="70">
        <f t="array" ref="D505">IF(C505="","",IFERROR(AVERAGE(_xlfn._xlws.FILTER($B$2:$B$2000,(IFERROR(VALUE(MID($A$2:$A$2000,4,2)),0)=MONTH(C505))*(IFERROR(VALUE(RIGHT($A$2:$A$2000,4)),0)=YEAR(C505)))),""))</f>
        <v/>
      </c>
      <c r="E505" s="62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4" t="inlineStr">
        <is>
          <t>03/08/2012</t>
        </is>
      </c>
      <c r="B506" s="31" t="n">
        <v>2.4852</v>
      </c>
      <c r="C506" s="69" t="n"/>
      <c r="D506" s="70">
        <f t="array" ref="D506">IF(C506="","",IFERROR(AVERAGE(_xlfn._xlws.FILTER($B$2:$B$2000,(IFERROR(VALUE(MID($A$2:$A$2000,4,2)),0)=MONTH(C506))*(IFERROR(VALUE(RIGHT($A$2:$A$2000,4)),0)=YEAR(C506)))),""))</f>
        <v/>
      </c>
      <c r="E506" s="62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4" t="inlineStr">
        <is>
          <t>10/08/2012</t>
        </is>
      </c>
      <c r="B507" s="31" t="n">
        <v>2.4406</v>
      </c>
      <c r="C507" s="69" t="n"/>
      <c r="D507" s="70">
        <f t="array" ref="D507">IF(C507="","",IFERROR(AVERAGE(_xlfn._xlws.FILTER($B$2:$B$2000,(IFERROR(VALUE(MID($A$2:$A$2000,4,2)),0)=MONTH(C507))*(IFERROR(VALUE(RIGHT($A$2:$A$2000,4)),0)=YEAR(C507)))),""))</f>
        <v/>
      </c>
      <c r="E507" s="62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4" t="inlineStr">
        <is>
          <t>17/08/2012</t>
        </is>
      </c>
      <c r="B508" s="31" t="n">
        <v>2.4403</v>
      </c>
      <c r="C508" s="69" t="n"/>
      <c r="D508" s="70">
        <f t="array" ref="D508">IF(C508="","",IFERROR(AVERAGE(_xlfn._xlws.FILTER($B$2:$B$2000,(IFERROR(VALUE(MID($A$2:$A$2000,4,2)),0)=MONTH(C508))*(IFERROR(VALUE(RIGHT($A$2:$A$2000,4)),0)=YEAR(C508)))),""))</f>
        <v/>
      </c>
      <c r="E508" s="62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4" t="inlineStr">
        <is>
          <t>24/08/2012</t>
        </is>
      </c>
      <c r="B509" s="31" t="n">
        <v>2.4521</v>
      </c>
      <c r="C509" s="69" t="n"/>
      <c r="D509" s="70">
        <f t="array" ref="D509">IF(C509="","",IFERROR(AVERAGE(_xlfn._xlws.FILTER($B$2:$B$2000,(IFERROR(VALUE(MID($A$2:$A$2000,4,2)),0)=MONTH(C509))*(IFERROR(VALUE(RIGHT($A$2:$A$2000,4)),0)=YEAR(C509)))),""))</f>
        <v/>
      </c>
      <c r="E509" s="62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4" t="inlineStr">
        <is>
          <t>31/08/2012</t>
        </is>
      </c>
      <c r="B510" s="31" t="n">
        <v>2.5499</v>
      </c>
      <c r="C510" s="69" t="n"/>
      <c r="D510" s="70">
        <f t="array" ref="D510">IF(C510="","",IFERROR(AVERAGE(_xlfn._xlws.FILTER($B$2:$B$2000,(IFERROR(VALUE(MID($A$2:$A$2000,4,2)),0)=MONTH(C510))*(IFERROR(VALUE(RIGHT($A$2:$A$2000,4)),0)=YEAR(C510)))),""))</f>
        <v/>
      </c>
      <c r="E510" s="62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4" t="inlineStr">
        <is>
          <t>06/09/2012</t>
        </is>
      </c>
      <c r="B511" s="31" t="n">
        <v>2.5381</v>
      </c>
      <c r="C511" s="69" t="n"/>
      <c r="D511" s="70">
        <f t="array" ref="D511">IF(C511="","",IFERROR(AVERAGE(_xlfn._xlws.FILTER($B$2:$B$2000,(IFERROR(VALUE(MID($A$2:$A$2000,4,2)),0)=MONTH(C511))*(IFERROR(VALUE(RIGHT($A$2:$A$2000,4)),0)=YEAR(C511)))),""))</f>
        <v/>
      </c>
      <c r="E511" s="62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4" t="inlineStr">
        <is>
          <t>14/09/2012</t>
        </is>
      </c>
      <c r="B512" s="31" t="n">
        <v>2.5189</v>
      </c>
      <c r="C512" s="69" t="n"/>
      <c r="D512" s="70">
        <f t="array" ref="D512">IF(C512="","",IFERROR(AVERAGE(_xlfn._xlws.FILTER($B$2:$B$2000,(IFERROR(VALUE(MID($A$2:$A$2000,4,2)),0)=MONTH(C512))*(IFERROR(VALUE(RIGHT($A$2:$A$2000,4)),0)=YEAR(C512)))),""))</f>
        <v/>
      </c>
      <c r="E512" s="62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4" t="inlineStr">
        <is>
          <t>21/09/2012</t>
        </is>
      </c>
      <c r="B513" s="31" t="n">
        <v>2.4513</v>
      </c>
      <c r="C513" s="69" t="n"/>
      <c r="D513" s="70">
        <f t="array" ref="D513">IF(C513="","",IFERROR(AVERAGE(_xlfn._xlws.FILTER($B$2:$B$2000,(IFERROR(VALUE(MID($A$2:$A$2000,4,2)),0)=MONTH(C513))*(IFERROR(VALUE(RIGHT($A$2:$A$2000,4)),0)=YEAR(C513)))),""))</f>
        <v/>
      </c>
      <c r="E513" s="62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4" t="inlineStr">
        <is>
          <t>28/09/2012</t>
        </is>
      </c>
      <c r="B514" s="31" t="n">
        <v>2.4309</v>
      </c>
      <c r="C514" s="69" t="n"/>
      <c r="D514" s="70">
        <f t="array" ref="D514">IF(C514="","",IFERROR(AVERAGE(_xlfn._xlws.FILTER($B$2:$B$2000,(IFERROR(VALUE(MID($A$2:$A$2000,4,2)),0)=MONTH(C514))*(IFERROR(VALUE(RIGHT($A$2:$A$2000,4)),0)=YEAR(C514)))),""))</f>
        <v/>
      </c>
      <c r="E514" s="62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4" t="inlineStr">
        <is>
          <t>05/10/2012</t>
        </is>
      </c>
      <c r="B515" s="31" t="n">
        <v>2.396</v>
      </c>
      <c r="C515" s="69" t="n"/>
      <c r="D515" s="70">
        <f t="array" ref="D515">IF(C515="","",IFERROR(AVERAGE(_xlfn._xlws.FILTER($B$2:$B$2000,(IFERROR(VALUE(MID($A$2:$A$2000,4,2)),0)=MONTH(C515))*(IFERROR(VALUE(RIGHT($A$2:$A$2000,4)),0)=YEAR(C515)))),""))</f>
        <v/>
      </c>
      <c r="E515" s="62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4" t="inlineStr">
        <is>
          <t>11/10/2012</t>
        </is>
      </c>
      <c r="B516" s="31" t="n">
        <v>2.3715</v>
      </c>
      <c r="C516" s="69" t="n"/>
      <c r="D516" s="70">
        <f t="array" ref="D516">IF(C516="","",IFERROR(AVERAGE(_xlfn._xlws.FILTER($B$2:$B$2000,(IFERROR(VALUE(MID($A$2:$A$2000,4,2)),0)=MONTH(C516))*(IFERROR(VALUE(RIGHT($A$2:$A$2000,4)),0)=YEAR(C516)))),""))</f>
        <v/>
      </c>
      <c r="E516" s="62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4" t="inlineStr">
        <is>
          <t>19/10/2012</t>
        </is>
      </c>
      <c r="B517" s="31" t="n">
        <v>2.3539</v>
      </c>
      <c r="C517" s="69" t="n"/>
      <c r="D517" s="70">
        <f t="array" ref="D517">IF(C517="","",IFERROR(AVERAGE(_xlfn._xlws.FILTER($B$2:$B$2000,(IFERROR(VALUE(MID($A$2:$A$2000,4,2)),0)=MONTH(C517))*(IFERROR(VALUE(RIGHT($A$2:$A$2000,4)),0)=YEAR(C517)))),""))</f>
        <v/>
      </c>
      <c r="E517" s="62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4" t="inlineStr">
        <is>
          <t>26/10/2012</t>
        </is>
      </c>
      <c r="B518" s="31" t="n">
        <v>2.3455</v>
      </c>
      <c r="C518" s="69" t="n"/>
      <c r="D518" s="70">
        <f t="array" ref="D518">IF(C518="","",IFERROR(AVERAGE(_xlfn._xlws.FILTER($B$2:$B$2000,(IFERROR(VALUE(MID($A$2:$A$2000,4,2)),0)=MONTH(C518))*(IFERROR(VALUE(RIGHT($A$2:$A$2000,4)),0)=YEAR(C518)))),""))</f>
        <v/>
      </c>
      <c r="E518" s="62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4" t="inlineStr">
        <is>
          <t>01/11/2012</t>
        </is>
      </c>
      <c r="B519" s="31" t="n">
        <v>2.3813</v>
      </c>
      <c r="C519" s="69" t="n"/>
      <c r="D519" s="70">
        <f t="array" ref="D519">IF(C519="","",IFERROR(AVERAGE(_xlfn._xlws.FILTER($B$2:$B$2000,(IFERROR(VALUE(MID($A$2:$A$2000,4,2)),0)=MONTH(C519))*(IFERROR(VALUE(RIGHT($A$2:$A$2000,4)),0)=YEAR(C519)))),""))</f>
        <v/>
      </c>
      <c r="E519" s="62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4" t="inlineStr">
        <is>
          <t>09/11/2012</t>
        </is>
      </c>
      <c r="B520" s="31" t="n">
        <v>2.4901</v>
      </c>
      <c r="C520" s="69" t="n"/>
      <c r="D520" s="70">
        <f t="array" ref="D520">IF(C520="","",IFERROR(AVERAGE(_xlfn._xlws.FILTER($B$2:$B$2000,(IFERROR(VALUE(MID($A$2:$A$2000,4,2)),0)=MONTH(C520))*(IFERROR(VALUE(RIGHT($A$2:$A$2000,4)),0)=YEAR(C520)))),""))</f>
        <v/>
      </c>
      <c r="E520" s="62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4" t="inlineStr">
        <is>
          <t>16/11/2012</t>
        </is>
      </c>
      <c r="B521" s="31" t="n">
        <v>2.6029</v>
      </c>
      <c r="C521" s="69" t="n"/>
      <c r="D521" s="70">
        <f t="array" ref="D521">IF(C521="","",IFERROR(AVERAGE(_xlfn._xlws.FILTER($B$2:$B$2000,(IFERROR(VALUE(MID($A$2:$A$2000,4,2)),0)=MONTH(C521))*(IFERROR(VALUE(RIGHT($A$2:$A$2000,4)),0)=YEAR(C521)))),""))</f>
        <v/>
      </c>
      <c r="E521" s="62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4" t="inlineStr">
        <is>
          <t>23/11/2012</t>
        </is>
      </c>
      <c r="B522" s="31" t="n">
        <v>2.6125</v>
      </c>
      <c r="C522" s="69" t="n"/>
      <c r="D522" s="70">
        <f t="array" ref="D522">IF(C522="","",IFERROR(AVERAGE(_xlfn._xlws.FILTER($B$2:$B$2000,(IFERROR(VALUE(MID($A$2:$A$2000,4,2)),0)=MONTH(C522))*(IFERROR(VALUE(RIGHT($A$2:$A$2000,4)),0)=YEAR(C522)))),""))</f>
        <v/>
      </c>
      <c r="E522" s="62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4" t="inlineStr">
        <is>
          <t>30/11/2012</t>
        </is>
      </c>
      <c r="B523" s="31" t="n">
        <v>2.6448</v>
      </c>
      <c r="C523" s="69" t="n"/>
      <c r="D523" s="70">
        <f t="array" ref="D523">IF(C523="","",IFERROR(AVERAGE(_xlfn._xlws.FILTER($B$2:$B$2000,(IFERROR(VALUE(MID($A$2:$A$2000,4,2)),0)=MONTH(C523))*(IFERROR(VALUE(RIGHT($A$2:$A$2000,4)),0)=YEAR(C523)))),""))</f>
        <v/>
      </c>
      <c r="E523" s="62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4" t="inlineStr">
        <is>
          <t>07/12/2012</t>
        </is>
      </c>
      <c r="B524" s="31" t="n">
        <v>2.6515</v>
      </c>
      <c r="C524" s="69" t="n"/>
      <c r="D524" s="70">
        <f t="array" ref="D524">IF(C524="","",IFERROR(AVERAGE(_xlfn._xlws.FILTER($B$2:$B$2000,(IFERROR(VALUE(MID($A$2:$A$2000,4,2)),0)=MONTH(C524))*(IFERROR(VALUE(RIGHT($A$2:$A$2000,4)),0)=YEAR(C524)))),""))</f>
        <v/>
      </c>
      <c r="E524" s="62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4" t="inlineStr">
        <is>
          <t>14/12/2012</t>
        </is>
      </c>
      <c r="B525" s="31" t="n">
        <v>2.6274</v>
      </c>
      <c r="C525" s="69" t="n"/>
      <c r="D525" s="70">
        <f t="array" ref="D525">IF(C525="","",IFERROR(AVERAGE(_xlfn._xlws.FILTER($B$2:$B$2000,(IFERROR(VALUE(MID($A$2:$A$2000,4,2)),0)=MONTH(C525))*(IFERROR(VALUE(RIGHT($A$2:$A$2000,4)),0)=YEAR(C525)))),""))</f>
        <v/>
      </c>
      <c r="E525" s="62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4" t="inlineStr">
        <is>
          <t>21/12/2012</t>
        </is>
      </c>
      <c r="B526" s="31" t="n">
        <v>2.6232</v>
      </c>
      <c r="C526" s="69" t="n"/>
      <c r="D526" s="70">
        <f t="array" ref="D526">IF(C526="","",IFERROR(AVERAGE(_xlfn._xlws.FILTER($B$2:$B$2000,(IFERROR(VALUE(MID($A$2:$A$2000,4,2)),0)=MONTH(C526))*(IFERROR(VALUE(RIGHT($A$2:$A$2000,4)),0)=YEAR(C526)))),""))</f>
        <v/>
      </c>
      <c r="E526" s="62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4" t="inlineStr">
        <is>
          <t>28/12/2012</t>
        </is>
      </c>
      <c r="B527" s="31" t="n">
        <v>2.6357</v>
      </c>
      <c r="C527" s="69" t="n"/>
      <c r="D527" s="70">
        <f t="array" ref="D527">IF(C527="","",IFERROR(AVERAGE(_xlfn._xlws.FILTER($B$2:$B$2000,(IFERROR(VALUE(MID($A$2:$A$2000,4,2)),0)=MONTH(C527))*(IFERROR(VALUE(RIGHT($A$2:$A$2000,4)),0)=YEAR(C527)))),""))</f>
        <v/>
      </c>
      <c r="E527" s="62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4" t="inlineStr">
        <is>
          <t>04/01/2013</t>
        </is>
      </c>
      <c r="B528" s="31" t="n">
        <v>2.6576</v>
      </c>
      <c r="C528" s="69" t="n"/>
      <c r="D528" s="70">
        <f t="array" ref="D528">IF(C528="","",IFERROR(AVERAGE(_xlfn._xlws.FILTER($B$2:$B$2000,(IFERROR(VALUE(MID($A$2:$A$2000,4,2)),0)=MONTH(C528))*(IFERROR(VALUE(RIGHT($A$2:$A$2000,4)),0)=YEAR(C528)))),""))</f>
        <v/>
      </c>
      <c r="E528" s="62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4" t="inlineStr">
        <is>
          <t>11/01/2013</t>
        </is>
      </c>
      <c r="B529" s="31" t="n">
        <v>2.6502</v>
      </c>
      <c r="C529" s="69" t="n"/>
      <c r="D529" s="70">
        <f t="array" ref="D529">IF(C529="","",IFERROR(AVERAGE(_xlfn._xlws.FILTER($B$2:$B$2000,(IFERROR(VALUE(MID($A$2:$A$2000,4,2)),0)=MONTH(C529))*(IFERROR(VALUE(RIGHT($A$2:$A$2000,4)),0)=YEAR(C529)))),""))</f>
        <v/>
      </c>
      <c r="E529" s="62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4" t="inlineStr">
        <is>
          <t>18/01/2013</t>
        </is>
      </c>
      <c r="B530" s="31" t="n">
        <v>2.6407</v>
      </c>
      <c r="C530" s="69" t="n"/>
      <c r="D530" s="70">
        <f t="array" ref="D530">IF(C530="","",IFERROR(AVERAGE(_xlfn._xlws.FILTER($B$2:$B$2000,(IFERROR(VALUE(MID($A$2:$A$2000,4,2)),0)=MONTH(C530))*(IFERROR(VALUE(RIGHT($A$2:$A$2000,4)),0)=YEAR(C530)))),""))</f>
        <v/>
      </c>
      <c r="E530" s="62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4" t="inlineStr">
        <is>
          <t>25/01/2013</t>
        </is>
      </c>
      <c r="B531" s="31" t="n">
        <v>2.656</v>
      </c>
      <c r="C531" s="69" t="n"/>
      <c r="D531" s="70">
        <f t="array" ref="D531">IF(C531="","",IFERROR(AVERAGE(_xlfn._xlws.FILTER($B$2:$B$2000,(IFERROR(VALUE(MID($A$2:$A$2000,4,2)),0)=MONTH(C531))*(IFERROR(VALUE(RIGHT($A$2:$A$2000,4)),0)=YEAR(C531)))),""))</f>
        <v/>
      </c>
      <c r="E531" s="62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4" t="inlineStr">
        <is>
          <t>01/02/2013</t>
        </is>
      </c>
      <c r="B532" s="31" t="n">
        <v>2.6834</v>
      </c>
      <c r="C532" s="69" t="n"/>
      <c r="D532" s="70">
        <f t="array" ref="D532">IF(C532="","",IFERROR(AVERAGE(_xlfn._xlws.FILTER($B$2:$B$2000,(IFERROR(VALUE(MID($A$2:$A$2000,4,2)),0)=MONTH(C532))*(IFERROR(VALUE(RIGHT($A$2:$A$2000,4)),0)=YEAR(C532)))),""))</f>
        <v/>
      </c>
      <c r="E532" s="62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4" t="inlineStr">
        <is>
          <t>08/02/2013</t>
        </is>
      </c>
      <c r="B533" s="31" t="n">
        <v>2.7689</v>
      </c>
      <c r="C533" s="69" t="n"/>
      <c r="D533" s="70">
        <f t="array" ref="D533">IF(C533="","",IFERROR(AVERAGE(_xlfn._xlws.FILTER($B$2:$B$2000,(IFERROR(VALUE(MID($A$2:$A$2000,4,2)),0)=MONTH(C533))*(IFERROR(VALUE(RIGHT($A$2:$A$2000,4)),0)=YEAR(C533)))),""))</f>
        <v/>
      </c>
      <c r="E533" s="62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4" t="inlineStr">
        <is>
          <t>15/02/2013</t>
        </is>
      </c>
      <c r="B534" s="31" t="n">
        <v>2.8492</v>
      </c>
      <c r="C534" s="69" t="n"/>
      <c r="D534" s="70">
        <f t="array" ref="D534">IF(C534="","",IFERROR(AVERAGE(_xlfn._xlws.FILTER($B$2:$B$2000,(IFERROR(VALUE(MID($A$2:$A$2000,4,2)),0)=MONTH(C534))*(IFERROR(VALUE(RIGHT($A$2:$A$2000,4)),0)=YEAR(C534)))),""))</f>
        <v/>
      </c>
      <c r="E534" s="62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4" t="inlineStr">
        <is>
          <t>22/02/2013</t>
        </is>
      </c>
      <c r="B535" s="31" t="n">
        <v>2.9134</v>
      </c>
      <c r="C535" s="69" t="n"/>
      <c r="D535" s="70">
        <f t="array" ref="D535">IF(C535="","",IFERROR(AVERAGE(_xlfn._xlws.FILTER($B$2:$B$2000,(IFERROR(VALUE(MID($A$2:$A$2000,4,2)),0)=MONTH(C535))*(IFERROR(VALUE(RIGHT($A$2:$A$2000,4)),0)=YEAR(C535)))),""))</f>
        <v/>
      </c>
      <c r="E535" s="62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4" t="inlineStr">
        <is>
          <t>01/03/2013</t>
        </is>
      </c>
      <c r="B536" s="31" t="n">
        <v>2.908</v>
      </c>
      <c r="C536" s="69" t="n"/>
      <c r="D536" s="70">
        <f t="array" ref="D536">IF(C536="","",IFERROR(AVERAGE(_xlfn._xlws.FILTER($B$2:$B$2000,(IFERROR(VALUE(MID($A$2:$A$2000,4,2)),0)=MONTH(C536))*(IFERROR(VALUE(RIGHT($A$2:$A$2000,4)),0)=YEAR(C536)))),""))</f>
        <v/>
      </c>
      <c r="E536" s="62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4" t="inlineStr">
        <is>
          <t>08/03/2013</t>
        </is>
      </c>
      <c r="B537" s="31" t="n">
        <v>2.8967</v>
      </c>
      <c r="C537" s="69" t="n"/>
      <c r="D537" s="70">
        <f t="array" ref="D537">IF(C537="","",IFERROR(AVERAGE(_xlfn._xlws.FILTER($B$2:$B$2000,(IFERROR(VALUE(MID($A$2:$A$2000,4,2)),0)=MONTH(C537))*(IFERROR(VALUE(RIGHT($A$2:$A$2000,4)),0)=YEAR(C537)))),""))</f>
        <v/>
      </c>
      <c r="E537" s="62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4" t="inlineStr">
        <is>
          <t>15/03/2013</t>
        </is>
      </c>
      <c r="B538" s="31" t="n">
        <v>2.8435</v>
      </c>
      <c r="C538" s="69" t="n"/>
      <c r="D538" s="70">
        <f t="array" ref="D538">IF(C538="","",IFERROR(AVERAGE(_xlfn._xlws.FILTER($B$2:$B$2000,(IFERROR(VALUE(MID($A$2:$A$2000,4,2)),0)=MONTH(C538))*(IFERROR(VALUE(RIGHT($A$2:$A$2000,4)),0)=YEAR(C538)))),""))</f>
        <v/>
      </c>
      <c r="E538" s="62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4" t="inlineStr">
        <is>
          <t>22/03/2013</t>
        </is>
      </c>
      <c r="B539" s="31" t="n">
        <v>2.7739</v>
      </c>
      <c r="C539" s="69" t="n"/>
      <c r="D539" s="70">
        <f t="array" ref="D539">IF(C539="","",IFERROR(AVERAGE(_xlfn._xlws.FILTER($B$2:$B$2000,(IFERROR(VALUE(MID($A$2:$A$2000,4,2)),0)=MONTH(C539))*(IFERROR(VALUE(RIGHT($A$2:$A$2000,4)),0)=YEAR(C539)))),""))</f>
        <v/>
      </c>
      <c r="E539" s="62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4" t="inlineStr">
        <is>
          <t>28/03/2013</t>
        </is>
      </c>
      <c r="B540" s="31" t="n">
        <v>2.7723</v>
      </c>
      <c r="C540" s="69" t="n"/>
      <c r="D540" s="70">
        <f t="array" ref="D540">IF(C540="","",IFERROR(AVERAGE(_xlfn._xlws.FILTER($B$2:$B$2000,(IFERROR(VALUE(MID($A$2:$A$2000,4,2)),0)=MONTH(C540))*(IFERROR(VALUE(RIGHT($A$2:$A$2000,4)),0)=YEAR(C540)))),""))</f>
        <v/>
      </c>
      <c r="E540" s="62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4" t="inlineStr">
        <is>
          <t>05/04/2013</t>
        </is>
      </c>
      <c r="B541" s="31" t="n">
        <v>2.7939</v>
      </c>
      <c r="C541" s="69" t="n"/>
      <c r="D541" s="70">
        <f t="array" ref="D541">IF(C541="","",IFERROR(AVERAGE(_xlfn._xlws.FILTER($B$2:$B$2000,(IFERROR(VALUE(MID($A$2:$A$2000,4,2)),0)=MONTH(C541))*(IFERROR(VALUE(RIGHT($A$2:$A$2000,4)),0)=YEAR(C541)))),""))</f>
        <v/>
      </c>
      <c r="E541" s="62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4" t="inlineStr">
        <is>
          <t>12/04/2013</t>
        </is>
      </c>
      <c r="B542" s="31" t="n">
        <v>2.9586</v>
      </c>
      <c r="C542" s="69" t="n"/>
      <c r="D542" s="70">
        <f t="array" ref="D542">IF(C542="","",IFERROR(AVERAGE(_xlfn._xlws.FILTER($B$2:$B$2000,(IFERROR(VALUE(MID($A$2:$A$2000,4,2)),0)=MONTH(C542))*(IFERROR(VALUE(RIGHT($A$2:$A$2000,4)),0)=YEAR(C542)))),""))</f>
        <v/>
      </c>
      <c r="E542" s="62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4" t="inlineStr">
        <is>
          <t>19/04/2013</t>
        </is>
      </c>
      <c r="B543" s="31" t="n">
        <v>2.9955</v>
      </c>
      <c r="C543" s="69" t="n"/>
      <c r="D543" s="70">
        <f t="array" ref="D543">IF(C543="","",IFERROR(AVERAGE(_xlfn._xlws.FILTER($B$2:$B$2000,(IFERROR(VALUE(MID($A$2:$A$2000,4,2)),0)=MONTH(C543))*(IFERROR(VALUE(RIGHT($A$2:$A$2000,4)),0)=YEAR(C543)))),""))</f>
        <v/>
      </c>
      <c r="E543" s="62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4" t="inlineStr">
        <is>
          <t>26/04/2013</t>
        </is>
      </c>
      <c r="B544" s="31" t="n">
        <v>2.712</v>
      </c>
      <c r="C544" s="69" t="n"/>
      <c r="D544" s="70">
        <f t="array" ref="D544">IF(C544="","",IFERROR(AVERAGE(_xlfn._xlws.FILTER($B$2:$B$2000,(IFERROR(VALUE(MID($A$2:$A$2000,4,2)),0)=MONTH(C544))*(IFERROR(VALUE(RIGHT($A$2:$A$2000,4)),0)=YEAR(C544)))),""))</f>
        <v/>
      </c>
      <c r="E544" s="62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4" t="inlineStr">
        <is>
          <t>03/05/2013</t>
        </is>
      </c>
      <c r="B545" s="31" t="n">
        <v>2.5898</v>
      </c>
      <c r="C545" s="69" t="n"/>
      <c r="D545" s="70">
        <f t="array" ref="D545">IF(C545="","",IFERROR(AVERAGE(_xlfn._xlws.FILTER($B$2:$B$2000,(IFERROR(VALUE(MID($A$2:$A$2000,4,2)),0)=MONTH(C545))*(IFERROR(VALUE(RIGHT($A$2:$A$2000,4)),0)=YEAR(C545)))),""))</f>
        <v/>
      </c>
      <c r="E545" s="62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4" t="inlineStr">
        <is>
          <t>10/05/2013</t>
        </is>
      </c>
      <c r="B546" s="31" t="n">
        <v>2.6372</v>
      </c>
      <c r="C546" s="69" t="n"/>
      <c r="D546" s="70">
        <f t="array" ref="D546">IF(C546="","",IFERROR(AVERAGE(_xlfn._xlws.FILTER($B$2:$B$2000,(IFERROR(VALUE(MID($A$2:$A$2000,4,2)),0)=MONTH(C546))*(IFERROR(VALUE(RIGHT($A$2:$A$2000,4)),0)=YEAR(C546)))),""))</f>
        <v/>
      </c>
      <c r="E546" s="62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4" t="inlineStr">
        <is>
          <t>17/05/2013</t>
        </is>
      </c>
      <c r="B547" s="31" t="n">
        <v>2.6133</v>
      </c>
      <c r="C547" s="69" t="n"/>
      <c r="D547" s="70">
        <f t="array" ref="D547">IF(C547="","",IFERROR(AVERAGE(_xlfn._xlws.FILTER($B$2:$B$2000,(IFERROR(VALUE(MID($A$2:$A$2000,4,2)),0)=MONTH(C547))*(IFERROR(VALUE(RIGHT($A$2:$A$2000,4)),0)=YEAR(C547)))),""))</f>
        <v/>
      </c>
      <c r="E547" s="62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4" t="inlineStr">
        <is>
          <t>24/05/2013</t>
        </is>
      </c>
      <c r="B548" s="31" t="n">
        <v>2.5026</v>
      </c>
      <c r="C548" s="69" t="n"/>
      <c r="D548" s="70">
        <f t="array" ref="D548">IF(C548="","",IFERROR(AVERAGE(_xlfn._xlws.FILTER($B$2:$B$2000,(IFERROR(VALUE(MID($A$2:$A$2000,4,2)),0)=MONTH(C548))*(IFERROR(VALUE(RIGHT($A$2:$A$2000,4)),0)=YEAR(C548)))),""))</f>
        <v/>
      </c>
      <c r="E548" s="62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4" t="inlineStr">
        <is>
          <t>31/05/2013</t>
        </is>
      </c>
      <c r="B549" s="31" t="n">
        <v>2.5132</v>
      </c>
      <c r="C549" s="69" t="n"/>
      <c r="D549" s="70">
        <f t="array" ref="D549">IF(C549="","",IFERROR(AVERAGE(_xlfn._xlws.FILTER($B$2:$B$2000,(IFERROR(VALUE(MID($A$2:$A$2000,4,2)),0)=MONTH(C549))*(IFERROR(VALUE(RIGHT($A$2:$A$2000,4)),0)=YEAR(C549)))),""))</f>
        <v/>
      </c>
      <c r="E549" s="62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4" t="inlineStr">
        <is>
          <t>07/06/2013</t>
        </is>
      </c>
      <c r="B550" s="31" t="n">
        <v>2.5445</v>
      </c>
      <c r="C550" s="69" t="n"/>
      <c r="D550" s="70">
        <f t="array" ref="D550">IF(C550="","",IFERROR(AVERAGE(_xlfn._xlws.FILTER($B$2:$B$2000,(IFERROR(VALUE(MID($A$2:$A$2000,4,2)),0)=MONTH(C550))*(IFERROR(VALUE(RIGHT($A$2:$A$2000,4)),0)=YEAR(C550)))),""))</f>
        <v/>
      </c>
      <c r="E550" s="62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4" t="inlineStr">
        <is>
          <t>14/06/2013</t>
        </is>
      </c>
      <c r="B551" s="31" t="n">
        <v>2.6018</v>
      </c>
      <c r="C551" s="69" t="n"/>
      <c r="D551" s="70">
        <f t="array" ref="D551">IF(C551="","",IFERROR(AVERAGE(_xlfn._xlws.FILTER($B$2:$B$2000,(IFERROR(VALUE(MID($A$2:$A$2000,4,2)),0)=MONTH(C551))*(IFERROR(VALUE(RIGHT($A$2:$A$2000,4)),0)=YEAR(C551)))),""))</f>
        <v/>
      </c>
      <c r="E551" s="62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4" t="inlineStr">
        <is>
          <t>21/06/2013</t>
        </is>
      </c>
      <c r="B552" s="31" t="n">
        <v>2.621</v>
      </c>
      <c r="C552" s="69" t="n"/>
      <c r="D552" s="70">
        <f t="array" ref="D552">IF(C552="","",IFERROR(AVERAGE(_xlfn._xlws.FILTER($B$2:$B$2000,(IFERROR(VALUE(MID($A$2:$A$2000,4,2)),0)=MONTH(C552))*(IFERROR(VALUE(RIGHT($A$2:$A$2000,4)),0)=YEAR(C552)))),""))</f>
        <v/>
      </c>
      <c r="E552" s="62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4" t="inlineStr">
        <is>
          <t>28/06/2013</t>
        </is>
      </c>
      <c r="B553" s="31" t="n">
        <v>2.6564</v>
      </c>
      <c r="C553" s="69" t="n"/>
      <c r="D553" s="70">
        <f t="array" ref="D553">IF(C553="","",IFERROR(AVERAGE(_xlfn._xlws.FILTER($B$2:$B$2000,(IFERROR(VALUE(MID($A$2:$A$2000,4,2)),0)=MONTH(C553))*(IFERROR(VALUE(RIGHT($A$2:$A$2000,4)),0)=YEAR(C553)))),""))</f>
        <v/>
      </c>
      <c r="E553" s="62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4" t="inlineStr">
        <is>
          <t>05/07/2013</t>
        </is>
      </c>
      <c r="B554" s="31" t="n">
        <v>2.6269</v>
      </c>
      <c r="C554" s="69" t="n"/>
      <c r="D554" s="70">
        <f t="array" ref="D554">IF(C554="","",IFERROR(AVERAGE(_xlfn._xlws.FILTER($B$2:$B$2000,(IFERROR(VALUE(MID($A$2:$A$2000,4,2)),0)=MONTH(C554))*(IFERROR(VALUE(RIGHT($A$2:$A$2000,4)),0)=YEAR(C554)))),""))</f>
        <v/>
      </c>
      <c r="E554" s="62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4" t="inlineStr">
        <is>
          <t>12/07/2013</t>
        </is>
      </c>
      <c r="B555" s="31" t="n">
        <v>2.5853</v>
      </c>
      <c r="C555" s="69" t="n"/>
      <c r="D555" s="70">
        <f t="array" ref="D555">IF(C555="","",IFERROR(AVERAGE(_xlfn._xlws.FILTER($B$2:$B$2000,(IFERROR(VALUE(MID($A$2:$A$2000,4,2)),0)=MONTH(C555))*(IFERROR(VALUE(RIGHT($A$2:$A$2000,4)),0)=YEAR(C555)))),""))</f>
        <v/>
      </c>
      <c r="E555" s="62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4" t="inlineStr">
        <is>
          <t>19/07/2013</t>
        </is>
      </c>
      <c r="B556" s="31" t="n">
        <v>2.5007</v>
      </c>
      <c r="C556" s="69" t="n"/>
      <c r="D556" s="70">
        <f t="array" ref="D556">IF(C556="","",IFERROR(AVERAGE(_xlfn._xlws.FILTER($B$2:$B$2000,(IFERROR(VALUE(MID($A$2:$A$2000,4,2)),0)=MONTH(C556))*(IFERROR(VALUE(RIGHT($A$2:$A$2000,4)),0)=YEAR(C556)))),""))</f>
        <v/>
      </c>
      <c r="E556" s="62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4" t="inlineStr">
        <is>
          <t>26/07/2013</t>
        </is>
      </c>
      <c r="B557" s="31" t="n">
        <v>2.4677</v>
      </c>
      <c r="C557" s="69" t="n"/>
      <c r="D557" s="70">
        <f t="array" ref="D557">IF(C557="","",IFERROR(AVERAGE(_xlfn._xlws.FILTER($B$2:$B$2000,(IFERROR(VALUE(MID($A$2:$A$2000,4,2)),0)=MONTH(C557))*(IFERROR(VALUE(RIGHT($A$2:$A$2000,4)),0)=YEAR(C557)))),""))</f>
        <v/>
      </c>
      <c r="E557" s="62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4" t="inlineStr">
        <is>
          <t>02/08/2013</t>
        </is>
      </c>
      <c r="B558" s="31" t="n">
        <v>2.4777</v>
      </c>
      <c r="C558" s="69" t="n"/>
      <c r="D558" s="70">
        <f t="array" ref="D558">IF(C558="","",IFERROR(AVERAGE(_xlfn._xlws.FILTER($B$2:$B$2000,(IFERROR(VALUE(MID($A$2:$A$2000,4,2)),0)=MONTH(C558))*(IFERROR(VALUE(RIGHT($A$2:$A$2000,4)),0)=YEAR(C558)))),""))</f>
        <v/>
      </c>
      <c r="E558" s="62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4" t="inlineStr">
        <is>
          <t>09/08/2013</t>
        </is>
      </c>
      <c r="B559" s="31" t="n">
        <v>2.4665</v>
      </c>
      <c r="C559" s="69" t="n"/>
      <c r="D559" s="70">
        <f t="array" ref="D559">IF(C559="","",IFERROR(AVERAGE(_xlfn._xlws.FILTER($B$2:$B$2000,(IFERROR(VALUE(MID($A$2:$A$2000,4,2)),0)=MONTH(C559))*(IFERROR(VALUE(RIGHT($A$2:$A$2000,4)),0)=YEAR(C559)))),""))</f>
        <v/>
      </c>
      <c r="E559" s="62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4" t="inlineStr">
        <is>
          <t>16/08/2013</t>
        </is>
      </c>
      <c r="B560" s="31" t="n">
        <v>2.4572</v>
      </c>
      <c r="C560" s="69" t="n"/>
      <c r="D560" s="70">
        <f t="array" ref="D560">IF(C560="","",IFERROR(AVERAGE(_xlfn._xlws.FILTER($B$2:$B$2000,(IFERROR(VALUE(MID($A$2:$A$2000,4,2)),0)=MONTH(C560))*(IFERROR(VALUE(RIGHT($A$2:$A$2000,4)),0)=YEAR(C560)))),""))</f>
        <v/>
      </c>
      <c r="E560" s="62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4" t="inlineStr">
        <is>
          <t>23/08/2013</t>
        </is>
      </c>
      <c r="B561" s="31" t="n">
        <v>2.4779</v>
      </c>
      <c r="C561" s="69" t="n"/>
      <c r="D561" s="70">
        <f t="array" ref="D561">IF(C561="","",IFERROR(AVERAGE(_xlfn._xlws.FILTER($B$2:$B$2000,(IFERROR(VALUE(MID($A$2:$A$2000,4,2)),0)=MONTH(C561))*(IFERROR(VALUE(RIGHT($A$2:$A$2000,4)),0)=YEAR(C561)))),""))</f>
        <v/>
      </c>
      <c r="E561" s="62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4" t="inlineStr">
        <is>
          <t>30/08/2013</t>
        </is>
      </c>
      <c r="B562" s="31" t="n">
        <v>2.5464</v>
      </c>
      <c r="C562" s="69" t="n"/>
      <c r="D562" s="70">
        <f t="array" ref="D562">IF(C562="","",IFERROR(AVERAGE(_xlfn._xlws.FILTER($B$2:$B$2000,(IFERROR(VALUE(MID($A$2:$A$2000,4,2)),0)=MONTH(C562))*(IFERROR(VALUE(RIGHT($A$2:$A$2000,4)),0)=YEAR(C562)))),""))</f>
        <v/>
      </c>
      <c r="E562" s="62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4" t="inlineStr">
        <is>
          <t>06/09/2013</t>
        </is>
      </c>
      <c r="B563" s="31" t="n">
        <v>2.5336</v>
      </c>
      <c r="C563" s="69" t="n"/>
      <c r="D563" s="70">
        <f t="array" ref="D563">IF(C563="","",IFERROR(AVERAGE(_xlfn._xlws.FILTER($B$2:$B$2000,(IFERROR(VALUE(MID($A$2:$A$2000,4,2)),0)=MONTH(C563))*(IFERROR(VALUE(RIGHT($A$2:$A$2000,4)),0)=YEAR(C563)))),""))</f>
        <v/>
      </c>
      <c r="E563" s="62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4" t="inlineStr">
        <is>
          <t>13/09/2013</t>
        </is>
      </c>
      <c r="B564" s="31" t="n">
        <v>2.5531</v>
      </c>
      <c r="C564" s="69" t="n"/>
      <c r="D564" s="70">
        <f t="array" ref="D564">IF(C564="","",IFERROR(AVERAGE(_xlfn._xlws.FILTER($B$2:$B$2000,(IFERROR(VALUE(MID($A$2:$A$2000,4,2)),0)=MONTH(C564))*(IFERROR(VALUE(RIGHT($A$2:$A$2000,4)),0)=YEAR(C564)))),""))</f>
        <v/>
      </c>
      <c r="E564" s="62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4" t="inlineStr">
        <is>
          <t>20/09/2013</t>
        </is>
      </c>
      <c r="B565" s="31" t="n">
        <v>2.5627</v>
      </c>
      <c r="C565" s="69" t="n"/>
      <c r="D565" s="70">
        <f t="array" ref="D565">IF(C565="","",IFERROR(AVERAGE(_xlfn._xlws.FILTER($B$2:$B$2000,(IFERROR(VALUE(MID($A$2:$A$2000,4,2)),0)=MONTH(C565))*(IFERROR(VALUE(RIGHT($A$2:$A$2000,4)),0)=YEAR(C565)))),""))</f>
        <v/>
      </c>
      <c r="E565" s="62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4" t="inlineStr">
        <is>
          <t>27/09/2013</t>
        </is>
      </c>
      <c r="B566" s="31" t="n">
        <v>2.6315</v>
      </c>
      <c r="C566" s="69" t="n"/>
      <c r="D566" s="70">
        <f t="array" ref="D566">IF(C566="","",IFERROR(AVERAGE(_xlfn._xlws.FILTER($B$2:$B$2000,(IFERROR(VALUE(MID($A$2:$A$2000,4,2)),0)=MONTH(C566))*(IFERROR(VALUE(RIGHT($A$2:$A$2000,4)),0)=YEAR(C566)))),""))</f>
        <v/>
      </c>
      <c r="E566" s="62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4" t="inlineStr">
        <is>
          <t>04/10/2013</t>
        </is>
      </c>
      <c r="B567" s="31" t="n">
        <v>2.606</v>
      </c>
      <c r="C567" s="69" t="n"/>
      <c r="D567" s="70">
        <f t="array" ref="D567">IF(C567="","",IFERROR(AVERAGE(_xlfn._xlws.FILTER($B$2:$B$2000,(IFERROR(VALUE(MID($A$2:$A$2000,4,2)),0)=MONTH(C567))*(IFERROR(VALUE(RIGHT($A$2:$A$2000,4)),0)=YEAR(C567)))),""))</f>
        <v/>
      </c>
      <c r="E567" s="62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4" t="inlineStr">
        <is>
          <t>11/10/2013</t>
        </is>
      </c>
      <c r="B568" s="31" t="n">
        <v>2.6073</v>
      </c>
      <c r="C568" s="69" t="n"/>
      <c r="D568" s="70">
        <f t="array" ref="D568">IF(C568="","",IFERROR(AVERAGE(_xlfn._xlws.FILTER($B$2:$B$2000,(IFERROR(VALUE(MID($A$2:$A$2000,4,2)),0)=MONTH(C568))*(IFERROR(VALUE(RIGHT($A$2:$A$2000,4)),0)=YEAR(C568)))),""))</f>
        <v/>
      </c>
      <c r="E568" s="62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4" t="inlineStr">
        <is>
          <t>18/10/2013</t>
        </is>
      </c>
      <c r="B569" s="31" t="n">
        <v>2.602</v>
      </c>
      <c r="C569" s="69" t="n"/>
      <c r="D569" s="70">
        <f t="array" ref="D569">IF(C569="","",IFERROR(AVERAGE(_xlfn._xlws.FILTER($B$2:$B$2000,(IFERROR(VALUE(MID($A$2:$A$2000,4,2)),0)=MONTH(C569))*(IFERROR(VALUE(RIGHT($A$2:$A$2000,4)),0)=YEAR(C569)))),""))</f>
        <v/>
      </c>
      <c r="E569" s="62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4" t="inlineStr">
        <is>
          <t>25/10/2013</t>
        </is>
      </c>
      <c r="B570" s="31" t="n">
        <v>2.5911</v>
      </c>
      <c r="C570" s="69" t="n"/>
      <c r="D570" s="70">
        <f t="array" ref="D570">IF(C570="","",IFERROR(AVERAGE(_xlfn._xlws.FILTER($B$2:$B$2000,(IFERROR(VALUE(MID($A$2:$A$2000,4,2)),0)=MONTH(C570))*(IFERROR(VALUE(RIGHT($A$2:$A$2000,4)),0)=YEAR(C570)))),""))</f>
        <v/>
      </c>
      <c r="E570" s="62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4" t="inlineStr">
        <is>
          <t>01/11/2013</t>
        </is>
      </c>
      <c r="B571" s="31" t="n">
        <v>2.5758</v>
      </c>
      <c r="C571" s="69" t="n"/>
      <c r="D571" s="70">
        <f t="array" ref="D571">IF(C571="","",IFERROR(AVERAGE(_xlfn._xlws.FILTER($B$2:$B$2000,(IFERROR(VALUE(MID($A$2:$A$2000,4,2)),0)=MONTH(C571))*(IFERROR(VALUE(RIGHT($A$2:$A$2000,4)),0)=YEAR(C571)))),""))</f>
        <v/>
      </c>
      <c r="E571" s="62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4" t="inlineStr">
        <is>
          <t>08/11/2013</t>
        </is>
      </c>
      <c r="B572" s="31" t="n">
        <v>2.5867</v>
      </c>
      <c r="C572" s="69" t="n"/>
      <c r="D572" s="70">
        <f t="array" ref="D572">IF(C572="","",IFERROR(AVERAGE(_xlfn._xlws.FILTER($B$2:$B$2000,(IFERROR(VALUE(MID($A$2:$A$2000,4,2)),0)=MONTH(C572))*(IFERROR(VALUE(RIGHT($A$2:$A$2000,4)),0)=YEAR(C572)))),""))</f>
        <v/>
      </c>
      <c r="E572" s="62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4" t="inlineStr">
        <is>
          <t>14/11/2013</t>
        </is>
      </c>
      <c r="B573" s="31" t="n">
        <v>2.6733</v>
      </c>
      <c r="C573" s="69" t="n"/>
      <c r="D573" s="70">
        <f t="array" ref="D573">IF(C573="","",IFERROR(AVERAGE(_xlfn._xlws.FILTER($B$2:$B$2000,(IFERROR(VALUE(MID($A$2:$A$2000,4,2)),0)=MONTH(C573))*(IFERROR(VALUE(RIGHT($A$2:$A$2000,4)),0)=YEAR(C573)))),""))</f>
        <v/>
      </c>
      <c r="E573" s="62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4" t="inlineStr">
        <is>
          <t>22/11/2013</t>
        </is>
      </c>
      <c r="B574" s="31" t="n">
        <v>2.7026</v>
      </c>
      <c r="C574" s="69" t="n"/>
      <c r="D574" s="70">
        <f t="array" ref="D574">IF(C574="","",IFERROR(AVERAGE(_xlfn._xlws.FILTER($B$2:$B$2000,(IFERROR(VALUE(MID($A$2:$A$2000,4,2)),0)=MONTH(C574))*(IFERROR(VALUE(RIGHT($A$2:$A$2000,4)),0)=YEAR(C574)))),""))</f>
        <v/>
      </c>
      <c r="E574" s="62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4" t="inlineStr">
        <is>
          <t>29/11/2013</t>
        </is>
      </c>
      <c r="B575" s="31" t="n">
        <v>2.7551</v>
      </c>
      <c r="C575" s="69" t="n"/>
      <c r="D575" s="70">
        <f t="array" ref="D575">IF(C575="","",IFERROR(AVERAGE(_xlfn._xlws.FILTER($B$2:$B$2000,(IFERROR(VALUE(MID($A$2:$A$2000,4,2)),0)=MONTH(C575))*(IFERROR(VALUE(RIGHT($A$2:$A$2000,4)),0)=YEAR(C575)))),""))</f>
        <v/>
      </c>
      <c r="E575" s="62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4" t="inlineStr">
        <is>
          <t>06/12/2013</t>
        </is>
      </c>
      <c r="B576" s="31" t="n">
        <v>2.8314</v>
      </c>
      <c r="C576" s="69" t="n"/>
      <c r="D576" s="70">
        <f t="array" ref="D576">IF(C576="","",IFERROR(AVERAGE(_xlfn._xlws.FILTER($B$2:$B$2000,(IFERROR(VALUE(MID($A$2:$A$2000,4,2)),0)=MONTH(C576))*(IFERROR(VALUE(RIGHT($A$2:$A$2000,4)),0)=YEAR(C576)))),""))</f>
        <v/>
      </c>
      <c r="E576" s="62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4" t="inlineStr">
        <is>
          <t>13/12/2013</t>
        </is>
      </c>
      <c r="B577" s="31" t="n">
        <v>2.8505</v>
      </c>
      <c r="C577" s="69" t="n"/>
      <c r="D577" s="70">
        <f t="array" ref="D577">IF(C577="","",IFERROR(AVERAGE(_xlfn._xlws.FILTER($B$2:$B$2000,(IFERROR(VALUE(MID($A$2:$A$2000,4,2)),0)=MONTH(C577))*(IFERROR(VALUE(RIGHT($A$2:$A$2000,4)),0)=YEAR(C577)))),""))</f>
        <v/>
      </c>
      <c r="E577" s="62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4" t="inlineStr">
        <is>
          <t>20/12/2013</t>
        </is>
      </c>
      <c r="B578" s="31" t="n">
        <v>2.8241</v>
      </c>
      <c r="C578" s="69" t="n"/>
      <c r="D578" s="70">
        <f t="array" ref="D578">IF(C578="","",IFERROR(AVERAGE(_xlfn._xlws.FILTER($B$2:$B$2000,(IFERROR(VALUE(MID($A$2:$A$2000,4,2)),0)=MONTH(C578))*(IFERROR(VALUE(RIGHT($A$2:$A$2000,4)),0)=YEAR(C578)))),""))</f>
        <v/>
      </c>
      <c r="E578" s="62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4" t="inlineStr">
        <is>
          <t>27/12/2013</t>
        </is>
      </c>
      <c r="B579" s="31" t="n">
        <v>2.8095</v>
      </c>
      <c r="C579" s="69" t="n"/>
      <c r="D579" s="70">
        <f t="array" ref="D579">IF(C579="","",IFERROR(AVERAGE(_xlfn._xlws.FILTER($B$2:$B$2000,(IFERROR(VALUE(MID($A$2:$A$2000,4,2)),0)=MONTH(C579))*(IFERROR(VALUE(RIGHT($A$2:$A$2000,4)),0)=YEAR(C579)))),""))</f>
        <v/>
      </c>
      <c r="E579" s="62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4" t="inlineStr">
        <is>
          <t>03/01/2014</t>
        </is>
      </c>
      <c r="B580" s="31" t="n">
        <v>2.813</v>
      </c>
      <c r="C580" s="69" t="n"/>
      <c r="D580" s="70">
        <f t="array" ref="D580">IF(C580="","",IFERROR(AVERAGE(_xlfn._xlws.FILTER($B$2:$B$2000,(IFERROR(VALUE(MID($A$2:$A$2000,4,2)),0)=MONTH(C580))*(IFERROR(VALUE(RIGHT($A$2:$A$2000,4)),0)=YEAR(C580)))),""))</f>
        <v/>
      </c>
      <c r="E580" s="62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4" t="inlineStr">
        <is>
          <t>10/01/2014</t>
        </is>
      </c>
      <c r="B581" s="31" t="n">
        <v>2.815</v>
      </c>
      <c r="C581" s="69" t="n"/>
      <c r="D581" s="70">
        <f t="array" ref="D581">IF(C581="","",IFERROR(AVERAGE(_xlfn._xlws.FILTER($B$2:$B$2000,(IFERROR(VALUE(MID($A$2:$A$2000,4,2)),0)=MONTH(C581))*(IFERROR(VALUE(RIGHT($A$2:$A$2000,4)),0)=YEAR(C581)))),""))</f>
        <v/>
      </c>
      <c r="E581" s="62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4" t="inlineStr">
        <is>
          <t>17/01/2014</t>
        </is>
      </c>
      <c r="B582" s="31" t="n">
        <v>2.8248</v>
      </c>
      <c r="C582" s="69" t="n"/>
      <c r="D582" s="70">
        <f t="array" ref="D582">IF(C582="","",IFERROR(AVERAGE(_xlfn._xlws.FILTER($B$2:$B$2000,(IFERROR(VALUE(MID($A$2:$A$2000,4,2)),0)=MONTH(C582))*(IFERROR(VALUE(RIGHT($A$2:$A$2000,4)),0)=YEAR(C582)))),""))</f>
        <v/>
      </c>
      <c r="E582" s="62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4" t="inlineStr">
        <is>
          <t>24/01/2014</t>
        </is>
      </c>
      <c r="B583" s="31" t="n">
        <v>2.8134</v>
      </c>
      <c r="C583" s="69" t="n"/>
      <c r="D583" s="70">
        <f t="array" ref="D583">IF(C583="","",IFERROR(AVERAGE(_xlfn._xlws.FILTER($B$2:$B$2000,(IFERROR(VALUE(MID($A$2:$A$2000,4,2)),0)=MONTH(C583))*(IFERROR(VALUE(RIGHT($A$2:$A$2000,4)),0)=YEAR(C583)))),""))</f>
        <v/>
      </c>
      <c r="E583" s="62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4" t="inlineStr">
        <is>
          <t>31/01/2014</t>
        </is>
      </c>
      <c r="B584" s="31" t="n">
        <v>2.8187</v>
      </c>
      <c r="C584" s="69" t="n"/>
      <c r="D584" s="70">
        <f t="array" ref="D584">IF(C584="","",IFERROR(AVERAGE(_xlfn._xlws.FILTER($B$2:$B$2000,(IFERROR(VALUE(MID($A$2:$A$2000,4,2)),0)=MONTH(C584))*(IFERROR(VALUE(RIGHT($A$2:$A$2000,4)),0)=YEAR(C584)))),""))</f>
        <v/>
      </c>
      <c r="E584" s="62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4" t="inlineStr">
        <is>
          <t>07/02/2014</t>
        </is>
      </c>
      <c r="B585" s="31" t="n">
        <v>2.8875</v>
      </c>
      <c r="C585" s="69" t="n"/>
      <c r="D585" s="70">
        <f t="array" ref="D585">IF(C585="","",IFERROR(AVERAGE(_xlfn._xlws.FILTER($B$2:$B$2000,(IFERROR(VALUE(MID($A$2:$A$2000,4,2)),0)=MONTH(C585))*(IFERROR(VALUE(RIGHT($A$2:$A$2000,4)),0)=YEAR(C585)))),""))</f>
        <v/>
      </c>
      <c r="E585" s="62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4" t="inlineStr">
        <is>
          <t>14/02/2014</t>
        </is>
      </c>
      <c r="B586" s="31" t="n">
        <v>3.0141</v>
      </c>
      <c r="C586" s="69" t="n"/>
      <c r="D586" s="70">
        <f t="array" ref="D586">IF(C586="","",IFERROR(AVERAGE(_xlfn._xlws.FILTER($B$2:$B$2000,(IFERROR(VALUE(MID($A$2:$A$2000,4,2)),0)=MONTH(C586))*(IFERROR(VALUE(RIGHT($A$2:$A$2000,4)),0)=YEAR(C586)))),""))</f>
        <v/>
      </c>
      <c r="E586" s="62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4" t="inlineStr">
        <is>
          <t>21/02/2014</t>
        </is>
      </c>
      <c r="B587" s="31" t="n">
        <v>3.089</v>
      </c>
      <c r="C587" s="69" t="n"/>
      <c r="D587" s="70">
        <f t="array" ref="D587">IF(C587="","",IFERROR(AVERAGE(_xlfn._xlws.FILTER($B$2:$B$2000,(IFERROR(VALUE(MID($A$2:$A$2000,4,2)),0)=MONTH(C587))*(IFERROR(VALUE(RIGHT($A$2:$A$2000,4)),0)=YEAR(C587)))),""))</f>
        <v/>
      </c>
      <c r="E587" s="62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4" t="inlineStr">
        <is>
          <t>28/02/2014</t>
        </is>
      </c>
      <c r="B588" s="31" t="n">
        <v>3.1401</v>
      </c>
      <c r="C588" s="69" t="n"/>
      <c r="D588" s="70">
        <f t="array" ref="D588">IF(C588="","",IFERROR(AVERAGE(_xlfn._xlws.FILTER($B$2:$B$2000,(IFERROR(VALUE(MID($A$2:$A$2000,4,2)),0)=MONTH(C588))*(IFERROR(VALUE(RIGHT($A$2:$A$2000,4)),0)=YEAR(C588)))),""))</f>
        <v/>
      </c>
      <c r="E588" s="62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4" t="inlineStr">
        <is>
          <t>07/03/2014</t>
        </is>
      </c>
      <c r="B589" s="31" t="n">
        <v>3.0855</v>
      </c>
      <c r="C589" s="69" t="n"/>
      <c r="D589" s="70">
        <f t="array" ref="D589">IF(C589="","",IFERROR(AVERAGE(_xlfn._xlws.FILTER($B$2:$B$2000,(IFERROR(VALUE(MID($A$2:$A$2000,4,2)),0)=MONTH(C589))*(IFERROR(VALUE(RIGHT($A$2:$A$2000,4)),0)=YEAR(C589)))),""))</f>
        <v/>
      </c>
      <c r="E589" s="62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4" t="inlineStr">
        <is>
          <t>14/03/2014</t>
        </is>
      </c>
      <c r="B590" s="31" t="n">
        <v>3.072</v>
      </c>
      <c r="C590" s="69" t="n"/>
      <c r="D590" s="70">
        <f t="array" ref="D590">IF(C590="","",IFERROR(AVERAGE(_xlfn._xlws.FILTER($B$2:$B$2000,(IFERROR(VALUE(MID($A$2:$A$2000,4,2)),0)=MONTH(C590))*(IFERROR(VALUE(RIGHT($A$2:$A$2000,4)),0)=YEAR(C590)))),""))</f>
        <v/>
      </c>
      <c r="E590" s="62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4" t="inlineStr">
        <is>
          <t>21/03/2014</t>
        </is>
      </c>
      <c r="B591" s="31" t="n">
        <v>3.0583</v>
      </c>
      <c r="C591" s="69" t="n"/>
      <c r="D591" s="70">
        <f t="array" ref="D591">IF(C591="","",IFERROR(AVERAGE(_xlfn._xlws.FILTER($B$2:$B$2000,(IFERROR(VALUE(MID($A$2:$A$2000,4,2)),0)=MONTH(C591))*(IFERROR(VALUE(RIGHT($A$2:$A$2000,4)),0)=YEAR(C591)))),""))</f>
        <v/>
      </c>
      <c r="E591" s="62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4" t="inlineStr">
        <is>
          <t>28/03/2014</t>
        </is>
      </c>
      <c r="B592" s="31" t="n">
        <v>2.981</v>
      </c>
      <c r="C592" s="69" t="n"/>
      <c r="D592" s="70">
        <f t="array" ref="D592">IF(C592="","",IFERROR(AVERAGE(_xlfn._xlws.FILTER($B$2:$B$2000,(IFERROR(VALUE(MID($A$2:$A$2000,4,2)),0)=MONTH(C592))*(IFERROR(VALUE(RIGHT($A$2:$A$2000,4)),0)=YEAR(C592)))),""))</f>
        <v/>
      </c>
      <c r="E592" s="62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4" t="inlineStr">
        <is>
          <t>04/04/2014</t>
        </is>
      </c>
      <c r="B593" s="31" t="n">
        <v>2.778</v>
      </c>
      <c r="C593" s="69" t="n"/>
      <c r="D593" s="70">
        <f t="array" ref="D593">IF(C593="","",IFERROR(AVERAGE(_xlfn._xlws.FILTER($B$2:$B$2000,(IFERROR(VALUE(MID($A$2:$A$2000,4,2)),0)=MONTH(C593))*(IFERROR(VALUE(RIGHT($A$2:$A$2000,4)),0)=YEAR(C593)))),""))</f>
        <v/>
      </c>
      <c r="E593" s="62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4" t="inlineStr">
        <is>
          <t>11/04/2014</t>
        </is>
      </c>
      <c r="B594" s="31" t="n">
        <v>2.7842</v>
      </c>
      <c r="C594" s="69" t="n"/>
      <c r="D594" s="70">
        <f t="array" ref="D594">IF(C594="","",IFERROR(AVERAGE(_xlfn._xlws.FILTER($B$2:$B$2000,(IFERROR(VALUE(MID($A$2:$A$2000,4,2)),0)=MONTH(C594))*(IFERROR(VALUE(RIGHT($A$2:$A$2000,4)),0)=YEAR(C594)))),""))</f>
        <v/>
      </c>
      <c r="E594" s="62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4" t="inlineStr">
        <is>
          <t>17/04/2014</t>
        </is>
      </c>
      <c r="B595" s="31" t="n">
        <v>3.0244</v>
      </c>
      <c r="C595" s="69" t="n"/>
      <c r="D595" s="70">
        <f t="array" ref="D595">IF(C595="","",IFERROR(AVERAGE(_xlfn._xlws.FILTER($B$2:$B$2000,(IFERROR(VALUE(MID($A$2:$A$2000,4,2)),0)=MONTH(C595))*(IFERROR(VALUE(RIGHT($A$2:$A$2000,4)),0)=YEAR(C595)))),""))</f>
        <v/>
      </c>
      <c r="E595" s="62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4" t="inlineStr">
        <is>
          <t>25/04/2014</t>
        </is>
      </c>
      <c r="B596" s="31" t="n">
        <v>2.8891</v>
      </c>
      <c r="C596" s="69" t="n"/>
      <c r="D596" s="70">
        <f t="array" ref="D596">IF(C596="","",IFERROR(AVERAGE(_xlfn._xlws.FILTER($B$2:$B$2000,(IFERROR(VALUE(MID($A$2:$A$2000,4,2)),0)=MONTH(C596))*(IFERROR(VALUE(RIGHT($A$2:$A$2000,4)),0)=YEAR(C596)))),""))</f>
        <v/>
      </c>
      <c r="E596" s="62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4" t="inlineStr">
        <is>
          <t>02/05/2014</t>
        </is>
      </c>
      <c r="B597" s="31" t="n">
        <v>2.6816</v>
      </c>
      <c r="C597" s="69" t="n"/>
      <c r="D597" s="70">
        <f t="array" ref="D597">IF(C597="","",IFERROR(AVERAGE(_xlfn._xlws.FILTER($B$2:$B$2000,(IFERROR(VALUE(MID($A$2:$A$2000,4,2)),0)=MONTH(C597))*(IFERROR(VALUE(RIGHT($A$2:$A$2000,4)),0)=YEAR(C597)))),""))</f>
        <v/>
      </c>
      <c r="E597" s="62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4" t="inlineStr">
        <is>
          <t>09/05/2014</t>
        </is>
      </c>
      <c r="B598" s="31" t="n">
        <v>2.5329</v>
      </c>
      <c r="C598" s="69" t="n"/>
      <c r="D598" s="70">
        <f t="array" ref="D598">IF(C598="","",IFERROR(AVERAGE(_xlfn._xlws.FILTER($B$2:$B$2000,(IFERROR(VALUE(MID($A$2:$A$2000,4,2)),0)=MONTH(C598))*(IFERROR(VALUE(RIGHT($A$2:$A$2000,4)),0)=YEAR(C598)))),""))</f>
        <v/>
      </c>
      <c r="E598" s="62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4" t="inlineStr">
        <is>
          <t>16/05/2014</t>
        </is>
      </c>
      <c r="B599" s="31" t="n">
        <v>2.5427</v>
      </c>
      <c r="C599" s="69" t="n"/>
      <c r="D599" s="70">
        <f t="array" ref="D599">IF(C599="","",IFERROR(AVERAGE(_xlfn._xlws.FILTER($B$2:$B$2000,(IFERROR(VALUE(MID($A$2:$A$2000,4,2)),0)=MONTH(C599))*(IFERROR(VALUE(RIGHT($A$2:$A$2000,4)),0)=YEAR(C599)))),""))</f>
        <v/>
      </c>
      <c r="E599" s="62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4" t="inlineStr">
        <is>
          <t>23/05/2014</t>
        </is>
      </c>
      <c r="B600" s="31" t="n">
        <v>2.5647</v>
      </c>
      <c r="C600" s="69" t="n"/>
      <c r="D600" s="70">
        <f t="array" ref="D600">IF(C600="","",IFERROR(AVERAGE(_xlfn._xlws.FILTER($B$2:$B$2000,(IFERROR(VALUE(MID($A$2:$A$2000,4,2)),0)=MONTH(C600))*(IFERROR(VALUE(RIGHT($A$2:$A$2000,4)),0)=YEAR(C600)))),""))</f>
        <v/>
      </c>
      <c r="E600" s="62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4" t="inlineStr">
        <is>
          <t>30/05/2014</t>
        </is>
      </c>
      <c r="B601" s="31" t="n">
        <v>2.5474</v>
      </c>
      <c r="C601" s="69" t="n"/>
      <c r="D601" s="70">
        <f t="array" ref="D601">IF(C601="","",IFERROR(AVERAGE(_xlfn._xlws.FILTER($B$2:$B$2000,(IFERROR(VALUE(MID($A$2:$A$2000,4,2)),0)=MONTH(C601))*(IFERROR(VALUE(RIGHT($A$2:$A$2000,4)),0)=YEAR(C601)))),""))</f>
        <v/>
      </c>
      <c r="E601" s="62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4" t="inlineStr">
        <is>
          <t>06/06/2014</t>
        </is>
      </c>
      <c r="B602" s="31" t="n">
        <v>2.5947</v>
      </c>
      <c r="C602" s="69" t="n"/>
      <c r="D602" s="70">
        <f t="array" ref="D602">IF(C602="","",IFERROR(AVERAGE(_xlfn._xlws.FILTER($B$2:$B$2000,(IFERROR(VALUE(MID($A$2:$A$2000,4,2)),0)=MONTH(C602))*(IFERROR(VALUE(RIGHT($A$2:$A$2000,4)),0)=YEAR(C602)))),""))</f>
        <v/>
      </c>
      <c r="E602" s="62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4" t="inlineStr">
        <is>
          <t>13/06/2014</t>
        </is>
      </c>
      <c r="B603" s="31" t="n">
        <v>2.613</v>
      </c>
      <c r="C603" s="69" t="n"/>
      <c r="D603" s="70">
        <f t="array" ref="D603">IF(C603="","",IFERROR(AVERAGE(_xlfn._xlws.FILTER($B$2:$B$2000,(IFERROR(VALUE(MID($A$2:$A$2000,4,2)),0)=MONTH(C603))*(IFERROR(VALUE(RIGHT($A$2:$A$2000,4)),0)=YEAR(C603)))),""))</f>
        <v/>
      </c>
      <c r="E603" s="62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4" t="inlineStr">
        <is>
          <t>20/06/2014</t>
        </is>
      </c>
      <c r="B604" s="31" t="n">
        <v>2.6259</v>
      </c>
      <c r="C604" s="69" t="n"/>
      <c r="D604" s="70">
        <f t="array" ref="D604">IF(C604="","",IFERROR(AVERAGE(_xlfn._xlws.FILTER($B$2:$B$2000,(IFERROR(VALUE(MID($A$2:$A$2000,4,2)),0)=MONTH(C604))*(IFERROR(VALUE(RIGHT($A$2:$A$2000,4)),0)=YEAR(C604)))),""))</f>
        <v/>
      </c>
      <c r="E604" s="62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4" t="inlineStr">
        <is>
          <t>27/06/2014</t>
        </is>
      </c>
      <c r="B605" s="31" t="n">
        <v>2.6334</v>
      </c>
      <c r="C605" s="69" t="n"/>
      <c r="D605" s="70">
        <f t="array" ref="D605">IF(C605="","",IFERROR(AVERAGE(_xlfn._xlws.FILTER($B$2:$B$2000,(IFERROR(VALUE(MID($A$2:$A$2000,4,2)),0)=MONTH(C605))*(IFERROR(VALUE(RIGHT($A$2:$A$2000,4)),0)=YEAR(C605)))),""))</f>
        <v/>
      </c>
      <c r="E605" s="62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4" t="inlineStr">
        <is>
          <t>04/07/2014</t>
        </is>
      </c>
      <c r="B606" s="31" t="n">
        <v>2.6771</v>
      </c>
      <c r="C606" s="69" t="n"/>
      <c r="D606" s="70">
        <f t="array" ref="D606">IF(C606="","",IFERROR(AVERAGE(_xlfn._xlws.FILTER($B$2:$B$2000,(IFERROR(VALUE(MID($A$2:$A$2000,4,2)),0)=MONTH(C606))*(IFERROR(VALUE(RIGHT($A$2:$A$2000,4)),0)=YEAR(C606)))),""))</f>
        <v/>
      </c>
      <c r="E606" s="62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4" t="inlineStr">
        <is>
          <t>11/07/2014</t>
        </is>
      </c>
      <c r="B607" s="31" t="n">
        <v>2.687</v>
      </c>
      <c r="C607" s="69" t="n"/>
      <c r="D607" s="70">
        <f t="array" ref="D607">IF(C607="","",IFERROR(AVERAGE(_xlfn._xlws.FILTER($B$2:$B$2000,(IFERROR(VALUE(MID($A$2:$A$2000,4,2)),0)=MONTH(C607))*(IFERROR(VALUE(RIGHT($A$2:$A$2000,4)),0)=YEAR(C607)))),""))</f>
        <v/>
      </c>
      <c r="E607" s="62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4" t="inlineStr">
        <is>
          <t>18/07/2014</t>
        </is>
      </c>
      <c r="B608" s="31" t="n">
        <v>2.6727</v>
      </c>
      <c r="C608" s="69" t="n"/>
      <c r="D608" s="70">
        <f t="array" ref="D608">IF(C608="","",IFERROR(AVERAGE(_xlfn._xlws.FILTER($B$2:$B$2000,(IFERROR(VALUE(MID($A$2:$A$2000,4,2)),0)=MONTH(C608))*(IFERROR(VALUE(RIGHT($A$2:$A$2000,4)),0)=YEAR(C608)))),""))</f>
        <v/>
      </c>
      <c r="E608" s="62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4" t="inlineStr">
        <is>
          <t>25/07/2014</t>
        </is>
      </c>
      <c r="B609" s="31" t="n">
        <v>2.6072</v>
      </c>
      <c r="C609" s="69" t="n"/>
      <c r="D609" s="70">
        <f t="array" ref="D609">IF(C609="","",IFERROR(AVERAGE(_xlfn._xlws.FILTER($B$2:$B$2000,(IFERROR(VALUE(MID($A$2:$A$2000,4,2)),0)=MONTH(C609))*(IFERROR(VALUE(RIGHT($A$2:$A$2000,4)),0)=YEAR(C609)))),""))</f>
        <v/>
      </c>
      <c r="E609" s="62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4" t="inlineStr">
        <is>
          <t>01/08/2014</t>
        </is>
      </c>
      <c r="B610" s="31" t="n">
        <v>2.6099</v>
      </c>
      <c r="C610" s="69" t="n"/>
      <c r="D610" s="70">
        <f t="array" ref="D610">IF(C610="","",IFERROR(AVERAGE(_xlfn._xlws.FILTER($B$2:$B$2000,(IFERROR(VALUE(MID($A$2:$A$2000,4,2)),0)=MONTH(C610))*(IFERROR(VALUE(RIGHT($A$2:$A$2000,4)),0)=YEAR(C610)))),""))</f>
        <v/>
      </c>
      <c r="E610" s="62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4" t="inlineStr">
        <is>
          <t>08/08/2014</t>
        </is>
      </c>
      <c r="B611" s="31" t="n">
        <v>2.6114</v>
      </c>
      <c r="C611" s="69" t="n"/>
      <c r="D611" s="70">
        <f t="array" ref="D611">IF(C611="","",IFERROR(AVERAGE(_xlfn._xlws.FILTER($B$2:$B$2000,(IFERROR(VALUE(MID($A$2:$A$2000,4,2)),0)=MONTH(C611))*(IFERROR(VALUE(RIGHT($A$2:$A$2000,4)),0)=YEAR(C611)))),""))</f>
        <v/>
      </c>
      <c r="E611" s="62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4" t="inlineStr">
        <is>
          <t>15/08/2014</t>
        </is>
      </c>
      <c r="B612" s="31" t="n">
        <v>2.5997</v>
      </c>
      <c r="C612" s="69" t="n"/>
      <c r="D612" s="70">
        <f t="array" ref="D612">IF(C612="","",IFERROR(AVERAGE(_xlfn._xlws.FILTER($B$2:$B$2000,(IFERROR(VALUE(MID($A$2:$A$2000,4,2)),0)=MONTH(C612))*(IFERROR(VALUE(RIGHT($A$2:$A$2000,4)),0)=YEAR(C612)))),""))</f>
        <v/>
      </c>
      <c r="E612" s="62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4" t="inlineStr">
        <is>
          <t>22/08/2014</t>
        </is>
      </c>
      <c r="B613" s="31" t="n">
        <v>2.6355</v>
      </c>
      <c r="C613" s="69" t="n"/>
      <c r="D613" s="70">
        <f t="array" ref="D613">IF(C613="","",IFERROR(AVERAGE(_xlfn._xlws.FILTER($B$2:$B$2000,(IFERROR(VALUE(MID($A$2:$A$2000,4,2)),0)=MONTH(C613))*(IFERROR(VALUE(RIGHT($A$2:$A$2000,4)),0)=YEAR(C613)))),""))</f>
        <v/>
      </c>
      <c r="E613" s="62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4" t="inlineStr">
        <is>
          <t>29/08/2014</t>
        </is>
      </c>
      <c r="B614" s="31" t="n">
        <v>2.673</v>
      </c>
      <c r="C614" s="69" t="n"/>
      <c r="D614" s="70">
        <f t="array" ref="D614">IF(C614="","",IFERROR(AVERAGE(_xlfn._xlws.FILTER($B$2:$B$2000,(IFERROR(VALUE(MID($A$2:$A$2000,4,2)),0)=MONTH(C614))*(IFERROR(VALUE(RIGHT($A$2:$A$2000,4)),0)=YEAR(C614)))),""))</f>
        <v/>
      </c>
      <c r="E614" s="62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4" t="inlineStr">
        <is>
          <t>05/09/2014</t>
        </is>
      </c>
      <c r="B615" s="31" t="n">
        <v>2.6655</v>
      </c>
      <c r="C615" s="69" t="n"/>
      <c r="D615" s="70">
        <f t="array" ref="D615">IF(C615="","",IFERROR(AVERAGE(_xlfn._xlws.FILTER($B$2:$B$2000,(IFERROR(VALUE(MID($A$2:$A$2000,4,2)),0)=MONTH(C615))*(IFERROR(VALUE(RIGHT($A$2:$A$2000,4)),0)=YEAR(C615)))),""))</f>
        <v/>
      </c>
      <c r="E615" s="62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4" t="inlineStr">
        <is>
          <t>12/09/2014</t>
        </is>
      </c>
      <c r="B616" s="31" t="n">
        <v>2.6426</v>
      </c>
      <c r="C616" s="69" t="n"/>
      <c r="D616" s="70">
        <f t="array" ref="D616">IF(C616="","",IFERROR(AVERAGE(_xlfn._xlws.FILTER($B$2:$B$2000,(IFERROR(VALUE(MID($A$2:$A$2000,4,2)),0)=MONTH(C616))*(IFERROR(VALUE(RIGHT($A$2:$A$2000,4)),0)=YEAR(C616)))),""))</f>
        <v/>
      </c>
      <c r="E616" s="62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4" t="inlineStr">
        <is>
          <t>19/09/2014</t>
        </is>
      </c>
      <c r="B617" s="31" t="n">
        <v>2.6019</v>
      </c>
      <c r="C617" s="69" t="n"/>
      <c r="D617" s="70">
        <f t="array" ref="D617">IF(C617="","",IFERROR(AVERAGE(_xlfn._xlws.FILTER($B$2:$B$2000,(IFERROR(VALUE(MID($A$2:$A$2000,4,2)),0)=MONTH(C617))*(IFERROR(VALUE(RIGHT($A$2:$A$2000,4)),0)=YEAR(C617)))),""))</f>
        <v/>
      </c>
      <c r="E617" s="62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4" t="inlineStr">
        <is>
          <t>26/09/2014</t>
        </is>
      </c>
      <c r="B618" s="31" t="n">
        <v>2.5285</v>
      </c>
      <c r="C618" s="69" t="n"/>
      <c r="D618" s="70">
        <f t="array" ref="D618">IF(C618="","",IFERROR(AVERAGE(_xlfn._xlws.FILTER($B$2:$B$2000,(IFERROR(VALUE(MID($A$2:$A$2000,4,2)),0)=MONTH(C618))*(IFERROR(VALUE(RIGHT($A$2:$A$2000,4)),0)=YEAR(C618)))),""))</f>
        <v/>
      </c>
      <c r="E618" s="62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4" t="inlineStr">
        <is>
          <t>03/10/2014</t>
        </is>
      </c>
      <c r="B619" s="31" t="n">
        <v>2.4727</v>
      </c>
      <c r="C619" s="69" t="n"/>
      <c r="D619" s="70">
        <f t="array" ref="D619">IF(C619="","",IFERROR(AVERAGE(_xlfn._xlws.FILTER($B$2:$B$2000,(IFERROR(VALUE(MID($A$2:$A$2000,4,2)),0)=MONTH(C619))*(IFERROR(VALUE(RIGHT($A$2:$A$2000,4)),0)=YEAR(C619)))),""))</f>
        <v/>
      </c>
      <c r="E619" s="62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4" t="inlineStr">
        <is>
          <t>10/10/2014</t>
        </is>
      </c>
      <c r="B620" s="31" t="n">
        <v>2.4591</v>
      </c>
      <c r="C620" s="69" t="n"/>
      <c r="D620" s="70">
        <f t="array" ref="D620">IF(C620="","",IFERROR(AVERAGE(_xlfn._xlws.FILTER($B$2:$B$2000,(IFERROR(VALUE(MID($A$2:$A$2000,4,2)),0)=MONTH(C620))*(IFERROR(VALUE(RIGHT($A$2:$A$2000,4)),0)=YEAR(C620)))),""))</f>
        <v/>
      </c>
      <c r="E620" s="62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4" t="inlineStr">
        <is>
          <t>17/10/2014</t>
        </is>
      </c>
      <c r="B621" s="31" t="n">
        <v>2.4688</v>
      </c>
      <c r="C621" s="69" t="n"/>
      <c r="D621" s="70">
        <f t="array" ref="D621">IF(C621="","",IFERROR(AVERAGE(_xlfn._xlws.FILTER($B$2:$B$2000,(IFERROR(VALUE(MID($A$2:$A$2000,4,2)),0)=MONTH(C621))*(IFERROR(VALUE(RIGHT($A$2:$A$2000,4)),0)=YEAR(C621)))),""))</f>
        <v/>
      </c>
      <c r="E621" s="62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4" t="inlineStr">
        <is>
          <t>24/10/2014</t>
        </is>
      </c>
      <c r="B622" s="31" t="n">
        <v>2.4509</v>
      </c>
      <c r="C622" s="69" t="n"/>
      <c r="D622" s="70">
        <f t="array" ref="D622">IF(C622="","",IFERROR(AVERAGE(_xlfn._xlws.FILTER($B$2:$B$2000,(IFERROR(VALUE(MID($A$2:$A$2000,4,2)),0)=MONTH(C622))*(IFERROR(VALUE(RIGHT($A$2:$A$2000,4)),0)=YEAR(C622)))),""))</f>
        <v/>
      </c>
      <c r="E622" s="62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4" t="inlineStr">
        <is>
          <t>31/10/2014</t>
        </is>
      </c>
      <c r="B623" s="31" t="n">
        <v>2.4403</v>
      </c>
      <c r="C623" s="69" t="n"/>
      <c r="D623" s="70">
        <f t="array" ref="D623">IF(C623="","",IFERROR(AVERAGE(_xlfn._xlws.FILTER($B$2:$B$2000,(IFERROR(VALUE(MID($A$2:$A$2000,4,2)),0)=MONTH(C623))*(IFERROR(VALUE(RIGHT($A$2:$A$2000,4)),0)=YEAR(C623)))),""))</f>
        <v/>
      </c>
      <c r="E623" s="62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4" t="inlineStr">
        <is>
          <t>07/11/2014</t>
        </is>
      </c>
      <c r="B624" s="31" t="n">
        <v>2.5333</v>
      </c>
      <c r="C624" s="69" t="n"/>
      <c r="D624" s="70">
        <f t="array" ref="D624">IF(C624="","",IFERROR(AVERAGE(_xlfn._xlws.FILTER($B$2:$B$2000,(IFERROR(VALUE(MID($A$2:$A$2000,4,2)),0)=MONTH(C624))*(IFERROR(VALUE(RIGHT($A$2:$A$2000,4)),0)=YEAR(C624)))),""))</f>
        <v/>
      </c>
      <c r="E624" s="62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4" t="inlineStr">
        <is>
          <t>14/11/2014</t>
        </is>
      </c>
      <c r="B625" s="31" t="n">
        <v>2.6133</v>
      </c>
      <c r="C625" s="69" t="n"/>
      <c r="D625" s="70">
        <f t="array" ref="D625">IF(C625="","",IFERROR(AVERAGE(_xlfn._xlws.FILTER($B$2:$B$2000,(IFERROR(VALUE(MID($A$2:$A$2000,4,2)),0)=MONTH(C625))*(IFERROR(VALUE(RIGHT($A$2:$A$2000,4)),0)=YEAR(C625)))),""))</f>
        <v/>
      </c>
      <c r="E625" s="62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4" t="inlineStr">
        <is>
          <t>21/11/2014</t>
        </is>
      </c>
      <c r="B626" s="31" t="n">
        <v>2.6178</v>
      </c>
      <c r="C626" s="69" t="n"/>
      <c r="D626" s="70">
        <f t="array" ref="D626">IF(C626="","",IFERROR(AVERAGE(_xlfn._xlws.FILTER($B$2:$B$2000,(IFERROR(VALUE(MID($A$2:$A$2000,4,2)),0)=MONTH(C626))*(IFERROR(VALUE(RIGHT($A$2:$A$2000,4)),0)=YEAR(C626)))),""))</f>
        <v/>
      </c>
      <c r="E626" s="62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4" t="inlineStr">
        <is>
          <t>28/11/2014</t>
        </is>
      </c>
      <c r="B627" s="31" t="n">
        <v>2.6338</v>
      </c>
      <c r="C627" s="69" t="n"/>
      <c r="D627" s="70">
        <f t="array" ref="D627">IF(C627="","",IFERROR(AVERAGE(_xlfn._xlws.FILTER($B$2:$B$2000,(IFERROR(VALUE(MID($A$2:$A$2000,4,2)),0)=MONTH(C627))*(IFERROR(VALUE(RIGHT($A$2:$A$2000,4)),0)=YEAR(C627)))),""))</f>
        <v/>
      </c>
      <c r="E627" s="62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4" t="inlineStr">
        <is>
          <t>05/12/2014</t>
        </is>
      </c>
      <c r="B628" s="31" t="n">
        <v>2.6845</v>
      </c>
      <c r="C628" s="69" t="n"/>
      <c r="D628" s="70">
        <f t="array" ref="D628">IF(C628="","",IFERROR(AVERAGE(_xlfn._xlws.FILTER($B$2:$B$2000,(IFERROR(VALUE(MID($A$2:$A$2000,4,2)),0)=MONTH(C628))*(IFERROR(VALUE(RIGHT($A$2:$A$2000,4)),0)=YEAR(C628)))),""))</f>
        <v/>
      </c>
      <c r="E628" s="62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4" t="inlineStr">
        <is>
          <t>12/12/2014</t>
        </is>
      </c>
      <c r="B629" s="31" t="n">
        <v>2.6881</v>
      </c>
      <c r="C629" s="69" t="n"/>
      <c r="D629" s="70">
        <f t="array" ref="D629">IF(C629="","",IFERROR(AVERAGE(_xlfn._xlws.FILTER($B$2:$B$2000,(IFERROR(VALUE(MID($A$2:$A$2000,4,2)),0)=MONTH(C629))*(IFERROR(VALUE(RIGHT($A$2:$A$2000,4)),0)=YEAR(C629)))),""))</f>
        <v/>
      </c>
      <c r="E629" s="62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4" t="inlineStr">
        <is>
          <t>19/12/2014</t>
        </is>
      </c>
      <c r="B630" s="31" t="n">
        <v>2.6883</v>
      </c>
      <c r="C630" s="69" t="n"/>
      <c r="D630" s="70">
        <f t="array" ref="D630">IF(C630="","",IFERROR(AVERAGE(_xlfn._xlws.FILTER($B$2:$B$2000,(IFERROR(VALUE(MID($A$2:$A$2000,4,2)),0)=MONTH(C630))*(IFERROR(VALUE(RIGHT($A$2:$A$2000,4)),0)=YEAR(C630)))),""))</f>
        <v/>
      </c>
      <c r="E630" s="62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4" t="inlineStr">
        <is>
          <t>26/12/2014</t>
        </is>
      </c>
      <c r="B631" s="31" t="n">
        <v>2.7174</v>
      </c>
      <c r="C631" s="69" t="n"/>
      <c r="D631" s="70">
        <f t="array" ref="D631">IF(C631="","",IFERROR(AVERAGE(_xlfn._xlws.FILTER($B$2:$B$2000,(IFERROR(VALUE(MID($A$2:$A$2000,4,2)),0)=MONTH(C631))*(IFERROR(VALUE(RIGHT($A$2:$A$2000,4)),0)=YEAR(C631)))),""))</f>
        <v/>
      </c>
      <c r="E631" s="62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4" t="inlineStr">
        <is>
          <t>02/01/2015</t>
        </is>
      </c>
      <c r="B632" s="31" t="n">
        <v>2.6992</v>
      </c>
      <c r="C632" s="69" t="n"/>
      <c r="D632" s="70">
        <f t="array" ref="D632">IF(C632="","",IFERROR(AVERAGE(_xlfn._xlws.FILTER($B$2:$B$2000,(IFERROR(VALUE(MID($A$2:$A$2000,4,2)),0)=MONTH(C632))*(IFERROR(VALUE(RIGHT($A$2:$A$2000,4)),0)=YEAR(C632)))),""))</f>
        <v/>
      </c>
      <c r="E632" s="62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4" t="inlineStr">
        <is>
          <t>09/01/2015</t>
        </is>
      </c>
      <c r="B633" s="31" t="n">
        <v>2.7036</v>
      </c>
      <c r="C633" s="69" t="n"/>
      <c r="D633" s="70">
        <f t="array" ref="D633">IF(C633="","",IFERROR(AVERAGE(_xlfn._xlws.FILTER($B$2:$B$2000,(IFERROR(VALUE(MID($A$2:$A$2000,4,2)),0)=MONTH(C633))*(IFERROR(VALUE(RIGHT($A$2:$A$2000,4)),0)=YEAR(C633)))),""))</f>
        <v/>
      </c>
      <c r="E633" s="62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4" t="inlineStr">
        <is>
          <t>16/01/2015</t>
        </is>
      </c>
      <c r="B634" s="31" t="n">
        <v>2.7013</v>
      </c>
      <c r="C634" s="69" t="n"/>
      <c r="D634" s="70">
        <f t="array" ref="D634">IF(C634="","",IFERROR(AVERAGE(_xlfn._xlws.FILTER($B$2:$B$2000,(IFERROR(VALUE(MID($A$2:$A$2000,4,2)),0)=MONTH(C634))*(IFERROR(VALUE(RIGHT($A$2:$A$2000,4)),0)=YEAR(C634)))),""))</f>
        <v/>
      </c>
      <c r="E634" s="62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4" t="inlineStr">
        <is>
          <t>23/01/2015</t>
        </is>
      </c>
      <c r="B635" s="31" t="n">
        <v>2.8693</v>
      </c>
      <c r="C635" s="69" t="n"/>
      <c r="D635" s="70">
        <f t="array" ref="D635">IF(C635="","",IFERROR(AVERAGE(_xlfn._xlws.FILTER($B$2:$B$2000,(IFERROR(VALUE(MID($A$2:$A$2000,4,2)),0)=MONTH(C635))*(IFERROR(VALUE(RIGHT($A$2:$A$2000,4)),0)=YEAR(C635)))),""))</f>
        <v/>
      </c>
      <c r="E635" s="62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4" t="inlineStr">
        <is>
          <t>30/01/2015</t>
        </is>
      </c>
      <c r="B636" s="31" t="n">
        <v>2.9244</v>
      </c>
      <c r="C636" s="69" t="n"/>
      <c r="D636" s="70">
        <f t="array" ref="D636">IF(C636="","",IFERROR(AVERAGE(_xlfn._xlws.FILTER($B$2:$B$2000,(IFERROR(VALUE(MID($A$2:$A$2000,4,2)),0)=MONTH(C636))*(IFERROR(VALUE(RIGHT($A$2:$A$2000,4)),0)=YEAR(C636)))),""))</f>
        <v/>
      </c>
      <c r="E636" s="62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4" t="inlineStr">
        <is>
          <t>06/02/2015</t>
        </is>
      </c>
      <c r="B637" s="31" t="n">
        <v>2.9749</v>
      </c>
      <c r="C637" s="69" t="n"/>
      <c r="D637" s="70">
        <f t="array" ref="D637">IF(C637="","",IFERROR(AVERAGE(_xlfn._xlws.FILTER($B$2:$B$2000,(IFERROR(VALUE(MID($A$2:$A$2000,4,2)),0)=MONTH(C637))*(IFERROR(VALUE(RIGHT($A$2:$A$2000,4)),0)=YEAR(C637)))),""))</f>
        <v/>
      </c>
      <c r="E637" s="62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4" t="inlineStr">
        <is>
          <t>13/02/2015</t>
        </is>
      </c>
      <c r="B638" s="31" t="n">
        <v>2.9276</v>
      </c>
      <c r="C638" s="69" t="n"/>
      <c r="D638" s="70">
        <f t="array" ref="D638">IF(C638="","",IFERROR(AVERAGE(_xlfn._xlws.FILTER($B$2:$B$2000,(IFERROR(VALUE(MID($A$2:$A$2000,4,2)),0)=MONTH(C638))*(IFERROR(VALUE(RIGHT($A$2:$A$2000,4)),0)=YEAR(C638)))),""))</f>
        <v/>
      </c>
      <c r="E638" s="62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4" t="inlineStr">
        <is>
          <t>20/02/2015</t>
        </is>
      </c>
      <c r="B639" s="31" t="n">
        <v>2.9131</v>
      </c>
      <c r="C639" s="69" t="n"/>
      <c r="D639" s="70">
        <f t="array" ref="D639">IF(C639="","",IFERROR(AVERAGE(_xlfn._xlws.FILTER($B$2:$B$2000,(IFERROR(VALUE(MID($A$2:$A$2000,4,2)),0)=MONTH(C639))*(IFERROR(VALUE(RIGHT($A$2:$A$2000,4)),0)=YEAR(C639)))),""))</f>
        <v/>
      </c>
      <c r="E639" s="62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4" t="inlineStr">
        <is>
          <t>27/02/2015</t>
        </is>
      </c>
      <c r="B640" s="31" t="n">
        <v>2.7697</v>
      </c>
      <c r="C640" s="69" t="n"/>
      <c r="D640" s="70">
        <f t="array" ref="D640">IF(C640="","",IFERROR(AVERAGE(_xlfn._xlws.FILTER($B$2:$B$2000,(IFERROR(VALUE(MID($A$2:$A$2000,4,2)),0)=MONTH(C640))*(IFERROR(VALUE(RIGHT($A$2:$A$2000,4)),0)=YEAR(C640)))),""))</f>
        <v/>
      </c>
      <c r="E640" s="62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4" t="inlineStr">
        <is>
          <t>06/03/2015</t>
        </is>
      </c>
      <c r="B641" s="31" t="n">
        <v>2.6706</v>
      </c>
      <c r="C641" s="69" t="n"/>
      <c r="D641" s="70">
        <f t="array" ref="D641">IF(C641="","",IFERROR(AVERAGE(_xlfn._xlws.FILTER($B$2:$B$2000,(IFERROR(VALUE(MID($A$2:$A$2000,4,2)),0)=MONTH(C641))*(IFERROR(VALUE(RIGHT($A$2:$A$2000,4)),0)=YEAR(C641)))),""))</f>
        <v/>
      </c>
      <c r="E641" s="62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4" t="inlineStr">
        <is>
          <t>13/03/2015</t>
        </is>
      </c>
      <c r="B642" s="31" t="n">
        <v>2.6535</v>
      </c>
      <c r="C642" s="69" t="n"/>
      <c r="D642" s="70">
        <f t="array" ref="D642">IF(C642="","",IFERROR(AVERAGE(_xlfn._xlws.FILTER($B$2:$B$2000,(IFERROR(VALUE(MID($A$2:$A$2000,4,2)),0)=MONTH(C642))*(IFERROR(VALUE(RIGHT($A$2:$A$2000,4)),0)=YEAR(C642)))),""))</f>
        <v/>
      </c>
      <c r="E642" s="62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4" t="inlineStr">
        <is>
          <t>20/03/2015</t>
        </is>
      </c>
      <c r="B643" s="31" t="n">
        <v>2.5382</v>
      </c>
      <c r="C643" s="69" t="n"/>
      <c r="D643" s="70">
        <f t="array" ref="D643">IF(C643="","",IFERROR(AVERAGE(_xlfn._xlws.FILTER($B$2:$B$2000,(IFERROR(VALUE(MID($A$2:$A$2000,4,2)),0)=MONTH(C643))*(IFERROR(VALUE(RIGHT($A$2:$A$2000,4)),0)=YEAR(C643)))),""))</f>
        <v/>
      </c>
      <c r="E643" s="62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4" t="inlineStr">
        <is>
          <t>27/03/2015</t>
        </is>
      </c>
      <c r="B644" s="31" t="n">
        <v>2.6406</v>
      </c>
      <c r="C644" s="69" t="n"/>
      <c r="D644" s="70">
        <f t="array" ref="D644">IF(C644="","",IFERROR(AVERAGE(_xlfn._xlws.FILTER($B$2:$B$2000,(IFERROR(VALUE(MID($A$2:$A$2000,4,2)),0)=MONTH(C644))*(IFERROR(VALUE(RIGHT($A$2:$A$2000,4)),0)=YEAR(C644)))),""))</f>
        <v/>
      </c>
      <c r="E644" s="62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4" t="inlineStr">
        <is>
          <t>02/04/2015</t>
        </is>
      </c>
      <c r="B645" s="31" t="n">
        <v>2.5907</v>
      </c>
      <c r="C645" s="69" t="n"/>
      <c r="D645" s="70">
        <f t="array" ref="D645">IF(C645="","",IFERROR(AVERAGE(_xlfn._xlws.FILTER($B$2:$B$2000,(IFERROR(VALUE(MID($A$2:$A$2000,4,2)),0)=MONTH(C645))*(IFERROR(VALUE(RIGHT($A$2:$A$2000,4)),0)=YEAR(C645)))),""))</f>
        <v/>
      </c>
      <c r="E645" s="62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4" t="inlineStr">
        <is>
          <t>10/04/2015</t>
        </is>
      </c>
      <c r="B646" s="31" t="n">
        <v>2.5864</v>
      </c>
      <c r="C646" s="69" t="n"/>
      <c r="D646" s="70">
        <f t="array" ref="D646">IF(C646="","",IFERROR(AVERAGE(_xlfn._xlws.FILTER($B$2:$B$2000,(IFERROR(VALUE(MID($A$2:$A$2000,4,2)),0)=MONTH(C646))*(IFERROR(VALUE(RIGHT($A$2:$A$2000,4)),0)=YEAR(C646)))),""))</f>
        <v/>
      </c>
      <c r="E646" s="62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4" t="inlineStr">
        <is>
          <t>17/04/2015</t>
        </is>
      </c>
      <c r="B647" s="31" t="n">
        <v>2.599</v>
      </c>
      <c r="C647" s="69" t="n"/>
      <c r="D647" s="70">
        <f t="array" ref="D647">IF(C647="","",IFERROR(AVERAGE(_xlfn._xlws.FILTER($B$2:$B$2000,(IFERROR(VALUE(MID($A$2:$A$2000,4,2)),0)=MONTH(C647))*(IFERROR(VALUE(RIGHT($A$2:$A$2000,4)),0)=YEAR(C647)))),""))</f>
        <v/>
      </c>
      <c r="E647" s="62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4" t="inlineStr">
        <is>
          <t>24/04/2015</t>
        </is>
      </c>
      <c r="B648" s="31" t="n">
        <v>2.6144</v>
      </c>
      <c r="C648" s="69" t="n"/>
      <c r="D648" s="70">
        <f t="array" ref="D648">IF(C648="","",IFERROR(AVERAGE(_xlfn._xlws.FILTER($B$2:$B$2000,(IFERROR(VALUE(MID($A$2:$A$2000,4,2)),0)=MONTH(C648))*(IFERROR(VALUE(RIGHT($A$2:$A$2000,4)),0)=YEAR(C648)))),""))</f>
        <v/>
      </c>
      <c r="E648" s="62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4" t="inlineStr">
        <is>
          <t>30/04/2015</t>
        </is>
      </c>
      <c r="B649" s="31" t="n">
        <v>2.5959</v>
      </c>
      <c r="C649" s="69" t="n"/>
      <c r="D649" s="70">
        <f t="array" ref="D649">IF(C649="","",IFERROR(AVERAGE(_xlfn._xlws.FILTER($B$2:$B$2000,(IFERROR(VALUE(MID($A$2:$A$2000,4,2)),0)=MONTH(C649))*(IFERROR(VALUE(RIGHT($A$2:$A$2000,4)),0)=YEAR(C649)))),""))</f>
        <v/>
      </c>
      <c r="E649" s="62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4" t="inlineStr">
        <is>
          <t>08/05/2015</t>
        </is>
      </c>
      <c r="B650" s="31" t="n">
        <v>2.5236</v>
      </c>
      <c r="C650" s="69" t="n"/>
      <c r="D650" s="70">
        <f t="array" ref="D650">IF(C650="","",IFERROR(AVERAGE(_xlfn._xlws.FILTER($B$2:$B$2000,(IFERROR(VALUE(MID($A$2:$A$2000,4,2)),0)=MONTH(C650))*(IFERROR(VALUE(RIGHT($A$2:$A$2000,4)),0)=YEAR(C650)))),""))</f>
        <v/>
      </c>
      <c r="E650" s="62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4" t="inlineStr">
        <is>
          <t>15/05/2015</t>
        </is>
      </c>
      <c r="B651" s="31" t="n">
        <v>2.5273</v>
      </c>
      <c r="C651" s="69" t="n"/>
      <c r="D651" s="70">
        <f t="array" ref="D651">IF(C651="","",IFERROR(AVERAGE(_xlfn._xlws.FILTER($B$2:$B$2000,(IFERROR(VALUE(MID($A$2:$A$2000,4,2)),0)=MONTH(C651))*(IFERROR(VALUE(RIGHT($A$2:$A$2000,4)),0)=YEAR(C651)))),""))</f>
        <v/>
      </c>
      <c r="E651" s="62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4" t="inlineStr">
        <is>
          <t>22/05/2015</t>
        </is>
      </c>
      <c r="B652" s="31" t="n">
        <v>2.5066</v>
      </c>
      <c r="C652" s="69" t="n"/>
      <c r="D652" s="70">
        <f t="array" ref="D652">IF(C652="","",IFERROR(AVERAGE(_xlfn._xlws.FILTER($B$2:$B$2000,(IFERROR(VALUE(MID($A$2:$A$2000,4,2)),0)=MONTH(C652))*(IFERROR(VALUE(RIGHT($A$2:$A$2000,4)),0)=YEAR(C652)))),""))</f>
        <v/>
      </c>
      <c r="E652" s="62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4" t="inlineStr">
        <is>
          <t>29/05/2015</t>
        </is>
      </c>
      <c r="B653" s="31" t="n">
        <v>2.4726</v>
      </c>
      <c r="C653" s="69" t="n"/>
      <c r="D653" s="70">
        <f t="array" ref="D653">IF(C653="","",IFERROR(AVERAGE(_xlfn._xlws.FILTER($B$2:$B$2000,(IFERROR(VALUE(MID($A$2:$A$2000,4,2)),0)=MONTH(C653))*(IFERROR(VALUE(RIGHT($A$2:$A$2000,4)),0)=YEAR(C653)))),""))</f>
        <v/>
      </c>
      <c r="E653" s="62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4" t="inlineStr">
        <is>
          <t>05/06/2015</t>
        </is>
      </c>
      <c r="B654" s="31" t="n">
        <v>2.5233</v>
      </c>
      <c r="C654" s="69" t="n"/>
      <c r="D654" s="70">
        <f t="array" ref="D654">IF(C654="","",IFERROR(AVERAGE(_xlfn._xlws.FILTER($B$2:$B$2000,(IFERROR(VALUE(MID($A$2:$A$2000,4,2)),0)=MONTH(C654))*(IFERROR(VALUE(RIGHT($A$2:$A$2000,4)),0)=YEAR(C654)))),""))</f>
        <v/>
      </c>
      <c r="E654" s="62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4" t="inlineStr">
        <is>
          <t>12/06/2015</t>
        </is>
      </c>
      <c r="B655" s="31" t="n">
        <v>2.4962</v>
      </c>
      <c r="C655" s="69" t="n"/>
      <c r="D655" s="70">
        <f t="array" ref="D655">IF(C655="","",IFERROR(AVERAGE(_xlfn._xlws.FILTER($B$2:$B$2000,(IFERROR(VALUE(MID($A$2:$A$2000,4,2)),0)=MONTH(C655))*(IFERROR(VALUE(RIGHT($A$2:$A$2000,4)),0)=YEAR(C655)))),""))</f>
        <v/>
      </c>
      <c r="E655" s="62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4" t="inlineStr">
        <is>
          <t>19/06/2015</t>
        </is>
      </c>
      <c r="B656" s="31" t="n">
        <v>2.4834</v>
      </c>
      <c r="C656" s="69" t="n"/>
      <c r="D656" s="70">
        <f t="array" ref="D656">IF(C656="","",IFERROR(AVERAGE(_xlfn._xlws.FILTER($B$2:$B$2000,(IFERROR(VALUE(MID($A$2:$A$2000,4,2)),0)=MONTH(C656))*(IFERROR(VALUE(RIGHT($A$2:$A$2000,4)),0)=YEAR(C656)))),""))</f>
        <v/>
      </c>
      <c r="E656" s="62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4" t="inlineStr">
        <is>
          <t>26/06/2015</t>
        </is>
      </c>
      <c r="B657" s="31" t="n">
        <v>2.4203</v>
      </c>
      <c r="C657" s="69" t="n"/>
      <c r="D657" s="70">
        <f t="array" ref="D657">IF(C657="","",IFERROR(AVERAGE(_xlfn._xlws.FILTER($B$2:$B$2000,(IFERROR(VALUE(MID($A$2:$A$2000,4,2)),0)=MONTH(C657))*(IFERROR(VALUE(RIGHT($A$2:$A$2000,4)),0)=YEAR(C657)))),""))</f>
        <v/>
      </c>
      <c r="E657" s="62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4" t="inlineStr">
        <is>
          <t>03/07/2015</t>
        </is>
      </c>
      <c r="B658" s="31" t="n">
        <v>2.3895</v>
      </c>
      <c r="C658" s="69" t="n"/>
      <c r="D658" s="70">
        <f t="array" ref="D658">IF(C658="","",IFERROR(AVERAGE(_xlfn._xlws.FILTER($B$2:$B$2000,(IFERROR(VALUE(MID($A$2:$A$2000,4,2)),0)=MONTH(C658))*(IFERROR(VALUE(RIGHT($A$2:$A$2000,4)),0)=YEAR(C658)))),""))</f>
        <v/>
      </c>
      <c r="E658" s="62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4" t="inlineStr">
        <is>
          <t>10/07/2015</t>
        </is>
      </c>
      <c r="B659" s="31" t="n">
        <v>2.4854</v>
      </c>
      <c r="C659" s="69" t="n"/>
      <c r="D659" s="70">
        <f t="array" ref="D659">IF(C659="","",IFERROR(AVERAGE(_xlfn._xlws.FILTER($B$2:$B$2000,(IFERROR(VALUE(MID($A$2:$A$2000,4,2)),0)=MONTH(C659))*(IFERROR(VALUE(RIGHT($A$2:$A$2000,4)),0)=YEAR(C659)))),""))</f>
        <v/>
      </c>
      <c r="E659" s="62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4" t="inlineStr">
        <is>
          <t>17/07/2015</t>
        </is>
      </c>
      <c r="B660" s="31" t="n">
        <v>2.4496</v>
      </c>
      <c r="C660" s="69" t="n"/>
      <c r="D660" s="70">
        <f t="array" ref="D660">IF(C660="","",IFERROR(AVERAGE(_xlfn._xlws.FILTER($B$2:$B$2000,(IFERROR(VALUE(MID($A$2:$A$2000,4,2)),0)=MONTH(C660))*(IFERROR(VALUE(RIGHT($A$2:$A$2000,4)),0)=YEAR(C660)))),""))</f>
        <v/>
      </c>
      <c r="E660" s="62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4" t="inlineStr">
        <is>
          <t>24/07/2015</t>
        </is>
      </c>
      <c r="B661" s="31" t="n">
        <v>2.4114</v>
      </c>
      <c r="C661" s="69" t="n"/>
      <c r="D661" s="70">
        <f t="array" ref="D661">IF(C661="","",IFERROR(AVERAGE(_xlfn._xlws.FILTER($B$2:$B$2000,(IFERROR(VALUE(MID($A$2:$A$2000,4,2)),0)=MONTH(C661))*(IFERROR(VALUE(RIGHT($A$2:$A$2000,4)),0)=YEAR(C661)))),""))</f>
        <v/>
      </c>
      <c r="E661" s="62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4" t="inlineStr">
        <is>
          <t>31/07/2015</t>
        </is>
      </c>
      <c r="B662" s="31" t="n">
        <v>2.3845</v>
      </c>
      <c r="C662" s="69" t="n"/>
      <c r="D662" s="70">
        <f t="array" ref="D662">IF(C662="","",IFERROR(AVERAGE(_xlfn._xlws.FILTER($B$2:$B$2000,(IFERROR(VALUE(MID($A$2:$A$2000,4,2)),0)=MONTH(C662))*(IFERROR(VALUE(RIGHT($A$2:$A$2000,4)),0)=YEAR(C662)))),""))</f>
        <v/>
      </c>
      <c r="E662" s="62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4" t="inlineStr">
        <is>
          <t>07/08/2015</t>
        </is>
      </c>
      <c r="B663" s="31" t="n">
        <v>2.3788</v>
      </c>
      <c r="C663" s="69" t="n"/>
      <c r="D663" s="70">
        <f t="array" ref="D663">IF(C663="","",IFERROR(AVERAGE(_xlfn._xlws.FILTER($B$2:$B$2000,(IFERROR(VALUE(MID($A$2:$A$2000,4,2)),0)=MONTH(C663))*(IFERROR(VALUE(RIGHT($A$2:$A$2000,4)),0)=YEAR(C663)))),""))</f>
        <v/>
      </c>
      <c r="E663" s="62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4" t="inlineStr">
        <is>
          <t>14/08/2015</t>
        </is>
      </c>
      <c r="B664" s="31" t="n">
        <v>2.3692</v>
      </c>
      <c r="C664" s="69" t="n"/>
      <c r="D664" s="70">
        <f t="array" ref="D664">IF(C664="","",IFERROR(AVERAGE(_xlfn._xlws.FILTER($B$2:$B$2000,(IFERROR(VALUE(MID($A$2:$A$2000,4,2)),0)=MONTH(C664))*(IFERROR(VALUE(RIGHT($A$2:$A$2000,4)),0)=YEAR(C664)))),""))</f>
        <v/>
      </c>
      <c r="E664" s="62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4" t="inlineStr">
        <is>
          <t>21/08/2015</t>
        </is>
      </c>
      <c r="B665" s="31" t="n">
        <v>2.3474</v>
      </c>
      <c r="C665" s="69" t="n"/>
      <c r="D665" s="70">
        <f t="array" ref="D665">IF(C665="","",IFERROR(AVERAGE(_xlfn._xlws.FILTER($B$2:$B$2000,(IFERROR(VALUE(MID($A$2:$A$2000,4,2)),0)=MONTH(C665))*(IFERROR(VALUE(RIGHT($A$2:$A$2000,4)),0)=YEAR(C665)))),""))</f>
        <v/>
      </c>
      <c r="E665" s="62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4" t="inlineStr">
        <is>
          <t>28/08/2015</t>
        </is>
      </c>
      <c r="B666" s="31" t="n">
        <v>2.373</v>
      </c>
      <c r="C666" s="69" t="n"/>
      <c r="D666" s="70">
        <f t="array" ref="D666">IF(C666="","",IFERROR(AVERAGE(_xlfn._xlws.FILTER($B$2:$B$2000,(IFERROR(VALUE(MID($A$2:$A$2000,4,2)),0)=MONTH(C666))*(IFERROR(VALUE(RIGHT($A$2:$A$2000,4)),0)=YEAR(C666)))),""))</f>
        <v/>
      </c>
      <c r="E666" s="62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4" t="inlineStr">
        <is>
          <t>04/09/2015</t>
        </is>
      </c>
      <c r="B667" s="31" t="n">
        <v>2.3754</v>
      </c>
      <c r="C667" s="69" t="n"/>
      <c r="D667" s="70">
        <f t="array" ref="D667">IF(C667="","",IFERROR(AVERAGE(_xlfn._xlws.FILTER($B$2:$B$2000,(IFERROR(VALUE(MID($A$2:$A$2000,4,2)),0)=MONTH(C667))*(IFERROR(VALUE(RIGHT($A$2:$A$2000,4)),0)=YEAR(C667)))),""))</f>
        <v/>
      </c>
      <c r="E667" s="62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4" t="inlineStr">
        <is>
          <t>11/09/2015</t>
        </is>
      </c>
      <c r="B668" s="31" t="n">
        <v>2.5116</v>
      </c>
      <c r="C668" s="69" t="n"/>
      <c r="D668" s="70">
        <f t="array" ref="D668">IF(C668="","",IFERROR(AVERAGE(_xlfn._xlws.FILTER($B$2:$B$2000,(IFERROR(VALUE(MID($A$2:$A$2000,4,2)),0)=MONTH(C668))*(IFERROR(VALUE(RIGHT($A$2:$A$2000,4)),0)=YEAR(C668)))),""))</f>
        <v/>
      </c>
      <c r="E668" s="62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4" t="inlineStr">
        <is>
          <t>18/09/2015</t>
        </is>
      </c>
      <c r="B669" s="31" t="n">
        <v>2.5947</v>
      </c>
      <c r="C669" s="69" t="n"/>
      <c r="D669" s="70">
        <f t="array" ref="D669">IF(C669="","",IFERROR(AVERAGE(_xlfn._xlws.FILTER($B$2:$B$2000,(IFERROR(VALUE(MID($A$2:$A$2000,4,2)),0)=MONTH(C669))*(IFERROR(VALUE(RIGHT($A$2:$A$2000,4)),0)=YEAR(C669)))),""))</f>
        <v/>
      </c>
      <c r="E669" s="62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4" t="inlineStr">
        <is>
          <t>25/09/2015</t>
        </is>
      </c>
      <c r="B670" s="31" t="n">
        <v>2.5967</v>
      </c>
      <c r="C670" s="69" t="n"/>
      <c r="D670" s="70">
        <f t="array" ref="D670">IF(C670="","",IFERROR(AVERAGE(_xlfn._xlws.FILTER($B$2:$B$2000,(IFERROR(VALUE(MID($A$2:$A$2000,4,2)),0)=MONTH(C670))*(IFERROR(VALUE(RIGHT($A$2:$A$2000,4)),0)=YEAR(C670)))),""))</f>
        <v/>
      </c>
      <c r="E670" s="62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4" t="inlineStr">
        <is>
          <t>02/10/2015</t>
        </is>
      </c>
      <c r="B671" s="31" t="n">
        <v>2.862</v>
      </c>
      <c r="C671" s="69" t="n"/>
      <c r="D671" s="70">
        <f t="array" ref="D671">IF(C671="","",IFERROR(AVERAGE(_xlfn._xlws.FILTER($B$2:$B$2000,(IFERROR(VALUE(MID($A$2:$A$2000,4,2)),0)=MONTH(C671))*(IFERROR(VALUE(RIGHT($A$2:$A$2000,4)),0)=YEAR(C671)))),""))</f>
        <v/>
      </c>
      <c r="E671" s="62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4" t="inlineStr">
        <is>
          <t>09/10/2015</t>
        </is>
      </c>
      <c r="B672" s="31" t="n">
        <v>2.9816</v>
      </c>
      <c r="C672" s="69" t="n"/>
      <c r="D672" s="70">
        <f t="array" ref="D672">IF(C672="","",IFERROR(AVERAGE(_xlfn._xlws.FILTER($B$2:$B$2000,(IFERROR(VALUE(MID($A$2:$A$2000,4,2)),0)=MONTH(C672))*(IFERROR(VALUE(RIGHT($A$2:$A$2000,4)),0)=YEAR(C672)))),""))</f>
        <v/>
      </c>
      <c r="E672" s="62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4" t="inlineStr">
        <is>
          <t>16/10/2015</t>
        </is>
      </c>
      <c r="B673" s="31" t="n">
        <v>2.9981</v>
      </c>
      <c r="C673" s="69" t="n"/>
      <c r="D673" s="70">
        <f t="array" ref="D673">IF(C673="","",IFERROR(AVERAGE(_xlfn._xlws.FILTER($B$2:$B$2000,(IFERROR(VALUE(MID($A$2:$A$2000,4,2)),0)=MONTH(C673))*(IFERROR(VALUE(RIGHT($A$2:$A$2000,4)),0)=YEAR(C673)))),""))</f>
        <v/>
      </c>
      <c r="E673" s="62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4" t="inlineStr">
        <is>
          <t>23/10/2015</t>
        </is>
      </c>
      <c r="B674" s="31" t="n">
        <v>3.0288</v>
      </c>
      <c r="C674" s="69" t="n"/>
      <c r="D674" s="70">
        <f t="array" ref="D674">IF(C674="","",IFERROR(AVERAGE(_xlfn._xlws.FILTER($B$2:$B$2000,(IFERROR(VALUE(MID($A$2:$A$2000,4,2)),0)=MONTH(C674))*(IFERROR(VALUE(RIGHT($A$2:$A$2000,4)),0)=YEAR(C674)))),""))</f>
        <v/>
      </c>
      <c r="E674" s="62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4" t="inlineStr">
        <is>
          <t>30/10/2015</t>
        </is>
      </c>
      <c r="B675" s="31" t="n">
        <v>3.1723</v>
      </c>
      <c r="C675" s="69" t="n"/>
      <c r="D675" s="70">
        <f t="array" ref="D675">IF(C675="","",IFERROR(AVERAGE(_xlfn._xlws.FILTER($B$2:$B$2000,(IFERROR(VALUE(MID($A$2:$A$2000,4,2)),0)=MONTH(C675))*(IFERROR(VALUE(RIGHT($A$2:$A$2000,4)),0)=YEAR(C675)))),""))</f>
        <v/>
      </c>
      <c r="E675" s="62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4" t="inlineStr">
        <is>
          <t>06/11/2015</t>
        </is>
      </c>
      <c r="B676" s="31" t="n">
        <v>3.2893</v>
      </c>
      <c r="C676" s="69" t="n"/>
      <c r="D676" s="70">
        <f t="array" ref="D676">IF(C676="","",IFERROR(AVERAGE(_xlfn._xlws.FILTER($B$2:$B$2000,(IFERROR(VALUE(MID($A$2:$A$2000,4,2)),0)=MONTH(C676))*(IFERROR(VALUE(RIGHT($A$2:$A$2000,4)),0)=YEAR(C676)))),""))</f>
        <v/>
      </c>
      <c r="E676" s="62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4" t="inlineStr">
        <is>
          <t>13/11/2015</t>
        </is>
      </c>
      <c r="B677" s="31" t="n">
        <v>3.3643</v>
      </c>
      <c r="C677" s="69" t="n"/>
      <c r="D677" s="70">
        <f t="array" ref="D677">IF(C677="","",IFERROR(AVERAGE(_xlfn._xlws.FILTER($B$2:$B$2000,(IFERROR(VALUE(MID($A$2:$A$2000,4,2)),0)=MONTH(C677))*(IFERROR(VALUE(RIGHT($A$2:$A$2000,4)),0)=YEAR(C677)))),""))</f>
        <v/>
      </c>
      <c r="E677" s="62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4" t="inlineStr">
        <is>
          <t>20/11/2015</t>
        </is>
      </c>
      <c r="B678" s="31" t="n">
        <v>3.343</v>
      </c>
      <c r="C678" s="69" t="n"/>
      <c r="D678" s="70">
        <f t="array" ref="D678">IF(C678="","",IFERROR(AVERAGE(_xlfn._xlws.FILTER($B$2:$B$2000,(IFERROR(VALUE(MID($A$2:$A$2000,4,2)),0)=MONTH(C678))*(IFERROR(VALUE(RIGHT($A$2:$A$2000,4)),0)=YEAR(C678)))),""))</f>
        <v/>
      </c>
      <c r="E678" s="62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4" t="inlineStr">
        <is>
          <t>27/11/2015</t>
        </is>
      </c>
      <c r="B679" s="31" t="n">
        <v>3.3195</v>
      </c>
      <c r="C679" s="69" t="n"/>
      <c r="D679" s="70">
        <f t="array" ref="D679">IF(C679="","",IFERROR(AVERAGE(_xlfn._xlws.FILTER($B$2:$B$2000,(IFERROR(VALUE(MID($A$2:$A$2000,4,2)),0)=MONTH(C679))*(IFERROR(VALUE(RIGHT($A$2:$A$2000,4)),0)=YEAR(C679)))),""))</f>
        <v/>
      </c>
      <c r="E679" s="62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4" t="inlineStr">
        <is>
          <t>04/12/2015</t>
        </is>
      </c>
      <c r="B680" s="31" t="n">
        <v>3.2614</v>
      </c>
      <c r="C680" s="69" t="n"/>
      <c r="D680" s="70">
        <f t="array" ref="D680">IF(C680="","",IFERROR(AVERAGE(_xlfn._xlws.FILTER($B$2:$B$2000,(IFERROR(VALUE(MID($A$2:$A$2000,4,2)),0)=MONTH(C680))*(IFERROR(VALUE(RIGHT($A$2:$A$2000,4)),0)=YEAR(C680)))),""))</f>
        <v/>
      </c>
      <c r="E680" s="62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4" t="inlineStr">
        <is>
          <t>11/12/2015</t>
        </is>
      </c>
      <c r="B681" s="31" t="n">
        <v>3.267</v>
      </c>
      <c r="C681" s="69" t="n"/>
      <c r="D681" s="70">
        <f t="array" ref="D681">IF(C681="","",IFERROR(AVERAGE(_xlfn._xlws.FILTER($B$2:$B$2000,(IFERROR(VALUE(MID($A$2:$A$2000,4,2)),0)=MONTH(C681))*(IFERROR(VALUE(RIGHT($A$2:$A$2000,4)),0)=YEAR(C681)))),""))</f>
        <v/>
      </c>
      <c r="E681" s="62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4" t="inlineStr">
        <is>
          <t>18/12/2015</t>
        </is>
      </c>
      <c r="B682" s="31" t="n">
        <v>3.2912</v>
      </c>
      <c r="C682" s="69" t="n"/>
      <c r="D682" s="70">
        <f t="array" ref="D682">IF(C682="","",IFERROR(AVERAGE(_xlfn._xlws.FILTER($B$2:$B$2000,(IFERROR(VALUE(MID($A$2:$A$2000,4,2)),0)=MONTH(C682))*(IFERROR(VALUE(RIGHT($A$2:$A$2000,4)),0)=YEAR(C682)))),""))</f>
        <v/>
      </c>
      <c r="E682" s="62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4" t="inlineStr">
        <is>
          <t>23/12/2015</t>
        </is>
      </c>
      <c r="B683" s="31" t="n">
        <v>3.2725</v>
      </c>
      <c r="C683" s="69" t="n"/>
      <c r="D683" s="70">
        <f t="array" ref="D683">IF(C683="","",IFERROR(AVERAGE(_xlfn._xlws.FILTER($B$2:$B$2000,(IFERROR(VALUE(MID($A$2:$A$2000,4,2)),0)=MONTH(C683))*(IFERROR(VALUE(RIGHT($A$2:$A$2000,4)),0)=YEAR(C683)))),""))</f>
        <v/>
      </c>
      <c r="E683" s="62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4" t="inlineStr">
        <is>
          <t>30/12/2015</t>
        </is>
      </c>
      <c r="B684" s="31" t="n">
        <v>3.3162</v>
      </c>
      <c r="C684" s="69" t="n"/>
      <c r="D684" s="70">
        <f t="array" ref="D684">IF(C684="","",IFERROR(AVERAGE(_xlfn._xlws.FILTER($B$2:$B$2000,(IFERROR(VALUE(MID($A$2:$A$2000,4,2)),0)=MONTH(C684))*(IFERROR(VALUE(RIGHT($A$2:$A$2000,4)),0)=YEAR(C684)))),""))</f>
        <v/>
      </c>
      <c r="E684" s="62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4" t="inlineStr">
        <is>
          <t>08/01/2016</t>
        </is>
      </c>
      <c r="B685" s="31" t="n">
        <v>3.395</v>
      </c>
      <c r="C685" s="69" t="n"/>
      <c r="D685" s="70">
        <f t="array" ref="D685">IF(C685="","",IFERROR(AVERAGE(_xlfn._xlws.FILTER($B$2:$B$2000,(IFERROR(VALUE(MID($A$2:$A$2000,4,2)),0)=MONTH(C685))*(IFERROR(VALUE(RIGHT($A$2:$A$2000,4)),0)=YEAR(C685)))),""))</f>
        <v/>
      </c>
      <c r="E685" s="62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4" t="inlineStr">
        <is>
          <t>15/01/2016</t>
        </is>
      </c>
      <c r="B686" s="31" t="n">
        <v>3.5351</v>
      </c>
      <c r="C686" s="69" t="n"/>
      <c r="D686" s="70">
        <f t="array" ref="D686">IF(C686="","",IFERROR(AVERAGE(_xlfn._xlws.FILTER($B$2:$B$2000,(IFERROR(VALUE(MID($A$2:$A$2000,4,2)),0)=MONTH(C686))*(IFERROR(VALUE(RIGHT($A$2:$A$2000,4)),0)=YEAR(C686)))),""))</f>
        <v/>
      </c>
      <c r="E686" s="62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4" t="inlineStr">
        <is>
          <t>22/01/2016</t>
        </is>
      </c>
      <c r="B687" s="31" t="n">
        <v>3.5088</v>
      </c>
      <c r="C687" s="69" t="n"/>
      <c r="D687" s="70">
        <f t="array" ref="D687">IF(C687="","",IFERROR(AVERAGE(_xlfn._xlws.FILTER($B$2:$B$2000,(IFERROR(VALUE(MID($A$2:$A$2000,4,2)),0)=MONTH(C687))*(IFERROR(VALUE(RIGHT($A$2:$A$2000,4)),0)=YEAR(C687)))),""))</f>
        <v/>
      </c>
      <c r="E687" s="62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4" t="inlineStr">
        <is>
          <t>29/01/2016</t>
        </is>
      </c>
      <c r="B688" s="31" t="n">
        <v>3.5246</v>
      </c>
      <c r="C688" s="69" t="n"/>
      <c r="D688" s="70">
        <f t="array" ref="D688">IF(C688="","",IFERROR(AVERAGE(_xlfn._xlws.FILTER($B$2:$B$2000,(IFERROR(VALUE(MID($A$2:$A$2000,4,2)),0)=MONTH(C688))*(IFERROR(VALUE(RIGHT($A$2:$A$2000,4)),0)=YEAR(C688)))),""))</f>
        <v/>
      </c>
      <c r="E688" s="62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4" t="inlineStr">
        <is>
          <t>05/02/2016</t>
        </is>
      </c>
      <c r="B689" s="31" t="n">
        <v>3.5491</v>
      </c>
      <c r="C689" s="69" t="n"/>
      <c r="D689" s="70">
        <f t="array" ref="D689">IF(C689="","",IFERROR(AVERAGE(_xlfn._xlws.FILTER($B$2:$B$2000,(IFERROR(VALUE(MID($A$2:$A$2000,4,2)),0)=MONTH(C689))*(IFERROR(VALUE(RIGHT($A$2:$A$2000,4)),0)=YEAR(C689)))),""))</f>
        <v/>
      </c>
      <c r="E689" s="62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4" t="inlineStr">
        <is>
          <t>12/02/2016</t>
        </is>
      </c>
      <c r="B690" s="31" t="n">
        <v>3.5698</v>
      </c>
      <c r="C690" s="69" t="n"/>
      <c r="D690" s="70">
        <f t="array" ref="D690">IF(C690="","",IFERROR(AVERAGE(_xlfn._xlws.FILTER($B$2:$B$2000,(IFERROR(VALUE(MID($A$2:$A$2000,4,2)),0)=MONTH(C690))*(IFERROR(VALUE(RIGHT($A$2:$A$2000,4)),0)=YEAR(C690)))),""))</f>
        <v/>
      </c>
      <c r="E690" s="62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4" t="inlineStr">
        <is>
          <t>19/02/2016</t>
        </is>
      </c>
      <c r="B691" s="31" t="n">
        <v>3.6063</v>
      </c>
      <c r="C691" s="69" t="n"/>
      <c r="D691" s="70">
        <f t="array" ref="D691">IF(C691="","",IFERROR(AVERAGE(_xlfn._xlws.FILTER($B$2:$B$2000,(IFERROR(VALUE(MID($A$2:$A$2000,4,2)),0)=MONTH(C691))*(IFERROR(VALUE(RIGHT($A$2:$A$2000,4)),0)=YEAR(C691)))),""))</f>
        <v/>
      </c>
      <c r="E691" s="62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4" t="inlineStr">
        <is>
          <t>26/02/2016</t>
        </is>
      </c>
      <c r="B692" s="31" t="n">
        <v>3.6358</v>
      </c>
      <c r="C692" s="69" t="n"/>
      <c r="D692" s="70">
        <f t="array" ref="D692">IF(C692="","",IFERROR(AVERAGE(_xlfn._xlws.FILTER($B$2:$B$2000,(IFERROR(VALUE(MID($A$2:$A$2000,4,2)),0)=MONTH(C692))*(IFERROR(VALUE(RIGHT($A$2:$A$2000,4)),0)=YEAR(C692)))),""))</f>
        <v/>
      </c>
      <c r="E692" s="62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4" t="inlineStr">
        <is>
          <t>04/03/2016</t>
        </is>
      </c>
      <c r="B693" s="31" t="n">
        <v>3.6436</v>
      </c>
      <c r="C693" s="69" t="n"/>
      <c r="D693" s="70">
        <f t="array" ref="D693">IF(C693="","",IFERROR(AVERAGE(_xlfn._xlws.FILTER($B$2:$B$2000,(IFERROR(VALUE(MID($A$2:$A$2000,4,2)),0)=MONTH(C693))*(IFERROR(VALUE(RIGHT($A$2:$A$2000,4)),0)=YEAR(C693)))),""))</f>
        <v/>
      </c>
      <c r="E693" s="62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4" t="inlineStr">
        <is>
          <t>11/03/2016</t>
        </is>
      </c>
      <c r="B694" s="31" t="n">
        <v>3.6442</v>
      </c>
      <c r="C694" s="69" t="n"/>
      <c r="D694" s="70">
        <f t="array" ref="D694">IF(C694="","",IFERROR(AVERAGE(_xlfn._xlws.FILTER($B$2:$B$2000,(IFERROR(VALUE(MID($A$2:$A$2000,4,2)),0)=MONTH(C694))*(IFERROR(VALUE(RIGHT($A$2:$A$2000,4)),0)=YEAR(C694)))),""))</f>
        <v/>
      </c>
      <c r="E694" s="62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4" t="inlineStr">
        <is>
          <t>18/03/2016</t>
        </is>
      </c>
      <c r="B695" s="31" t="n">
        <v>3.6073</v>
      </c>
      <c r="C695" s="69" t="n"/>
      <c r="D695" s="70">
        <f t="array" ref="D695">IF(C695="","",IFERROR(AVERAGE(_xlfn._xlws.FILTER($B$2:$B$2000,(IFERROR(VALUE(MID($A$2:$A$2000,4,2)),0)=MONTH(C695))*(IFERROR(VALUE(RIGHT($A$2:$A$2000,4)),0)=YEAR(C695)))),""))</f>
        <v/>
      </c>
      <c r="E695" s="62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4" t="inlineStr">
        <is>
          <t>24/03/2016</t>
        </is>
      </c>
      <c r="B696" s="31" t="n">
        <v>3.4382</v>
      </c>
      <c r="C696" s="69" t="n"/>
      <c r="D696" s="70">
        <f t="array" ref="D696">IF(C696="","",IFERROR(AVERAGE(_xlfn._xlws.FILTER($B$2:$B$2000,(IFERROR(VALUE(MID($A$2:$A$2000,4,2)),0)=MONTH(C696))*(IFERROR(VALUE(RIGHT($A$2:$A$2000,4)),0)=YEAR(C696)))),""))</f>
        <v/>
      </c>
      <c r="E696" s="62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4" t="inlineStr">
        <is>
          <t>01/04/2016</t>
        </is>
      </c>
      <c r="B697" s="31" t="n">
        <v>3.0787</v>
      </c>
      <c r="C697" s="69" t="n"/>
      <c r="D697" s="70">
        <f t="array" ref="D697">IF(C697="","",IFERROR(AVERAGE(_xlfn._xlws.FILTER($B$2:$B$2000,(IFERROR(VALUE(MID($A$2:$A$2000,4,2)),0)=MONTH(C697))*(IFERROR(VALUE(RIGHT($A$2:$A$2000,4)),0)=YEAR(C697)))),""))</f>
        <v/>
      </c>
      <c r="E697" s="62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4" t="inlineStr">
        <is>
          <t>08/04/2016</t>
        </is>
      </c>
      <c r="B698" s="31" t="n">
        <v>2.6652</v>
      </c>
      <c r="C698" s="69" t="n"/>
      <c r="D698" s="70">
        <f t="array" ref="D698">IF(C698="","",IFERROR(AVERAGE(_xlfn._xlws.FILTER($B$2:$B$2000,(IFERROR(VALUE(MID($A$2:$A$2000,4,2)),0)=MONTH(C698))*(IFERROR(VALUE(RIGHT($A$2:$A$2000,4)),0)=YEAR(C698)))),""))</f>
        <v/>
      </c>
      <c r="E698" s="62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4" t="inlineStr">
        <is>
          <t>15/04/2016</t>
        </is>
      </c>
      <c r="B699" s="31" t="n">
        <v>2.5465</v>
      </c>
      <c r="C699" s="69" t="n"/>
      <c r="D699" s="70">
        <f t="array" ref="D699">IF(C699="","",IFERROR(AVERAGE(_xlfn._xlws.FILTER($B$2:$B$2000,(IFERROR(VALUE(MID($A$2:$A$2000,4,2)),0)=MONTH(C699))*(IFERROR(VALUE(RIGHT($A$2:$A$2000,4)),0)=YEAR(C699)))),""))</f>
        <v/>
      </c>
      <c r="E699" s="62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4" t="inlineStr">
        <is>
          <t>22/04/2016</t>
        </is>
      </c>
      <c r="B700" s="31" t="n">
        <v>2.5529</v>
      </c>
      <c r="C700" s="69" t="n"/>
      <c r="D700" s="70">
        <f t="array" ref="D700">IF(C700="","",IFERROR(AVERAGE(_xlfn._xlws.FILTER($B$2:$B$2000,(IFERROR(VALUE(MID($A$2:$A$2000,4,2)),0)=MONTH(C700))*(IFERROR(VALUE(RIGHT($A$2:$A$2000,4)),0)=YEAR(C700)))),""))</f>
        <v/>
      </c>
      <c r="E700" s="62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4" t="inlineStr">
        <is>
          <t>29/04/2016</t>
        </is>
      </c>
      <c r="B701" s="31" t="n">
        <v>2.5021</v>
      </c>
      <c r="C701" s="69" t="n"/>
      <c r="D701" s="70">
        <f t="array" ref="D701">IF(C701="","",IFERROR(AVERAGE(_xlfn._xlws.FILTER($B$2:$B$2000,(IFERROR(VALUE(MID($A$2:$A$2000,4,2)),0)=MONTH(C701))*(IFERROR(VALUE(RIGHT($A$2:$A$2000,4)),0)=YEAR(C701)))),""))</f>
        <v/>
      </c>
      <c r="E701" s="62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4" t="inlineStr">
        <is>
          <t>06/05/2016</t>
        </is>
      </c>
      <c r="B702" s="31" t="n">
        <v>2.4664</v>
      </c>
      <c r="C702" s="69" t="n"/>
      <c r="D702" s="70">
        <f t="array" ref="D702">IF(C702="","",IFERROR(AVERAGE(_xlfn._xlws.FILTER($B$2:$B$2000,(IFERROR(VALUE(MID($A$2:$A$2000,4,2)),0)=MONTH(C702))*(IFERROR(VALUE(RIGHT($A$2:$A$2000,4)),0)=YEAR(C702)))),""))</f>
        <v/>
      </c>
      <c r="E702" s="62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4" t="inlineStr">
        <is>
          <t>13/05/2016</t>
        </is>
      </c>
      <c r="B703" s="31" t="n">
        <v>2.536</v>
      </c>
      <c r="C703" s="69" t="n"/>
      <c r="D703" s="70">
        <f t="array" ref="D703">IF(C703="","",IFERROR(AVERAGE(_xlfn._xlws.FILTER($B$2:$B$2000,(IFERROR(VALUE(MID($A$2:$A$2000,4,2)),0)=MONTH(C703))*(IFERROR(VALUE(RIGHT($A$2:$A$2000,4)),0)=YEAR(C703)))),""))</f>
        <v/>
      </c>
      <c r="E703" s="62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4" t="inlineStr">
        <is>
          <t>20/05/2016</t>
        </is>
      </c>
      <c r="B704" s="31" t="n">
        <v>2.605</v>
      </c>
      <c r="C704" s="69" t="n"/>
      <c r="D704" s="70">
        <f t="array" ref="D704">IF(C704="","",IFERROR(AVERAGE(_xlfn._xlws.FILTER($B$2:$B$2000,(IFERROR(VALUE(MID($A$2:$A$2000,4,2)),0)=MONTH(C704))*(IFERROR(VALUE(RIGHT($A$2:$A$2000,4)),0)=YEAR(C704)))),""))</f>
        <v/>
      </c>
      <c r="E704" s="62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4" t="inlineStr">
        <is>
          <t>27/05/2016</t>
        </is>
      </c>
      <c r="B705" s="31" t="n">
        <v>2.7254</v>
      </c>
      <c r="C705" s="69" t="n"/>
      <c r="D705" s="70">
        <f t="array" ref="D705">IF(C705="","",IFERROR(AVERAGE(_xlfn._xlws.FILTER($B$2:$B$2000,(IFERROR(VALUE(MID($A$2:$A$2000,4,2)),0)=MONTH(C705))*(IFERROR(VALUE(RIGHT($A$2:$A$2000,4)),0)=YEAR(C705)))),""))</f>
        <v/>
      </c>
      <c r="E705" s="62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4" t="inlineStr">
        <is>
          <t>03/06/2016</t>
        </is>
      </c>
      <c r="B706" s="31" t="n">
        <v>2.7819</v>
      </c>
      <c r="C706" s="69" t="n"/>
      <c r="D706" s="70">
        <f t="array" ref="D706">IF(C706="","",IFERROR(AVERAGE(_xlfn._xlws.FILTER($B$2:$B$2000,(IFERROR(VALUE(MID($A$2:$A$2000,4,2)),0)=MONTH(C706))*(IFERROR(VALUE(RIGHT($A$2:$A$2000,4)),0)=YEAR(C706)))),""))</f>
        <v/>
      </c>
      <c r="E706" s="62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4" t="inlineStr">
        <is>
          <t>10/06/2016</t>
        </is>
      </c>
      <c r="B707" s="31" t="n">
        <v>2.7857</v>
      </c>
      <c r="C707" s="69" t="n"/>
      <c r="D707" s="70">
        <f t="array" ref="D707">IF(C707="","",IFERROR(AVERAGE(_xlfn._xlws.FILTER($B$2:$B$2000,(IFERROR(VALUE(MID($A$2:$A$2000,4,2)),0)=MONTH(C707))*(IFERROR(VALUE(RIGHT($A$2:$A$2000,4)),0)=YEAR(C707)))),""))</f>
        <v/>
      </c>
      <c r="E707" s="62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4" t="inlineStr">
        <is>
          <t>17/06/2016</t>
        </is>
      </c>
      <c r="B708" s="31" t="n">
        <v>2.6747</v>
      </c>
      <c r="C708" s="69" t="n"/>
      <c r="D708" s="70">
        <f t="array" ref="D708">IF(C708="","",IFERROR(AVERAGE(_xlfn._xlws.FILTER($B$2:$B$2000,(IFERROR(VALUE(MID($A$2:$A$2000,4,2)),0)=MONTH(C708))*(IFERROR(VALUE(RIGHT($A$2:$A$2000,4)),0)=YEAR(C708)))),""))</f>
        <v/>
      </c>
      <c r="E708" s="62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4" t="inlineStr">
        <is>
          <t>24/06/2016</t>
        </is>
      </c>
      <c r="B709" s="31" t="n">
        <v>2.6368</v>
      </c>
      <c r="C709" s="69" t="n"/>
      <c r="D709" s="70">
        <f t="array" ref="D709">IF(C709="","",IFERROR(AVERAGE(_xlfn._xlws.FILTER($B$2:$B$2000,(IFERROR(VALUE(MID($A$2:$A$2000,4,2)),0)=MONTH(C709))*(IFERROR(VALUE(RIGHT($A$2:$A$2000,4)),0)=YEAR(C709)))),""))</f>
        <v/>
      </c>
      <c r="E709" s="62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4" t="inlineStr">
        <is>
          <t>01/07/2016</t>
        </is>
      </c>
      <c r="B710" s="31" t="n">
        <v>2.6224</v>
      </c>
      <c r="C710" s="69" t="n"/>
      <c r="D710" s="70">
        <f t="array" ref="D710">IF(C710="","",IFERROR(AVERAGE(_xlfn._xlws.FILTER($B$2:$B$2000,(IFERROR(VALUE(MID($A$2:$A$2000,4,2)),0)=MONTH(C710))*(IFERROR(VALUE(RIGHT($A$2:$A$2000,4)),0)=YEAR(C710)))),""))</f>
        <v/>
      </c>
      <c r="E710" s="62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4" t="inlineStr">
        <is>
          <t>08/07/2016</t>
        </is>
      </c>
      <c r="B711" s="31" t="n">
        <v>2.6127</v>
      </c>
      <c r="C711" s="69" t="n"/>
      <c r="D711" s="70">
        <f t="array" ref="D711">IF(C711="","",IFERROR(AVERAGE(_xlfn._xlws.FILTER($B$2:$B$2000,(IFERROR(VALUE(MID($A$2:$A$2000,4,2)),0)=MONTH(C711))*(IFERROR(VALUE(RIGHT($A$2:$A$2000,4)),0)=YEAR(C711)))),""))</f>
        <v/>
      </c>
      <c r="E711" s="62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4" t="inlineStr">
        <is>
          <t>15/07/2016</t>
        </is>
      </c>
      <c r="B712" s="31" t="n">
        <v>2.6554</v>
      </c>
      <c r="C712" s="69" t="n"/>
      <c r="D712" s="70">
        <f t="array" ref="D712">IF(C712="","",IFERROR(AVERAGE(_xlfn._xlws.FILTER($B$2:$B$2000,(IFERROR(VALUE(MID($A$2:$A$2000,4,2)),0)=MONTH(C712))*(IFERROR(VALUE(RIGHT($A$2:$A$2000,4)),0)=YEAR(C712)))),""))</f>
        <v/>
      </c>
      <c r="E712" s="62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4" t="inlineStr">
        <is>
          <t>22/07/2016</t>
        </is>
      </c>
      <c r="B713" s="31" t="n">
        <v>2.7871</v>
      </c>
      <c r="C713" s="69" t="n"/>
      <c r="D713" s="70">
        <f t="array" ref="D713">IF(C713="","",IFERROR(AVERAGE(_xlfn._xlws.FILTER($B$2:$B$2000,(IFERROR(VALUE(MID($A$2:$A$2000,4,2)),0)=MONTH(C713))*(IFERROR(VALUE(RIGHT($A$2:$A$2000,4)),0)=YEAR(C713)))),""))</f>
        <v/>
      </c>
      <c r="E713" s="62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4" t="inlineStr">
        <is>
          <t>29/07/2016</t>
        </is>
      </c>
      <c r="B714" s="31" t="n">
        <v>2.8227</v>
      </c>
      <c r="C714" s="69" t="n"/>
      <c r="D714" s="70">
        <f t="array" ref="D714">IF(C714="","",IFERROR(AVERAGE(_xlfn._xlws.FILTER($B$2:$B$2000,(IFERROR(VALUE(MID($A$2:$A$2000,4,2)),0)=MONTH(C714))*(IFERROR(VALUE(RIGHT($A$2:$A$2000,4)),0)=YEAR(C714)))),""))</f>
        <v/>
      </c>
      <c r="E714" s="62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4" t="inlineStr">
        <is>
          <t>05/08/2016</t>
        </is>
      </c>
      <c r="B715" s="31" t="n">
        <v>2.8422</v>
      </c>
      <c r="C715" s="69" t="n"/>
      <c r="D715" s="70">
        <f t="array" ref="D715">IF(C715="","",IFERROR(AVERAGE(_xlfn._xlws.FILTER($B$2:$B$2000,(IFERROR(VALUE(MID($A$2:$A$2000,4,2)),0)=MONTH(C715))*(IFERROR(VALUE(RIGHT($A$2:$A$2000,4)),0)=YEAR(C715)))),""))</f>
        <v/>
      </c>
      <c r="E715" s="62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4" t="inlineStr">
        <is>
          <t>12/08/2016</t>
        </is>
      </c>
      <c r="B716" s="31" t="n">
        <v>2.8368</v>
      </c>
      <c r="C716" s="69" t="n"/>
      <c r="D716" s="70">
        <f t="array" ref="D716">IF(C716="","",IFERROR(AVERAGE(_xlfn._xlws.FILTER($B$2:$B$2000,(IFERROR(VALUE(MID($A$2:$A$2000,4,2)),0)=MONTH(C716))*(IFERROR(VALUE(RIGHT($A$2:$A$2000,4)),0)=YEAR(C716)))),""))</f>
        <v/>
      </c>
      <c r="E716" s="62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4" t="inlineStr">
        <is>
          <t>19/08/2016</t>
        </is>
      </c>
      <c r="B717" s="31" t="n">
        <v>2.8147</v>
      </c>
      <c r="C717" s="69" t="n"/>
      <c r="D717" s="70">
        <f t="array" ref="D717">IF(C717="","",IFERROR(AVERAGE(_xlfn._xlws.FILTER($B$2:$B$2000,(IFERROR(VALUE(MID($A$2:$A$2000,4,2)),0)=MONTH(C717))*(IFERROR(VALUE(RIGHT($A$2:$A$2000,4)),0)=YEAR(C717)))),""))</f>
        <v/>
      </c>
      <c r="E717" s="62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4" t="inlineStr">
        <is>
          <t>26/08/2016</t>
        </is>
      </c>
      <c r="B718" s="31" t="n">
        <v>2.7979</v>
      </c>
      <c r="C718" s="69" t="n"/>
      <c r="D718" s="70">
        <f t="array" ref="D718">IF(C718="","",IFERROR(AVERAGE(_xlfn._xlws.FILTER($B$2:$B$2000,(IFERROR(VALUE(MID($A$2:$A$2000,4,2)),0)=MONTH(C718))*(IFERROR(VALUE(RIGHT($A$2:$A$2000,4)),0)=YEAR(C718)))),""))</f>
        <v/>
      </c>
      <c r="E718" s="62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4" t="inlineStr">
        <is>
          <t>02/09/2016</t>
        </is>
      </c>
      <c r="B719" s="31" t="n">
        <v>2.8169</v>
      </c>
      <c r="C719" s="69" t="n"/>
      <c r="D719" s="70">
        <f t="array" ref="D719">IF(C719="","",IFERROR(AVERAGE(_xlfn._xlws.FILTER($B$2:$B$2000,(IFERROR(VALUE(MID($A$2:$A$2000,4,2)),0)=MONTH(C719))*(IFERROR(VALUE(RIGHT($A$2:$A$2000,4)),0)=YEAR(C719)))),""))</f>
        <v/>
      </c>
      <c r="E719" s="62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4" t="inlineStr">
        <is>
          <t>09/09/2016</t>
        </is>
      </c>
      <c r="B720" s="31" t="n">
        <v>2.8923</v>
      </c>
      <c r="C720" s="69" t="n"/>
      <c r="D720" s="70">
        <f t="array" ref="D720">IF(C720="","",IFERROR(AVERAGE(_xlfn._xlws.FILTER($B$2:$B$2000,(IFERROR(VALUE(MID($A$2:$A$2000,4,2)),0)=MONTH(C720))*(IFERROR(VALUE(RIGHT($A$2:$A$2000,4)),0)=YEAR(C720)))),""))</f>
        <v/>
      </c>
      <c r="E720" s="62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4" t="inlineStr">
        <is>
          <t>16/09/2016</t>
        </is>
      </c>
      <c r="B721" s="31" t="n">
        <v>2.9251</v>
      </c>
      <c r="C721" s="69" t="n"/>
      <c r="D721" s="70">
        <f t="array" ref="D721">IF(C721="","",IFERROR(AVERAGE(_xlfn._xlws.FILTER($B$2:$B$2000,(IFERROR(VALUE(MID($A$2:$A$2000,4,2)),0)=MONTH(C721))*(IFERROR(VALUE(RIGHT($A$2:$A$2000,4)),0)=YEAR(C721)))),""))</f>
        <v/>
      </c>
      <c r="E721" s="62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4" t="inlineStr">
        <is>
          <t>23/09/2016</t>
        </is>
      </c>
      <c r="B722" s="31" t="n">
        <v>3.0516</v>
      </c>
      <c r="C722" s="69" t="n"/>
      <c r="D722" s="70">
        <f t="array" ref="D722">IF(C722="","",IFERROR(AVERAGE(_xlfn._xlws.FILTER($B$2:$B$2000,(IFERROR(VALUE(MID($A$2:$A$2000,4,2)),0)=MONTH(C722))*(IFERROR(VALUE(RIGHT($A$2:$A$2000,4)),0)=YEAR(C722)))),""))</f>
        <v/>
      </c>
      <c r="E722" s="62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4" t="inlineStr">
        <is>
          <t>30/09/2016</t>
        </is>
      </c>
      <c r="B723" s="31" t="n">
        <v>3.1218</v>
      </c>
      <c r="C723" s="69" t="n"/>
      <c r="D723" s="70">
        <f t="array" ref="D723">IF(C723="","",IFERROR(AVERAGE(_xlfn._xlws.FILTER($B$2:$B$2000,(IFERROR(VALUE(MID($A$2:$A$2000,4,2)),0)=MONTH(C723))*(IFERROR(VALUE(RIGHT($A$2:$A$2000,4)),0)=YEAR(C723)))),""))</f>
        <v/>
      </c>
      <c r="E723" s="62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4" t="inlineStr">
        <is>
          <t>07/10/2016</t>
        </is>
      </c>
      <c r="B724" s="31" t="n">
        <v>3.1718</v>
      </c>
      <c r="C724" s="69" t="n"/>
      <c r="D724" s="70">
        <f t="array" ref="D724">IF(C724="","",IFERROR(AVERAGE(_xlfn._xlws.FILTER($B$2:$B$2000,(IFERROR(VALUE(MID($A$2:$A$2000,4,2)),0)=MONTH(C724))*(IFERROR(VALUE(RIGHT($A$2:$A$2000,4)),0)=YEAR(C724)))),""))</f>
        <v/>
      </c>
      <c r="E724" s="62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4" t="inlineStr">
        <is>
          <t>14/10/2016</t>
        </is>
      </c>
      <c r="B725" s="31" t="n">
        <v>3.4044</v>
      </c>
      <c r="C725" s="69" t="n"/>
      <c r="D725" s="70">
        <f t="array" ref="D725">IF(C725="","",IFERROR(AVERAGE(_xlfn._xlws.FILTER($B$2:$B$2000,(IFERROR(VALUE(MID($A$2:$A$2000,4,2)),0)=MONTH(C725))*(IFERROR(VALUE(RIGHT($A$2:$A$2000,4)),0)=YEAR(C725)))),""))</f>
        <v/>
      </c>
      <c r="E725" s="62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4" t="inlineStr">
        <is>
          <t>21/10/2016</t>
        </is>
      </c>
      <c r="B726" s="31" t="n">
        <v>3.4345</v>
      </c>
      <c r="C726" s="69" t="n"/>
      <c r="D726" s="70">
        <f t="array" ref="D726">IF(C726="","",IFERROR(AVERAGE(_xlfn._xlws.FILTER($B$2:$B$2000,(IFERROR(VALUE(MID($A$2:$A$2000,4,2)),0)=MONTH(C726))*(IFERROR(VALUE(RIGHT($A$2:$A$2000,4)),0)=YEAR(C726)))),""))</f>
        <v/>
      </c>
      <c r="E726" s="62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4" t="inlineStr">
        <is>
          <t>28/10/2016</t>
        </is>
      </c>
      <c r="B727" s="31" t="n">
        <v>3.4246</v>
      </c>
      <c r="C727" s="69" t="n"/>
      <c r="D727" s="70">
        <f t="array" ref="D727">IF(C727="","",IFERROR(AVERAGE(_xlfn._xlws.FILTER($B$2:$B$2000,(IFERROR(VALUE(MID($A$2:$A$2000,4,2)),0)=MONTH(C727))*(IFERROR(VALUE(RIGHT($A$2:$A$2000,4)),0)=YEAR(C727)))),""))</f>
        <v/>
      </c>
      <c r="E727" s="62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4" t="inlineStr">
        <is>
          <t>04/11/2016</t>
        </is>
      </c>
      <c r="B728" s="31" t="n">
        <v>3.4175</v>
      </c>
      <c r="C728" s="69" t="n"/>
      <c r="D728" s="70">
        <f t="array" ref="D728">IF(C728="","",IFERROR(AVERAGE(_xlfn._xlws.FILTER($B$2:$B$2000,(IFERROR(VALUE(MID($A$2:$A$2000,4,2)),0)=MONTH(C728))*(IFERROR(VALUE(RIGHT($A$2:$A$2000,4)),0)=YEAR(C728)))),""))</f>
        <v/>
      </c>
      <c r="E728" s="62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4" t="inlineStr">
        <is>
          <t>11/11/2016</t>
        </is>
      </c>
      <c r="B729" s="31" t="n">
        <v>3.3898</v>
      </c>
      <c r="C729" s="69" t="n"/>
      <c r="D729" s="70">
        <f t="array" ref="D729">IF(C729="","",IFERROR(AVERAGE(_xlfn._xlws.FILTER($B$2:$B$2000,(IFERROR(VALUE(MID($A$2:$A$2000,4,2)),0)=MONTH(C729))*(IFERROR(VALUE(RIGHT($A$2:$A$2000,4)),0)=YEAR(C729)))),""))</f>
        <v/>
      </c>
      <c r="E729" s="62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4" t="inlineStr">
        <is>
          <t>18/11/2016</t>
        </is>
      </c>
      <c r="B730" s="31" t="n">
        <v>3.3775</v>
      </c>
      <c r="C730" s="69" t="n"/>
      <c r="D730" s="70">
        <f t="array" ref="D730">IF(C730="","",IFERROR(AVERAGE(_xlfn._xlws.FILTER($B$2:$B$2000,(IFERROR(VALUE(MID($A$2:$A$2000,4,2)),0)=MONTH(C730))*(IFERROR(VALUE(RIGHT($A$2:$A$2000,4)),0)=YEAR(C730)))),""))</f>
        <v/>
      </c>
      <c r="E730" s="62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4" t="inlineStr">
        <is>
          <t>25/11/2016</t>
        </is>
      </c>
      <c r="B731" s="31" t="n">
        <v>3.3052</v>
      </c>
      <c r="C731" s="69" t="n"/>
      <c r="D731" s="70">
        <f t="array" ref="D731">IF(C731="","",IFERROR(AVERAGE(_xlfn._xlws.FILTER($B$2:$B$2000,(IFERROR(VALUE(MID($A$2:$A$2000,4,2)),0)=MONTH(C731))*(IFERROR(VALUE(RIGHT($A$2:$A$2000,4)),0)=YEAR(C731)))),""))</f>
        <v/>
      </c>
      <c r="E731" s="62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4" t="inlineStr">
        <is>
          <t>02/12/2016</t>
        </is>
      </c>
      <c r="B732" s="31" t="n">
        <v>3.2796</v>
      </c>
      <c r="C732" s="69" t="n"/>
      <c r="D732" s="70">
        <f t="array" ref="D732">IF(C732="","",IFERROR(AVERAGE(_xlfn._xlws.FILTER($B$2:$B$2000,(IFERROR(VALUE(MID($A$2:$A$2000,4,2)),0)=MONTH(C732))*(IFERROR(VALUE(RIGHT($A$2:$A$2000,4)),0)=YEAR(C732)))),""))</f>
        <v/>
      </c>
      <c r="E732" s="62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4" t="inlineStr">
        <is>
          <t>09/12/2016</t>
        </is>
      </c>
      <c r="B733" s="31" t="n">
        <v>3.3966</v>
      </c>
      <c r="C733" s="69" t="n"/>
      <c r="D733" s="70">
        <f t="array" ref="D733">IF(C733="","",IFERROR(AVERAGE(_xlfn._xlws.FILTER($B$2:$B$2000,(IFERROR(VALUE(MID($A$2:$A$2000,4,2)),0)=MONTH(C733))*(IFERROR(VALUE(RIGHT($A$2:$A$2000,4)),0)=YEAR(C733)))),""))</f>
        <v/>
      </c>
      <c r="E733" s="62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4" t="inlineStr">
        <is>
          <t>16/12/2016</t>
        </is>
      </c>
      <c r="B734" s="31" t="n">
        <v>3.3759</v>
      </c>
      <c r="C734" s="69" t="n"/>
      <c r="D734" s="70">
        <f t="array" ref="D734">IF(C734="","",IFERROR(AVERAGE(_xlfn._xlws.FILTER($B$2:$B$2000,(IFERROR(VALUE(MID($A$2:$A$2000,4,2)),0)=MONTH(C734))*(IFERROR(VALUE(RIGHT($A$2:$A$2000,4)),0)=YEAR(C734)))),""))</f>
        <v/>
      </c>
      <c r="E734" s="62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4" t="inlineStr">
        <is>
          <t>23/12/2016</t>
        </is>
      </c>
      <c r="B735" s="31" t="n">
        <v>3.3479</v>
      </c>
      <c r="C735" s="69" t="n"/>
      <c r="D735" s="70">
        <f t="array" ref="D735">IF(C735="","",IFERROR(AVERAGE(_xlfn._xlws.FILTER($B$2:$B$2000,(IFERROR(VALUE(MID($A$2:$A$2000,4,2)),0)=MONTH(C735))*(IFERROR(VALUE(RIGHT($A$2:$A$2000,4)),0)=YEAR(C735)))),""))</f>
        <v/>
      </c>
      <c r="E735" s="62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4" t="inlineStr">
        <is>
          <t>29/12/2016</t>
        </is>
      </c>
      <c r="B736" s="31" t="n">
        <v>3.3377</v>
      </c>
      <c r="C736" s="69" t="n"/>
      <c r="D736" s="70">
        <f t="array" ref="D736">IF(C736="","",IFERROR(AVERAGE(_xlfn._xlws.FILTER($B$2:$B$2000,(IFERROR(VALUE(MID($A$2:$A$2000,4,2)),0)=MONTH(C736))*(IFERROR(VALUE(RIGHT($A$2:$A$2000,4)),0)=YEAR(C736)))),""))</f>
        <v/>
      </c>
      <c r="E736" s="62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4" t="inlineStr">
        <is>
          <t>06/01/2017</t>
        </is>
      </c>
      <c r="B737" s="31" t="n">
        <v>3.3077</v>
      </c>
      <c r="C737" s="69" t="n"/>
      <c r="D737" s="70">
        <f t="array" ref="D737">IF(C737="","",IFERROR(AVERAGE(_xlfn._xlws.FILTER($B$2:$B$2000,(IFERROR(VALUE(MID($A$2:$A$2000,4,2)),0)=MONTH(C737))*(IFERROR(VALUE(RIGHT($A$2:$A$2000,4)),0)=YEAR(C737)))),""))</f>
        <v/>
      </c>
      <c r="E737" s="62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4" t="inlineStr">
        <is>
          <t>13/01/2017</t>
        </is>
      </c>
      <c r="B738" s="31" t="n">
        <v>3.2894</v>
      </c>
      <c r="C738" s="69" t="n"/>
      <c r="D738" s="70">
        <f t="array" ref="D738">IF(C738="","",IFERROR(AVERAGE(_xlfn._xlws.FILTER($B$2:$B$2000,(IFERROR(VALUE(MID($A$2:$A$2000,4,2)),0)=MONTH(C738))*(IFERROR(VALUE(RIGHT($A$2:$A$2000,4)),0)=YEAR(C738)))),""))</f>
        <v/>
      </c>
      <c r="E738" s="62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4" t="inlineStr">
        <is>
          <t>20/01/2017</t>
        </is>
      </c>
      <c r="B739" s="31" t="n">
        <v>3.2338</v>
      </c>
      <c r="C739" s="69" t="n"/>
      <c r="D739" s="70">
        <f t="array" ref="D739">IF(C739="","",IFERROR(AVERAGE(_xlfn._xlws.FILTER($B$2:$B$2000,(IFERROR(VALUE(MID($A$2:$A$2000,4,2)),0)=MONTH(C739))*(IFERROR(VALUE(RIGHT($A$2:$A$2000,4)),0)=YEAR(C739)))),""))</f>
        <v/>
      </c>
      <c r="E739" s="62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4" t="inlineStr">
        <is>
          <t>27/01/2017</t>
        </is>
      </c>
      <c r="B740" s="31" t="n">
        <v>3.1652</v>
      </c>
      <c r="C740" s="69" t="n"/>
      <c r="D740" s="70">
        <f t="array" ref="D740">IF(C740="","",IFERROR(AVERAGE(_xlfn._xlws.FILTER($B$2:$B$2000,(IFERROR(VALUE(MID($A$2:$A$2000,4,2)),0)=MONTH(C740))*(IFERROR(VALUE(RIGHT($A$2:$A$2000,4)),0)=YEAR(C740)))),""))</f>
        <v/>
      </c>
      <c r="E740" s="62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4" t="inlineStr">
        <is>
          <t>03/02/2017</t>
        </is>
      </c>
      <c r="B741" s="31" t="n">
        <v>3.0977</v>
      </c>
      <c r="C741" s="69" t="n"/>
      <c r="D741" s="70">
        <f t="array" ref="D741">IF(C741="","",IFERROR(AVERAGE(_xlfn._xlws.FILTER($B$2:$B$2000,(IFERROR(VALUE(MID($A$2:$A$2000,4,2)),0)=MONTH(C741))*(IFERROR(VALUE(RIGHT($A$2:$A$2000,4)),0)=YEAR(C741)))),""))</f>
        <v/>
      </c>
      <c r="E741" s="62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4" t="inlineStr">
        <is>
          <t>10/02/2017</t>
        </is>
      </c>
      <c r="B742" s="31" t="n">
        <v>3.0563</v>
      </c>
      <c r="C742" s="69" t="n"/>
      <c r="D742" s="70">
        <f t="array" ref="D742">IF(C742="","",IFERROR(AVERAGE(_xlfn._xlws.FILTER($B$2:$B$2000,(IFERROR(VALUE(MID($A$2:$A$2000,4,2)),0)=MONTH(C742))*(IFERROR(VALUE(RIGHT($A$2:$A$2000,4)),0)=YEAR(C742)))),""))</f>
        <v/>
      </c>
      <c r="E742" s="62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4" t="inlineStr">
        <is>
          <t>17/02/2017</t>
        </is>
      </c>
      <c r="B743" s="31" t="n">
        <v>2.9653</v>
      </c>
      <c r="C743" s="69" t="n"/>
      <c r="D743" s="70">
        <f t="array" ref="D743">IF(C743="","",IFERROR(AVERAGE(_xlfn._xlws.FILTER($B$2:$B$2000,(IFERROR(VALUE(MID($A$2:$A$2000,4,2)),0)=MONTH(C743))*(IFERROR(VALUE(RIGHT($A$2:$A$2000,4)),0)=YEAR(C743)))),""))</f>
        <v/>
      </c>
      <c r="E743" s="62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4" t="inlineStr">
        <is>
          <t>24/02/2017</t>
        </is>
      </c>
      <c r="B744" s="31" t="n">
        <v>2.8203</v>
      </c>
      <c r="C744" s="69" t="n"/>
      <c r="D744" s="70">
        <f t="array" ref="D744">IF(C744="","",IFERROR(AVERAGE(_xlfn._xlws.FILTER($B$2:$B$2000,(IFERROR(VALUE(MID($A$2:$A$2000,4,2)),0)=MONTH(C744))*(IFERROR(VALUE(RIGHT($A$2:$A$2000,4)),0)=YEAR(C744)))),""))</f>
        <v/>
      </c>
      <c r="E744" s="62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4" t="inlineStr">
        <is>
          <t>03/03/2017</t>
        </is>
      </c>
      <c r="B745" s="31" t="n">
        <v>2.7872</v>
      </c>
      <c r="C745" s="69" t="n"/>
      <c r="D745" s="70">
        <f t="array" ref="D745">IF(C745="","",IFERROR(AVERAGE(_xlfn._xlws.FILTER($B$2:$B$2000,(IFERROR(VALUE(MID($A$2:$A$2000,4,2)),0)=MONTH(C745))*(IFERROR(VALUE(RIGHT($A$2:$A$2000,4)),0)=YEAR(C745)))),""))</f>
        <v/>
      </c>
      <c r="E745" s="62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4" t="inlineStr">
        <is>
          <t>10/03/2017</t>
        </is>
      </c>
      <c r="B746" s="31" t="n">
        <v>2.6876</v>
      </c>
      <c r="C746" s="69" t="n"/>
      <c r="D746" s="70">
        <f t="array" ref="D746">IF(C746="","",IFERROR(AVERAGE(_xlfn._xlws.FILTER($B$2:$B$2000,(IFERROR(VALUE(MID($A$2:$A$2000,4,2)),0)=MONTH(C746))*(IFERROR(VALUE(RIGHT($A$2:$A$2000,4)),0)=YEAR(C746)))),""))</f>
        <v/>
      </c>
      <c r="E746" s="62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4" t="inlineStr">
        <is>
          <t>17/03/2017</t>
        </is>
      </c>
      <c r="B747" s="31" t="n">
        <v>2.7143</v>
      </c>
      <c r="C747" s="69" t="n"/>
      <c r="D747" s="70">
        <f t="array" ref="D747">IF(C747="","",IFERROR(AVERAGE(_xlfn._xlws.FILTER($B$2:$B$2000,(IFERROR(VALUE(MID($A$2:$A$2000,4,2)),0)=MONTH(C747))*(IFERROR(VALUE(RIGHT($A$2:$A$2000,4)),0)=YEAR(C747)))),""))</f>
        <v/>
      </c>
      <c r="E747" s="62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4" t="inlineStr">
        <is>
          <t>24/03/2017</t>
        </is>
      </c>
      <c r="B748" s="31" t="n">
        <v>2.7281</v>
      </c>
      <c r="C748" s="69" t="n"/>
      <c r="D748" s="70">
        <f t="array" ref="D748">IF(C748="","",IFERROR(AVERAGE(_xlfn._xlws.FILTER($B$2:$B$2000,(IFERROR(VALUE(MID($A$2:$A$2000,4,2)),0)=MONTH(C748))*(IFERROR(VALUE(RIGHT($A$2:$A$2000,4)),0)=YEAR(C748)))),""))</f>
        <v/>
      </c>
      <c r="E748" s="62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4" t="inlineStr">
        <is>
          <t>31/03/2017</t>
        </is>
      </c>
      <c r="B749" s="31" t="n">
        <v>2.6413</v>
      </c>
      <c r="C749" s="69" t="n"/>
      <c r="D749" s="70">
        <f t="array" ref="D749">IF(C749="","",IFERROR(AVERAGE(_xlfn._xlws.FILTER($B$2:$B$2000,(IFERROR(VALUE(MID($A$2:$A$2000,4,2)),0)=MONTH(C749))*(IFERROR(VALUE(RIGHT($A$2:$A$2000,4)),0)=YEAR(C749)))),""))</f>
        <v/>
      </c>
      <c r="E749" s="62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4" t="inlineStr">
        <is>
          <t>07/04/2017</t>
        </is>
      </c>
      <c r="B750" s="31" t="n">
        <v>2.5839</v>
      </c>
      <c r="C750" s="69" t="n"/>
      <c r="D750" s="70">
        <f t="array" ref="D750">IF(C750="","",IFERROR(AVERAGE(_xlfn._xlws.FILTER($B$2:$B$2000,(IFERROR(VALUE(MID($A$2:$A$2000,4,2)),0)=MONTH(C750))*(IFERROR(VALUE(RIGHT($A$2:$A$2000,4)),0)=YEAR(C750)))),""))</f>
        <v/>
      </c>
      <c r="E750" s="62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4" t="inlineStr">
        <is>
          <t>13/04/2017</t>
        </is>
      </c>
      <c r="B751" s="31" t="n">
        <v>2.6509</v>
      </c>
      <c r="C751" s="69" t="n"/>
      <c r="D751" s="70">
        <f t="array" ref="D751">IF(C751="","",IFERROR(AVERAGE(_xlfn._xlws.FILTER($B$2:$B$2000,(IFERROR(VALUE(MID($A$2:$A$2000,4,2)),0)=MONTH(C751))*(IFERROR(VALUE(RIGHT($A$2:$A$2000,4)),0)=YEAR(C751)))),""))</f>
        <v/>
      </c>
      <c r="E751" s="62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4" t="inlineStr">
        <is>
          <t>20/04/2017</t>
        </is>
      </c>
      <c r="B752" s="31" t="n">
        <v>2.6948</v>
      </c>
      <c r="C752" s="69" t="n"/>
      <c r="D752" s="70">
        <f t="array" ref="D752">IF(C752="","",IFERROR(AVERAGE(_xlfn._xlws.FILTER($B$2:$B$2000,(IFERROR(VALUE(MID($A$2:$A$2000,4,2)),0)=MONTH(C752))*(IFERROR(VALUE(RIGHT($A$2:$A$2000,4)),0)=YEAR(C752)))),""))</f>
        <v/>
      </c>
      <c r="E752" s="62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4" t="inlineStr">
        <is>
          <t>28/04/2017</t>
        </is>
      </c>
      <c r="B753" s="31" t="n">
        <v>2.6944</v>
      </c>
      <c r="C753" s="69" t="n"/>
      <c r="D753" s="70">
        <f t="array" ref="D753">IF(C753="","",IFERROR(AVERAGE(_xlfn._xlws.FILTER($B$2:$B$2000,(IFERROR(VALUE(MID($A$2:$A$2000,4,2)),0)=MONTH(C753))*(IFERROR(VALUE(RIGHT($A$2:$A$2000,4)),0)=YEAR(C753)))),""))</f>
        <v/>
      </c>
      <c r="E753" s="62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4" t="inlineStr">
        <is>
          <t>05/05/2017</t>
        </is>
      </c>
      <c r="B754" s="31" t="n">
        <v>2.6502</v>
      </c>
      <c r="C754" s="69" t="n"/>
      <c r="D754" s="70">
        <f t="array" ref="D754">IF(C754="","",IFERROR(AVERAGE(_xlfn._xlws.FILTER($B$2:$B$2000,(IFERROR(VALUE(MID($A$2:$A$2000,4,2)),0)=MONTH(C754))*(IFERROR(VALUE(RIGHT($A$2:$A$2000,4)),0)=YEAR(C754)))),""))</f>
        <v/>
      </c>
      <c r="E754" s="62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4" t="inlineStr">
        <is>
          <t>12/05/2017</t>
        </is>
      </c>
      <c r="B755" s="31" t="n">
        <v>2.5777</v>
      </c>
      <c r="C755" s="69" t="n"/>
      <c r="D755" s="70">
        <f t="array" ref="D755">IF(C755="","",IFERROR(AVERAGE(_xlfn._xlws.FILTER($B$2:$B$2000,(IFERROR(VALUE(MID($A$2:$A$2000,4,2)),0)=MONTH(C755))*(IFERROR(VALUE(RIGHT($A$2:$A$2000,4)),0)=YEAR(C755)))),""))</f>
        <v/>
      </c>
      <c r="E755" s="62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4" t="inlineStr">
        <is>
          <t>19/05/2017</t>
        </is>
      </c>
      <c r="B756" s="31" t="n">
        <v>2.5194</v>
      </c>
      <c r="C756" s="69" t="n"/>
      <c r="D756" s="70">
        <f t="array" ref="D756">IF(C756="","",IFERROR(AVERAGE(_xlfn._xlws.FILTER($B$2:$B$2000,(IFERROR(VALUE(MID($A$2:$A$2000,4,2)),0)=MONTH(C756))*(IFERROR(VALUE(RIGHT($A$2:$A$2000,4)),0)=YEAR(C756)))),""))</f>
        <v/>
      </c>
      <c r="E756" s="62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4" t="inlineStr">
        <is>
          <t>26/05/2017</t>
        </is>
      </c>
      <c r="B757" s="31" t="n">
        <v>2.5417</v>
      </c>
      <c r="C757" s="69" t="n"/>
      <c r="D757" s="70">
        <f t="array" ref="D757">IF(C757="","",IFERROR(AVERAGE(_xlfn._xlws.FILTER($B$2:$B$2000,(IFERROR(VALUE(MID($A$2:$A$2000,4,2)),0)=MONTH(C757))*(IFERROR(VALUE(RIGHT($A$2:$A$2000,4)),0)=YEAR(C757)))),""))</f>
        <v/>
      </c>
      <c r="E757" s="62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4" t="inlineStr">
        <is>
          <t>02/06/2017</t>
        </is>
      </c>
      <c r="B758" s="31" t="n">
        <v>2.4671</v>
      </c>
      <c r="C758" s="69" t="n"/>
      <c r="D758" s="70">
        <f t="array" ref="D758">IF(C758="","",IFERROR(AVERAGE(_xlfn._xlws.FILTER($B$2:$B$2000,(IFERROR(VALUE(MID($A$2:$A$2000,4,2)),0)=MONTH(C758))*(IFERROR(VALUE(RIGHT($A$2:$A$2000,4)),0)=YEAR(C758)))),""))</f>
        <v/>
      </c>
      <c r="E758" s="62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4" t="inlineStr">
        <is>
          <t>09/06/2017</t>
        </is>
      </c>
      <c r="B759" s="31" t="n">
        <v>2.4599</v>
      </c>
      <c r="C759" s="69" t="n"/>
      <c r="D759" s="70">
        <f t="array" ref="D759">IF(C759="","",IFERROR(AVERAGE(_xlfn._xlws.FILTER($B$2:$B$2000,(IFERROR(VALUE(MID($A$2:$A$2000,4,2)),0)=MONTH(C759))*(IFERROR(VALUE(RIGHT($A$2:$A$2000,4)),0)=YEAR(C759)))),""))</f>
        <v/>
      </c>
      <c r="E759" s="62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4" t="inlineStr">
        <is>
          <t>16/06/2017</t>
        </is>
      </c>
      <c r="B760" s="31" t="n">
        <v>2.4687</v>
      </c>
      <c r="C760" s="69" t="n"/>
      <c r="D760" s="70">
        <f t="array" ref="D760">IF(C760="","",IFERROR(AVERAGE(_xlfn._xlws.FILTER($B$2:$B$2000,(IFERROR(VALUE(MID($A$2:$A$2000,4,2)),0)=MONTH(C760))*(IFERROR(VALUE(RIGHT($A$2:$A$2000,4)),0)=YEAR(C760)))),""))</f>
        <v/>
      </c>
      <c r="E760" s="62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4" t="inlineStr">
        <is>
          <t>23/06/2017</t>
        </is>
      </c>
      <c r="B761" s="31" t="n">
        <v>2.4066</v>
      </c>
      <c r="C761" s="69" t="n"/>
      <c r="D761" s="70">
        <f t="array" ref="D761">IF(C761="","",IFERROR(AVERAGE(_xlfn._xlws.FILTER($B$2:$B$2000,(IFERROR(VALUE(MID($A$2:$A$2000,4,2)),0)=MONTH(C761))*(IFERROR(VALUE(RIGHT($A$2:$A$2000,4)),0)=YEAR(C761)))),""))</f>
        <v/>
      </c>
      <c r="E761" s="62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4" t="inlineStr">
        <is>
          <t>30/06/2017</t>
        </is>
      </c>
      <c r="B762" s="31" t="n">
        <v>2.3623</v>
      </c>
      <c r="C762" s="69" t="n"/>
      <c r="D762" s="70">
        <f t="array" ref="D762">IF(C762="","",IFERROR(AVERAGE(_xlfn._xlws.FILTER($B$2:$B$2000,(IFERROR(VALUE(MID($A$2:$A$2000,4,2)),0)=MONTH(C762))*(IFERROR(VALUE(RIGHT($A$2:$A$2000,4)),0)=YEAR(C762)))),""))</f>
        <v/>
      </c>
      <c r="E762" s="62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4" t="inlineStr">
        <is>
          <t>07/07/2017</t>
        </is>
      </c>
      <c r="B763" s="31" t="n">
        <v>2.3365</v>
      </c>
      <c r="C763" s="69" t="n"/>
      <c r="D763" s="70">
        <f t="array" ref="D763">IF(C763="","",IFERROR(AVERAGE(_xlfn._xlws.FILTER($B$2:$B$2000,(IFERROR(VALUE(MID($A$2:$A$2000,4,2)),0)=MONTH(C763))*(IFERROR(VALUE(RIGHT($A$2:$A$2000,4)),0)=YEAR(C763)))),""))</f>
        <v/>
      </c>
      <c r="E763" s="62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4" t="inlineStr">
        <is>
          <t>14/07/2017</t>
        </is>
      </c>
      <c r="B764" s="31" t="n">
        <v>2.3446</v>
      </c>
      <c r="C764" s="69" t="n"/>
      <c r="D764" s="70">
        <f t="array" ref="D764">IF(C764="","",IFERROR(AVERAGE(_xlfn._xlws.FILTER($B$2:$B$2000,(IFERROR(VALUE(MID($A$2:$A$2000,4,2)),0)=MONTH(C764))*(IFERROR(VALUE(RIGHT($A$2:$A$2000,4)),0)=YEAR(C764)))),""))</f>
        <v/>
      </c>
      <c r="E764" s="62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4" t="inlineStr">
        <is>
          <t>21/07/2017</t>
        </is>
      </c>
      <c r="B765" s="31" t="n">
        <v>2.398</v>
      </c>
      <c r="C765" s="69" t="n"/>
      <c r="D765" s="70">
        <f t="array" ref="D765">IF(C765="","",IFERROR(AVERAGE(_xlfn._xlws.FILTER($B$2:$B$2000,(IFERROR(VALUE(MID($A$2:$A$2000,4,2)),0)=MONTH(C765))*(IFERROR(VALUE(RIGHT($A$2:$A$2000,4)),0)=YEAR(C765)))),""))</f>
        <v/>
      </c>
      <c r="E765" s="62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4" t="inlineStr">
        <is>
          <t>28/07/2017</t>
        </is>
      </c>
      <c r="B766" s="31" t="n">
        <v>2.5108</v>
      </c>
      <c r="C766" s="69" t="n"/>
      <c r="D766" s="70">
        <f t="array" ref="D766">IF(C766="","",IFERROR(AVERAGE(_xlfn._xlws.FILTER($B$2:$B$2000,(IFERROR(VALUE(MID($A$2:$A$2000,4,2)),0)=MONTH(C766))*(IFERROR(VALUE(RIGHT($A$2:$A$2000,4)),0)=YEAR(C766)))),""))</f>
        <v/>
      </c>
      <c r="E766" s="62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4" t="inlineStr">
        <is>
          <t>04/08/2017</t>
        </is>
      </c>
      <c r="B767" s="31" t="n">
        <v>2.5548</v>
      </c>
      <c r="C767" s="69" t="n"/>
      <c r="D767" s="70">
        <f t="array" ref="D767">IF(C767="","",IFERROR(AVERAGE(_xlfn._xlws.FILTER($B$2:$B$2000,(IFERROR(VALUE(MID($A$2:$A$2000,4,2)),0)=MONTH(C767))*(IFERROR(VALUE(RIGHT($A$2:$A$2000,4)),0)=YEAR(C767)))),""))</f>
        <v/>
      </c>
      <c r="E767" s="62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4" t="inlineStr">
        <is>
          <t>11/08/2017</t>
        </is>
      </c>
      <c r="B768" s="31" t="n">
        <v>2.615</v>
      </c>
      <c r="C768" s="69" t="n"/>
      <c r="D768" s="70">
        <f t="array" ref="D768">IF(C768="","",IFERROR(AVERAGE(_xlfn._xlws.FILTER($B$2:$B$2000,(IFERROR(VALUE(MID($A$2:$A$2000,4,2)),0)=MONTH(C768))*(IFERROR(VALUE(RIGHT($A$2:$A$2000,4)),0)=YEAR(C768)))),""))</f>
        <v/>
      </c>
      <c r="E768" s="62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4" t="inlineStr">
        <is>
          <t>18/08/2017</t>
        </is>
      </c>
      <c r="B769" s="31" t="n">
        <v>2.6225</v>
      </c>
      <c r="C769" s="69" t="n"/>
      <c r="D769" s="70">
        <f t="array" ref="D769">IF(C769="","",IFERROR(AVERAGE(_xlfn._xlws.FILTER($B$2:$B$2000,(IFERROR(VALUE(MID($A$2:$A$2000,4,2)),0)=MONTH(C769))*(IFERROR(VALUE(RIGHT($A$2:$A$2000,4)),0)=YEAR(C769)))),""))</f>
        <v/>
      </c>
      <c r="E769" s="62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4" t="inlineStr">
        <is>
          <t>25/08/2017</t>
        </is>
      </c>
      <c r="B770" s="31" t="n">
        <v>2.5758</v>
      </c>
      <c r="C770" s="69" t="n"/>
      <c r="D770" s="70">
        <f t="array" ref="D770">IF(C770="","",IFERROR(AVERAGE(_xlfn._xlws.FILTER($B$2:$B$2000,(IFERROR(VALUE(MID($A$2:$A$2000,4,2)),0)=MONTH(C770))*(IFERROR(VALUE(RIGHT($A$2:$A$2000,4)),0)=YEAR(C770)))),""))</f>
        <v/>
      </c>
      <c r="E770" s="62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4" t="inlineStr">
        <is>
          <t>01/09/2017</t>
        </is>
      </c>
      <c r="B771" s="31" t="n">
        <v>2.5698</v>
      </c>
      <c r="C771" s="69" t="n"/>
      <c r="D771" s="70">
        <f t="array" ref="D771">IF(C771="","",IFERROR(AVERAGE(_xlfn._xlws.FILTER($B$2:$B$2000,(IFERROR(VALUE(MID($A$2:$A$2000,4,2)),0)=MONTH(C771))*(IFERROR(VALUE(RIGHT($A$2:$A$2000,4)),0)=YEAR(C771)))),""))</f>
        <v/>
      </c>
      <c r="E771" s="62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4" t="inlineStr">
        <is>
          <t>08/09/2017</t>
        </is>
      </c>
      <c r="B772" s="31" t="n">
        <v>2.6436</v>
      </c>
      <c r="C772" s="69" t="n"/>
      <c r="D772" s="70">
        <f t="array" ref="D772">IF(C772="","",IFERROR(AVERAGE(_xlfn._xlws.FILTER($B$2:$B$2000,(IFERROR(VALUE(MID($A$2:$A$2000,4,2)),0)=MONTH(C772))*(IFERROR(VALUE(RIGHT($A$2:$A$2000,4)),0)=YEAR(C772)))),""))</f>
        <v/>
      </c>
      <c r="E772" s="62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4" t="inlineStr">
        <is>
          <t>15/09/2017</t>
        </is>
      </c>
      <c r="B773" s="31" t="n">
        <v>2.6289</v>
      </c>
      <c r="C773" s="69" t="n"/>
      <c r="D773" s="70">
        <f t="array" ref="D773">IF(C773="","",IFERROR(AVERAGE(_xlfn._xlws.FILTER($B$2:$B$2000,(IFERROR(VALUE(MID($A$2:$A$2000,4,2)),0)=MONTH(C773))*(IFERROR(VALUE(RIGHT($A$2:$A$2000,4)),0)=YEAR(C773)))),""))</f>
        <v/>
      </c>
      <c r="E773" s="62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4" t="inlineStr">
        <is>
          <t>22/09/2017</t>
        </is>
      </c>
      <c r="B774" s="31" t="n">
        <v>2.6445</v>
      </c>
      <c r="C774" s="69" t="n"/>
      <c r="D774" s="70">
        <f t="array" ref="D774">IF(C774="","",IFERROR(AVERAGE(_xlfn._xlws.FILTER($B$2:$B$2000,(IFERROR(VALUE(MID($A$2:$A$2000,4,2)),0)=MONTH(C774))*(IFERROR(VALUE(RIGHT($A$2:$A$2000,4)),0)=YEAR(C774)))),""))</f>
        <v/>
      </c>
      <c r="E774" s="62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4" t="inlineStr">
        <is>
          <t>29/09/2017</t>
        </is>
      </c>
      <c r="B775" s="31" t="n">
        <v>2.6732</v>
      </c>
      <c r="C775" s="69" t="n"/>
      <c r="D775" s="70">
        <f t="array" ref="D775">IF(C775="","",IFERROR(AVERAGE(_xlfn._xlws.FILTER($B$2:$B$2000,(IFERROR(VALUE(MID($A$2:$A$2000,4,2)),0)=MONTH(C775))*(IFERROR(VALUE(RIGHT($A$2:$A$2000,4)),0)=YEAR(C775)))),""))</f>
        <v/>
      </c>
      <c r="E775" s="62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4" t="inlineStr">
        <is>
          <t>06/10/2017</t>
        </is>
      </c>
      <c r="B776" s="31" t="n">
        <v>2.7449</v>
      </c>
      <c r="C776" s="69" t="n"/>
      <c r="D776" s="70">
        <f t="array" ref="D776">IF(C776="","",IFERROR(AVERAGE(_xlfn._xlws.FILTER($B$2:$B$2000,(IFERROR(VALUE(MID($A$2:$A$2000,4,2)),0)=MONTH(C776))*(IFERROR(VALUE(RIGHT($A$2:$A$2000,4)),0)=YEAR(C776)))),""))</f>
        <v/>
      </c>
      <c r="E776" s="62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4" t="inlineStr">
        <is>
          <t>13/10/2017</t>
        </is>
      </c>
      <c r="B777" s="31" t="n">
        <v>2.7695</v>
      </c>
      <c r="C777" s="69" t="n"/>
      <c r="D777" s="70">
        <f t="array" ref="D777">IF(C777="","",IFERROR(AVERAGE(_xlfn._xlws.FILTER($B$2:$B$2000,(IFERROR(VALUE(MID($A$2:$A$2000,4,2)),0)=MONTH(C777))*(IFERROR(VALUE(RIGHT($A$2:$A$2000,4)),0)=YEAR(C777)))),""))</f>
        <v/>
      </c>
      <c r="E777" s="62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4" t="inlineStr">
        <is>
          <t>20/10/2017</t>
        </is>
      </c>
      <c r="B778" s="31" t="n">
        <v>2.8088</v>
      </c>
      <c r="C778" s="69" t="n"/>
      <c r="D778" s="70">
        <f t="array" ref="D778">IF(C778="","",IFERROR(AVERAGE(_xlfn._xlws.FILTER($B$2:$B$2000,(IFERROR(VALUE(MID($A$2:$A$2000,4,2)),0)=MONTH(C778))*(IFERROR(VALUE(RIGHT($A$2:$A$2000,4)),0)=YEAR(C778)))),""))</f>
        <v/>
      </c>
      <c r="E778" s="62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4" t="inlineStr">
        <is>
          <t>27/10/2017</t>
        </is>
      </c>
      <c r="B779" s="31" t="n">
        <v>2.8733</v>
      </c>
      <c r="C779" s="69" t="n"/>
      <c r="D779" s="70">
        <f t="array" ref="D779">IF(C779="","",IFERROR(AVERAGE(_xlfn._xlws.FILTER($B$2:$B$2000,(IFERROR(VALUE(MID($A$2:$A$2000,4,2)),0)=MONTH(C779))*(IFERROR(VALUE(RIGHT($A$2:$A$2000,4)),0)=YEAR(C779)))),""))</f>
        <v/>
      </c>
      <c r="E779" s="62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4" t="inlineStr">
        <is>
          <t>03/11/2017</t>
        </is>
      </c>
      <c r="B780" s="31" t="n">
        <v>2.889</v>
      </c>
      <c r="C780" s="69" t="n"/>
      <c r="D780" s="70">
        <f t="array" ref="D780">IF(C780="","",IFERROR(AVERAGE(_xlfn._xlws.FILTER($B$2:$B$2000,(IFERROR(VALUE(MID($A$2:$A$2000,4,2)),0)=MONTH(C780))*(IFERROR(VALUE(RIGHT($A$2:$A$2000,4)),0)=YEAR(C780)))),""))</f>
        <v/>
      </c>
      <c r="E780" s="62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4" t="inlineStr">
        <is>
          <t>10/11/2017</t>
        </is>
      </c>
      <c r="B781" s="31" t="n">
        <v>2.9541</v>
      </c>
      <c r="C781" s="69" t="n"/>
      <c r="D781" s="70">
        <f t="array" ref="D781">IF(C781="","",IFERROR(AVERAGE(_xlfn._xlws.FILTER($B$2:$B$2000,(IFERROR(VALUE(MID($A$2:$A$2000,4,2)),0)=MONTH(C781))*(IFERROR(VALUE(RIGHT($A$2:$A$2000,4)),0)=YEAR(C781)))),""))</f>
        <v/>
      </c>
      <c r="E781" s="62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4" t="inlineStr">
        <is>
          <t>17/11/2017</t>
        </is>
      </c>
      <c r="B782" s="31" t="n">
        <v>3.049</v>
      </c>
      <c r="C782" s="69" t="n"/>
      <c r="D782" s="70">
        <f t="array" ref="D782">IF(C782="","",IFERROR(AVERAGE(_xlfn._xlws.FILTER($B$2:$B$2000,(IFERROR(VALUE(MID($A$2:$A$2000,4,2)),0)=MONTH(C782))*(IFERROR(VALUE(RIGHT($A$2:$A$2000,4)),0)=YEAR(C782)))),""))</f>
        <v/>
      </c>
      <c r="E782" s="62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4" t="inlineStr">
        <is>
          <t>24/11/2017</t>
        </is>
      </c>
      <c r="B783" s="31" t="n">
        <v>3.0565</v>
      </c>
      <c r="C783" s="69" t="n"/>
      <c r="D783" s="70">
        <f t="array" ref="D783">IF(C783="","",IFERROR(AVERAGE(_xlfn._xlws.FILTER($B$2:$B$2000,(IFERROR(VALUE(MID($A$2:$A$2000,4,2)),0)=MONTH(C783))*(IFERROR(VALUE(RIGHT($A$2:$A$2000,4)),0)=YEAR(C783)))),""))</f>
        <v/>
      </c>
      <c r="E783" s="62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4" t="inlineStr">
        <is>
          <t>01/12/2017</t>
        </is>
      </c>
      <c r="B784" s="31" t="n">
        <v>3.0812</v>
      </c>
      <c r="C784" s="69" t="n"/>
      <c r="D784" s="70">
        <f t="array" ref="D784">IF(C784="","",IFERROR(AVERAGE(_xlfn._xlws.FILTER($B$2:$B$2000,(IFERROR(VALUE(MID($A$2:$A$2000,4,2)),0)=MONTH(C784))*(IFERROR(VALUE(RIGHT($A$2:$A$2000,4)),0)=YEAR(C784)))),""))</f>
        <v/>
      </c>
      <c r="E784" s="62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4" t="inlineStr">
        <is>
          <t>08/12/2017</t>
        </is>
      </c>
      <c r="B785" s="31" t="n">
        <v>3.1322</v>
      </c>
      <c r="C785" s="69" t="n"/>
      <c r="D785" s="70">
        <f t="array" ref="D785">IF(C785="","",IFERROR(AVERAGE(_xlfn._xlws.FILTER($B$2:$B$2000,(IFERROR(VALUE(MID($A$2:$A$2000,4,2)),0)=MONTH(C785))*(IFERROR(VALUE(RIGHT($A$2:$A$2000,4)),0)=YEAR(C785)))),""))</f>
        <v/>
      </c>
      <c r="E785" s="62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4" t="inlineStr">
        <is>
          <t>15/12/2017</t>
        </is>
      </c>
      <c r="B786" s="31" t="n">
        <v>3.1557</v>
      </c>
      <c r="C786" s="69" t="n"/>
      <c r="D786" s="70">
        <f t="array" ref="D786">IF(C786="","",IFERROR(AVERAGE(_xlfn._xlws.FILTER($B$2:$B$2000,(IFERROR(VALUE(MID($A$2:$A$2000,4,2)),0)=MONTH(C786))*(IFERROR(VALUE(RIGHT($A$2:$A$2000,4)),0)=YEAR(C786)))),""))</f>
        <v/>
      </c>
      <c r="E786" s="62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4" t="inlineStr">
        <is>
          <t>22/12/2017</t>
        </is>
      </c>
      <c r="B787" s="31" t="n">
        <v>3.1577</v>
      </c>
      <c r="C787" s="69" t="n"/>
      <c r="D787" s="70">
        <f t="array" ref="D787">IF(C787="","",IFERROR(AVERAGE(_xlfn._xlws.FILTER($B$2:$B$2000,(IFERROR(VALUE(MID($A$2:$A$2000,4,2)),0)=MONTH(C787))*(IFERROR(VALUE(RIGHT($A$2:$A$2000,4)),0)=YEAR(C787)))),""))</f>
        <v/>
      </c>
      <c r="E787" s="62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4" t="inlineStr">
        <is>
          <t>28/12/2017</t>
        </is>
      </c>
      <c r="B788" s="31" t="n">
        <v>3.1946</v>
      </c>
      <c r="C788" s="69" t="n"/>
      <c r="D788" s="70">
        <f t="array" ref="D788">IF(C788="","",IFERROR(AVERAGE(_xlfn._xlws.FILTER($B$2:$B$2000,(IFERROR(VALUE(MID($A$2:$A$2000,4,2)),0)=MONTH(C788))*(IFERROR(VALUE(RIGHT($A$2:$A$2000,4)),0)=YEAR(C788)))),""))</f>
        <v/>
      </c>
      <c r="E788" s="62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4" t="inlineStr">
        <is>
          <t>05/01/2018</t>
        </is>
      </c>
      <c r="B789" s="31" t="n">
        <v>3.2487</v>
      </c>
      <c r="C789" s="69" t="n"/>
      <c r="D789" s="70">
        <f t="array" ref="D789">IF(C789="","",IFERROR(AVERAGE(_xlfn._xlws.FILTER($B$2:$B$2000,(IFERROR(VALUE(MID($A$2:$A$2000,4,2)),0)=MONTH(C789))*(IFERROR(VALUE(RIGHT($A$2:$A$2000,4)),0)=YEAR(C789)))),""))</f>
        <v/>
      </c>
      <c r="E789" s="62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4" t="inlineStr">
        <is>
          <t>12/01/2018</t>
        </is>
      </c>
      <c r="B790" s="31" t="n">
        <v>3.3116</v>
      </c>
      <c r="C790" s="69" t="n"/>
      <c r="D790" s="70">
        <f t="array" ref="D790">IF(C790="","",IFERROR(AVERAGE(_xlfn._xlws.FILTER($B$2:$B$2000,(IFERROR(VALUE(MID($A$2:$A$2000,4,2)),0)=MONTH(C790))*(IFERROR(VALUE(RIGHT($A$2:$A$2000,4)),0)=YEAR(C790)))),""))</f>
        <v/>
      </c>
      <c r="E790" s="62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4" t="inlineStr">
        <is>
          <t>19/01/2018</t>
        </is>
      </c>
      <c r="B791" s="31" t="n">
        <v>3.3179</v>
      </c>
      <c r="C791" s="69" t="n"/>
      <c r="D791" s="70">
        <f t="array" ref="D791">IF(C791="","",IFERROR(AVERAGE(_xlfn._xlws.FILTER($B$2:$B$2000,(IFERROR(VALUE(MID($A$2:$A$2000,4,2)),0)=MONTH(C791))*(IFERROR(VALUE(RIGHT($A$2:$A$2000,4)),0)=YEAR(C791)))),""))</f>
        <v/>
      </c>
      <c r="E791" s="62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4" t="inlineStr">
        <is>
          <t>26/01/2018</t>
        </is>
      </c>
      <c r="B792" s="31" t="n">
        <v>3.2902</v>
      </c>
      <c r="C792" s="69" t="n"/>
      <c r="D792" s="70">
        <f t="array" ref="D792">IF(C792="","",IFERROR(AVERAGE(_xlfn._xlws.FILTER($B$2:$B$2000,(IFERROR(VALUE(MID($A$2:$A$2000,4,2)),0)=MONTH(C792))*(IFERROR(VALUE(RIGHT($A$2:$A$2000,4)),0)=YEAR(C792)))),""))</f>
        <v/>
      </c>
      <c r="E792" s="62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4" t="inlineStr">
        <is>
          <t>02/02/2018</t>
        </is>
      </c>
      <c r="B793" s="31" t="n">
        <v>3.2871</v>
      </c>
      <c r="C793" s="69" t="n"/>
      <c r="D793" s="70">
        <f t="array" ref="D793">IF(C793="","",IFERROR(AVERAGE(_xlfn._xlws.FILTER($B$2:$B$2000,(IFERROR(VALUE(MID($A$2:$A$2000,4,2)),0)=MONTH(C793))*(IFERROR(VALUE(RIGHT($A$2:$A$2000,4)),0)=YEAR(C793)))),""))</f>
        <v/>
      </c>
      <c r="E793" s="62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4" t="inlineStr">
        <is>
          <t>09/02/2018</t>
        </is>
      </c>
      <c r="B794" s="31" t="n">
        <v>3.2762</v>
      </c>
      <c r="C794" s="69" t="n"/>
      <c r="D794" s="70">
        <f t="array" ref="D794">IF(C794="","",IFERROR(AVERAGE(_xlfn._xlws.FILTER($B$2:$B$2000,(IFERROR(VALUE(MID($A$2:$A$2000,4,2)),0)=MONTH(C794))*(IFERROR(VALUE(RIGHT($A$2:$A$2000,4)),0)=YEAR(C794)))),""))</f>
        <v/>
      </c>
      <c r="E794" s="62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4" t="inlineStr">
        <is>
          <t>16/02/2018</t>
        </is>
      </c>
      <c r="B795" s="31" t="n">
        <v>3.3107</v>
      </c>
      <c r="C795" s="69" t="n"/>
      <c r="D795" s="70">
        <f t="array" ref="D795">IF(C795="","",IFERROR(AVERAGE(_xlfn._xlws.FILTER($B$2:$B$2000,(IFERROR(VALUE(MID($A$2:$A$2000,4,2)),0)=MONTH(C795))*(IFERROR(VALUE(RIGHT($A$2:$A$2000,4)),0)=YEAR(C795)))),""))</f>
        <v/>
      </c>
      <c r="E795" s="62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4" t="inlineStr">
        <is>
          <t>23/02/2018</t>
        </is>
      </c>
      <c r="B796" s="31" t="n">
        <v>3.3379</v>
      </c>
      <c r="C796" s="69" t="n"/>
      <c r="D796" s="70">
        <f t="array" ref="D796">IF(C796="","",IFERROR(AVERAGE(_xlfn._xlws.FILTER($B$2:$B$2000,(IFERROR(VALUE(MID($A$2:$A$2000,4,2)),0)=MONTH(C796))*(IFERROR(VALUE(RIGHT($A$2:$A$2000,4)),0)=YEAR(C796)))),""))</f>
        <v/>
      </c>
      <c r="E796" s="62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4" t="inlineStr">
        <is>
          <t>02/03/2018</t>
        </is>
      </c>
      <c r="B797" s="31" t="n">
        <v>3.3419</v>
      </c>
      <c r="C797" s="69" t="n"/>
      <c r="D797" s="70">
        <f t="array" ref="D797">IF(C797="","",IFERROR(AVERAGE(_xlfn._xlws.FILTER($B$2:$B$2000,(IFERROR(VALUE(MID($A$2:$A$2000,4,2)),0)=MONTH(C797))*(IFERROR(VALUE(RIGHT($A$2:$A$2000,4)),0)=YEAR(C797)))),""))</f>
        <v/>
      </c>
      <c r="E797" s="62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4" t="inlineStr">
        <is>
          <t>09/03/2018</t>
        </is>
      </c>
      <c r="B798" s="31" t="n">
        <v>3.3384</v>
      </c>
      <c r="C798" s="69" t="n"/>
      <c r="D798" s="70">
        <f t="array" ref="D798">IF(C798="","",IFERROR(AVERAGE(_xlfn._xlws.FILTER($B$2:$B$2000,(IFERROR(VALUE(MID($A$2:$A$2000,4,2)),0)=MONTH(C798))*(IFERROR(VALUE(RIGHT($A$2:$A$2000,4)),0)=YEAR(C798)))),""))</f>
        <v/>
      </c>
      <c r="E798" s="62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4" t="inlineStr">
        <is>
          <t>16/03/2018</t>
        </is>
      </c>
      <c r="B799" s="31" t="n">
        <v>3.3783</v>
      </c>
      <c r="C799" s="69" t="n"/>
      <c r="D799" s="70">
        <f t="array" ref="D799">IF(C799="","",IFERROR(AVERAGE(_xlfn._xlws.FILTER($B$2:$B$2000,(IFERROR(VALUE(MID($A$2:$A$2000,4,2)),0)=MONTH(C799))*(IFERROR(VALUE(RIGHT($A$2:$A$2000,4)),0)=YEAR(C799)))),""))</f>
        <v/>
      </c>
      <c r="E799" s="62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4" t="inlineStr">
        <is>
          <t>23/03/2018</t>
        </is>
      </c>
      <c r="B800" s="31" t="n">
        <v>3.3064</v>
      </c>
      <c r="C800" s="69" t="n"/>
      <c r="D800" s="70">
        <f t="array" ref="D800">IF(C800="","",IFERROR(AVERAGE(_xlfn._xlws.FILTER($B$2:$B$2000,(IFERROR(VALUE(MID($A$2:$A$2000,4,2)),0)=MONTH(C800))*(IFERROR(VALUE(RIGHT($A$2:$A$2000,4)),0)=YEAR(C800)))),""))</f>
        <v/>
      </c>
      <c r="E800" s="62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4" t="inlineStr">
        <is>
          <t>29/03/2018</t>
        </is>
      </c>
      <c r="B801" s="31" t="n">
        <v>3.2004</v>
      </c>
      <c r="C801" s="69" t="n"/>
      <c r="D801" s="70">
        <f t="array" ref="D801">IF(C801="","",IFERROR(AVERAGE(_xlfn._xlws.FILTER($B$2:$B$2000,(IFERROR(VALUE(MID($A$2:$A$2000,4,2)),0)=MONTH(C801))*(IFERROR(VALUE(RIGHT($A$2:$A$2000,4)),0)=YEAR(C801)))),""))</f>
        <v/>
      </c>
      <c r="E801" s="62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4" t="inlineStr">
        <is>
          <t>06/04/2018</t>
        </is>
      </c>
      <c r="B802" s="31" t="n">
        <v>2.9136</v>
      </c>
      <c r="C802" s="69" t="n"/>
      <c r="D802" s="70">
        <f t="array" ref="D802">IF(C802="","",IFERROR(AVERAGE(_xlfn._xlws.FILTER($B$2:$B$2000,(IFERROR(VALUE(MID($A$2:$A$2000,4,2)),0)=MONTH(C802))*(IFERROR(VALUE(RIGHT($A$2:$A$2000,4)),0)=YEAR(C802)))),""))</f>
        <v/>
      </c>
      <c r="E802" s="62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4" t="inlineStr">
        <is>
          <t>13/04/2018</t>
        </is>
      </c>
      <c r="B803" s="31" t="n">
        <v>2.6863</v>
      </c>
      <c r="C803" s="69" t="n"/>
      <c r="D803" s="70">
        <f t="array" ref="D803">IF(C803="","",IFERROR(AVERAGE(_xlfn._xlws.FILTER($B$2:$B$2000,(IFERROR(VALUE(MID($A$2:$A$2000,4,2)),0)=MONTH(C803))*(IFERROR(VALUE(RIGHT($A$2:$A$2000,4)),0)=YEAR(C803)))),""))</f>
        <v/>
      </c>
      <c r="E803" s="62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4" t="inlineStr">
        <is>
          <t>20/04/2018</t>
        </is>
      </c>
      <c r="B804" s="31" t="n">
        <v>2.627</v>
      </c>
      <c r="C804" s="69" t="n"/>
      <c r="D804" s="70">
        <f t="array" ref="D804">IF(C804="","",IFERROR(AVERAGE(_xlfn._xlws.FILTER($B$2:$B$2000,(IFERROR(VALUE(MID($A$2:$A$2000,4,2)),0)=MONTH(C804))*(IFERROR(VALUE(RIGHT($A$2:$A$2000,4)),0)=YEAR(C804)))),""))</f>
        <v/>
      </c>
      <c r="E804" s="62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4" t="inlineStr">
        <is>
          <t>27/04/2018</t>
        </is>
      </c>
      <c r="B805" s="31" t="n">
        <v>2.5758</v>
      </c>
      <c r="C805" s="69" t="n"/>
      <c r="D805" s="70">
        <f t="array" ref="D805">IF(C805="","",IFERROR(AVERAGE(_xlfn._xlws.FILTER($B$2:$B$2000,(IFERROR(VALUE(MID($A$2:$A$2000,4,2)),0)=MONTH(C805))*(IFERROR(VALUE(RIGHT($A$2:$A$2000,4)),0)=YEAR(C805)))),""))</f>
        <v/>
      </c>
      <c r="E805" s="62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4" t="inlineStr">
        <is>
          <t>04/05/2018</t>
        </is>
      </c>
      <c r="B806" s="31" t="n">
        <v>2.5202</v>
      </c>
      <c r="C806" s="69" t="n"/>
      <c r="D806" s="70">
        <f t="array" ref="D806">IF(C806="","",IFERROR(AVERAGE(_xlfn._xlws.FILTER($B$2:$B$2000,(IFERROR(VALUE(MID($A$2:$A$2000,4,2)),0)=MONTH(C806))*(IFERROR(VALUE(RIGHT($A$2:$A$2000,4)),0)=YEAR(C806)))),""))</f>
        <v/>
      </c>
      <c r="E806" s="62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4" t="inlineStr">
        <is>
          <t>11/05/2018</t>
        </is>
      </c>
      <c r="B807" s="31" t="n">
        <v>2.6449</v>
      </c>
      <c r="C807" s="69" t="n"/>
      <c r="D807" s="70">
        <f t="array" ref="D807">IF(C807="","",IFERROR(AVERAGE(_xlfn._xlws.FILTER($B$2:$B$2000,(IFERROR(VALUE(MID($A$2:$A$2000,4,2)),0)=MONTH(C807))*(IFERROR(VALUE(RIGHT($A$2:$A$2000,4)),0)=YEAR(C807)))),""))</f>
        <v/>
      </c>
      <c r="E807" s="62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4" t="inlineStr">
        <is>
          <t>18/05/2018</t>
        </is>
      </c>
      <c r="B808" s="31" t="n">
        <v>2.8236</v>
      </c>
      <c r="C808" s="69" t="n"/>
      <c r="D808" s="70">
        <f t="array" ref="D808">IF(C808="","",IFERROR(AVERAGE(_xlfn._xlws.FILTER($B$2:$B$2000,(IFERROR(VALUE(MID($A$2:$A$2000,4,2)),0)=MONTH(C808))*(IFERROR(VALUE(RIGHT($A$2:$A$2000,4)),0)=YEAR(C808)))),""))</f>
        <v/>
      </c>
      <c r="E808" s="62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4" t="inlineStr">
        <is>
          <t>25/05/2018</t>
        </is>
      </c>
      <c r="B809" s="31" t="n">
        <v>2.8713</v>
      </c>
      <c r="C809" s="69" t="n"/>
      <c r="D809" s="70">
        <f t="array" ref="D809">IF(C809="","",IFERROR(AVERAGE(_xlfn._xlws.FILTER($B$2:$B$2000,(IFERROR(VALUE(MID($A$2:$A$2000,4,2)),0)=MONTH(C809))*(IFERROR(VALUE(RIGHT($A$2:$A$2000,4)),0)=YEAR(C809)))),""))</f>
        <v/>
      </c>
      <c r="E809" s="62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4" t="inlineStr">
        <is>
          <t>01/06/2018</t>
        </is>
      </c>
      <c r="B810" s="31" t="n">
        <v>2.8843</v>
      </c>
      <c r="C810" s="69" t="n"/>
      <c r="D810" s="70">
        <f t="array" ref="D810">IF(C810="","",IFERROR(AVERAGE(_xlfn._xlws.FILTER($B$2:$B$2000,(IFERROR(VALUE(MID($A$2:$A$2000,4,2)),0)=MONTH(C810))*(IFERROR(VALUE(RIGHT($A$2:$A$2000,4)),0)=YEAR(C810)))),""))</f>
        <v/>
      </c>
      <c r="E810" s="62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4" t="inlineStr">
        <is>
          <t>08/06/2018</t>
        </is>
      </c>
      <c r="B811" s="31" t="n">
        <v>2.9011</v>
      </c>
      <c r="C811" s="69" t="n"/>
      <c r="D811" s="70">
        <f t="array" ref="D811">IF(C811="","",IFERROR(AVERAGE(_xlfn._xlws.FILTER($B$2:$B$2000,(IFERROR(VALUE(MID($A$2:$A$2000,4,2)),0)=MONTH(C811))*(IFERROR(VALUE(RIGHT($A$2:$A$2000,4)),0)=YEAR(C811)))),""))</f>
        <v/>
      </c>
      <c r="E811" s="62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4" t="inlineStr">
        <is>
          <t>15/06/2018</t>
        </is>
      </c>
      <c r="B812" s="31" t="n">
        <v>2.8198</v>
      </c>
      <c r="C812" s="69" t="n"/>
      <c r="D812" s="70">
        <f t="array" ref="D812">IF(C812="","",IFERROR(AVERAGE(_xlfn._xlws.FILTER($B$2:$B$2000,(IFERROR(VALUE(MID($A$2:$A$2000,4,2)),0)=MONTH(C812))*(IFERROR(VALUE(RIGHT($A$2:$A$2000,4)),0)=YEAR(C812)))),""))</f>
        <v/>
      </c>
      <c r="E812" s="62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4" t="inlineStr">
        <is>
          <t>22/06/2018</t>
        </is>
      </c>
      <c r="B813" s="31" t="n">
        <v>2.6711</v>
      </c>
      <c r="C813" s="69" t="n"/>
      <c r="D813" s="70">
        <f t="array" ref="D813">IF(C813="","",IFERROR(AVERAGE(_xlfn._xlws.FILTER($B$2:$B$2000,(IFERROR(VALUE(MID($A$2:$A$2000,4,2)),0)=MONTH(C813))*(IFERROR(VALUE(RIGHT($A$2:$A$2000,4)),0)=YEAR(C813)))),""))</f>
        <v/>
      </c>
      <c r="E813" s="62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4" t="inlineStr">
        <is>
          <t>29/06/2018</t>
        </is>
      </c>
      <c r="B814" s="31" t="n">
        <v>2.5769</v>
      </c>
      <c r="C814" s="69" t="n"/>
      <c r="D814" s="70">
        <f t="array" ref="D814">IF(C814="","",IFERROR(AVERAGE(_xlfn._xlws.FILTER($B$2:$B$2000,(IFERROR(VALUE(MID($A$2:$A$2000,4,2)),0)=MONTH(C814))*(IFERROR(VALUE(RIGHT($A$2:$A$2000,4)),0)=YEAR(C814)))),""))</f>
        <v/>
      </c>
      <c r="E814" s="62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4" t="inlineStr">
        <is>
          <t>06/07/2018</t>
        </is>
      </c>
      <c r="B815" s="31" t="n">
        <v>2.507</v>
      </c>
      <c r="C815" s="69" t="n"/>
      <c r="D815" s="70">
        <f t="array" ref="D815">IF(C815="","",IFERROR(AVERAGE(_xlfn._xlws.FILTER($B$2:$B$2000,(IFERROR(VALUE(MID($A$2:$A$2000,4,2)),0)=MONTH(C815))*(IFERROR(VALUE(RIGHT($A$2:$A$2000,4)),0)=YEAR(C815)))),""))</f>
        <v/>
      </c>
      <c r="E815" s="62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4" t="inlineStr">
        <is>
          <t>13/07/2018</t>
        </is>
      </c>
      <c r="B816" s="31" t="n">
        <v>2.4927</v>
      </c>
      <c r="C816" s="69" t="n"/>
      <c r="D816" s="70">
        <f t="array" ref="D816">IF(C816="","",IFERROR(AVERAGE(_xlfn._xlws.FILTER($B$2:$B$2000,(IFERROR(VALUE(MID($A$2:$A$2000,4,2)),0)=MONTH(C816))*(IFERROR(VALUE(RIGHT($A$2:$A$2000,4)),0)=YEAR(C816)))),""))</f>
        <v/>
      </c>
      <c r="E816" s="62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4" t="inlineStr">
        <is>
          <t>20/07/2018</t>
        </is>
      </c>
      <c r="B817" s="31" t="n">
        <v>2.4772</v>
      </c>
      <c r="C817" s="69" t="n"/>
      <c r="D817" s="70">
        <f t="array" ref="D817">IF(C817="","",IFERROR(AVERAGE(_xlfn._xlws.FILTER($B$2:$B$2000,(IFERROR(VALUE(MID($A$2:$A$2000,4,2)),0)=MONTH(C817))*(IFERROR(VALUE(RIGHT($A$2:$A$2000,4)),0)=YEAR(C817)))),""))</f>
        <v/>
      </c>
      <c r="E817" s="62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4" t="inlineStr">
        <is>
          <t>27/07/2018</t>
        </is>
      </c>
      <c r="B818" s="31" t="n">
        <v>2.4348</v>
      </c>
      <c r="C818" s="69" t="n"/>
      <c r="D818" s="70">
        <f t="array" ref="D818">IF(C818="","",IFERROR(AVERAGE(_xlfn._xlws.FILTER($B$2:$B$2000,(IFERROR(VALUE(MID($A$2:$A$2000,4,2)),0)=MONTH(C818))*(IFERROR(VALUE(RIGHT($A$2:$A$2000,4)),0)=YEAR(C818)))),""))</f>
        <v/>
      </c>
      <c r="E818" s="62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4" t="inlineStr">
        <is>
          <t>03/08/2018</t>
        </is>
      </c>
      <c r="B819" s="31" t="n">
        <v>2.3659</v>
      </c>
      <c r="C819" s="69" t="n"/>
      <c r="D819" s="70">
        <f t="array" ref="D819">IF(C819="","",IFERROR(AVERAGE(_xlfn._xlws.FILTER($B$2:$B$2000,(IFERROR(VALUE(MID($A$2:$A$2000,4,2)),0)=MONTH(C819))*(IFERROR(VALUE(RIGHT($A$2:$A$2000,4)),0)=YEAR(C819)))),""))</f>
        <v/>
      </c>
      <c r="E819" s="62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4" t="inlineStr">
        <is>
          <t>10/08/2018</t>
        </is>
      </c>
      <c r="B820" s="31" t="n">
        <v>2.3461</v>
      </c>
      <c r="C820" s="69" t="n"/>
      <c r="D820" s="70">
        <f t="array" ref="D820">IF(C820="","",IFERROR(AVERAGE(_xlfn._xlws.FILTER($B$2:$B$2000,(IFERROR(VALUE(MID($A$2:$A$2000,4,2)),0)=MONTH(C820))*(IFERROR(VALUE(RIGHT($A$2:$A$2000,4)),0)=YEAR(C820)))),""))</f>
        <v/>
      </c>
      <c r="E820" s="62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4" t="inlineStr">
        <is>
          <t>17/08/2018</t>
        </is>
      </c>
      <c r="B821" s="31" t="n">
        <v>2.3502</v>
      </c>
      <c r="C821" s="69" t="n"/>
      <c r="D821" s="70">
        <f t="array" ref="D821">IF(C821="","",IFERROR(AVERAGE(_xlfn._xlws.FILTER($B$2:$B$2000,(IFERROR(VALUE(MID($A$2:$A$2000,4,2)),0)=MONTH(C821))*(IFERROR(VALUE(RIGHT($A$2:$A$2000,4)),0)=YEAR(C821)))),""))</f>
        <v/>
      </c>
      <c r="E821" s="62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4" t="inlineStr">
        <is>
          <t>24/08/2018</t>
        </is>
      </c>
      <c r="B822" s="31" t="n">
        <v>2.4618</v>
      </c>
      <c r="C822" s="69" t="n"/>
      <c r="D822" s="70">
        <f t="array" ref="D822">IF(C822="","",IFERROR(AVERAGE(_xlfn._xlws.FILTER($B$2:$B$2000,(IFERROR(VALUE(MID($A$2:$A$2000,4,2)),0)=MONTH(C822))*(IFERROR(VALUE(RIGHT($A$2:$A$2000,4)),0)=YEAR(C822)))),""))</f>
        <v/>
      </c>
      <c r="E822" s="62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4" t="inlineStr">
        <is>
          <t>31/08/2018</t>
        </is>
      </c>
      <c r="B823" s="31" t="n">
        <v>2.6857</v>
      </c>
      <c r="C823" s="69" t="n"/>
      <c r="D823" s="70">
        <f t="array" ref="D823">IF(C823="","",IFERROR(AVERAGE(_xlfn._xlws.FILTER($B$2:$B$2000,(IFERROR(VALUE(MID($A$2:$A$2000,4,2)),0)=MONTH(C823))*(IFERROR(VALUE(RIGHT($A$2:$A$2000,4)),0)=YEAR(C823)))),""))</f>
        <v/>
      </c>
      <c r="E823" s="62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4" t="inlineStr">
        <is>
          <t>06/09/2018</t>
        </is>
      </c>
      <c r="B824" s="31" t="n">
        <v>2.8004</v>
      </c>
      <c r="C824" s="69" t="n"/>
      <c r="D824" s="70">
        <f t="array" ref="D824">IF(C824="","",IFERROR(AVERAGE(_xlfn._xlws.FILTER($B$2:$B$2000,(IFERROR(VALUE(MID($A$2:$A$2000,4,2)),0)=MONTH(C824))*(IFERROR(VALUE(RIGHT($A$2:$A$2000,4)),0)=YEAR(C824)))),""))</f>
        <v/>
      </c>
      <c r="E824" s="62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4" t="inlineStr">
        <is>
          <t>14/09/2018</t>
        </is>
      </c>
      <c r="B825" s="31" t="n">
        <v>2.7691</v>
      </c>
      <c r="C825" s="69" t="n"/>
      <c r="D825" s="70">
        <f t="array" ref="D825">IF(C825="","",IFERROR(AVERAGE(_xlfn._xlws.FILTER($B$2:$B$2000,(IFERROR(VALUE(MID($A$2:$A$2000,4,2)),0)=MONTH(C825))*(IFERROR(VALUE(RIGHT($A$2:$A$2000,4)),0)=YEAR(C825)))),""))</f>
        <v/>
      </c>
      <c r="E825" s="62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4" t="inlineStr">
        <is>
          <t>21/09/2018</t>
        </is>
      </c>
      <c r="B826" s="31" t="n">
        <v>2.8037</v>
      </c>
      <c r="C826" s="69" t="n"/>
      <c r="D826" s="70">
        <f t="array" ref="D826">IF(C826="","",IFERROR(AVERAGE(_xlfn._xlws.FILTER($B$2:$B$2000,(IFERROR(VALUE(MID($A$2:$A$2000,4,2)),0)=MONTH(C826))*(IFERROR(VALUE(RIGHT($A$2:$A$2000,4)),0)=YEAR(C826)))),""))</f>
        <v/>
      </c>
      <c r="E826" s="62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4" t="inlineStr">
        <is>
          <t>28/09/2018</t>
        </is>
      </c>
      <c r="B827" s="31" t="n">
        <v>2.846</v>
      </c>
      <c r="C827" s="69" t="n"/>
      <c r="D827" s="70">
        <f t="array" ref="D827">IF(C827="","",IFERROR(AVERAGE(_xlfn._xlws.FILTER($B$2:$B$2000,(IFERROR(VALUE(MID($A$2:$A$2000,4,2)),0)=MONTH(C827))*(IFERROR(VALUE(RIGHT($A$2:$A$2000,4)),0)=YEAR(C827)))),""))</f>
        <v/>
      </c>
      <c r="E827" s="62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4" t="inlineStr">
        <is>
          <t>05/10/2018</t>
        </is>
      </c>
      <c r="B828" s="31" t="n">
        <v>2.9515</v>
      </c>
      <c r="C828" s="69" t="n"/>
      <c r="D828" s="70">
        <f t="array" ref="D828">IF(C828="","",IFERROR(AVERAGE(_xlfn._xlws.FILTER($B$2:$B$2000,(IFERROR(VALUE(MID($A$2:$A$2000,4,2)),0)=MONTH(C828))*(IFERROR(VALUE(RIGHT($A$2:$A$2000,4)),0)=YEAR(C828)))),""))</f>
        <v/>
      </c>
      <c r="E828" s="62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4" t="inlineStr">
        <is>
          <t>11/10/2018</t>
        </is>
      </c>
      <c r="B829" s="31" t="n">
        <v>3.0038</v>
      </c>
      <c r="C829" s="69" t="n"/>
      <c r="D829" s="70">
        <f t="array" ref="D829">IF(C829="","",IFERROR(AVERAGE(_xlfn._xlws.FILTER($B$2:$B$2000,(IFERROR(VALUE(MID($A$2:$A$2000,4,2)),0)=MONTH(C829))*(IFERROR(VALUE(RIGHT($A$2:$A$2000,4)),0)=YEAR(C829)))),""))</f>
        <v/>
      </c>
      <c r="E829" s="62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4" t="inlineStr">
        <is>
          <t>19/10/2018</t>
        </is>
      </c>
      <c r="B830" s="31" t="n">
        <v>2.9903</v>
      </c>
      <c r="C830" s="69" t="n"/>
      <c r="D830" s="70">
        <f t="array" ref="D830">IF(C830="","",IFERROR(AVERAGE(_xlfn._xlws.FILTER($B$2:$B$2000,(IFERROR(VALUE(MID($A$2:$A$2000,4,2)),0)=MONTH(C830))*(IFERROR(VALUE(RIGHT($A$2:$A$2000,4)),0)=YEAR(C830)))),""))</f>
        <v/>
      </c>
      <c r="E830" s="62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4" t="inlineStr">
        <is>
          <t>26/10/2018</t>
        </is>
      </c>
      <c r="B831" s="31" t="n">
        <v>2.9228</v>
      </c>
      <c r="C831" s="69" t="n"/>
      <c r="D831" s="70">
        <f t="array" ref="D831">IF(C831="","",IFERROR(AVERAGE(_xlfn._xlws.FILTER($B$2:$B$2000,(IFERROR(VALUE(MID($A$2:$A$2000,4,2)),0)=MONTH(C831))*(IFERROR(VALUE(RIGHT($A$2:$A$2000,4)),0)=YEAR(C831)))),""))</f>
        <v/>
      </c>
      <c r="E831" s="62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4" t="inlineStr">
        <is>
          <t>01/11/2018</t>
        </is>
      </c>
      <c r="B832" s="31" t="n">
        <v>2.8701</v>
      </c>
      <c r="C832" s="69" t="n"/>
      <c r="D832" s="70">
        <f t="array" ref="D832">IF(C832="","",IFERROR(AVERAGE(_xlfn._xlws.FILTER($B$2:$B$2000,(IFERROR(VALUE(MID($A$2:$A$2000,4,2)),0)=MONTH(C832))*(IFERROR(VALUE(RIGHT($A$2:$A$2000,4)),0)=YEAR(C832)))),""))</f>
        <v/>
      </c>
      <c r="E832" s="62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4" t="inlineStr">
        <is>
          <t>09/11/2018</t>
        </is>
      </c>
      <c r="B833" s="31" t="n">
        <v>2.7744</v>
      </c>
      <c r="C833" s="69" t="n"/>
      <c r="D833" s="70">
        <f t="array" ref="D833">IF(C833="","",IFERROR(AVERAGE(_xlfn._xlws.FILTER($B$2:$B$2000,(IFERROR(VALUE(MID($A$2:$A$2000,4,2)),0)=MONTH(C833))*(IFERROR(VALUE(RIGHT($A$2:$A$2000,4)),0)=YEAR(C833)))),""))</f>
        <v/>
      </c>
      <c r="E833" s="62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4" t="inlineStr">
        <is>
          <t>16/11/2018</t>
        </is>
      </c>
      <c r="B834" s="31" t="n">
        <v>2.724</v>
      </c>
      <c r="C834" s="69" t="n"/>
      <c r="D834" s="70">
        <f t="array" ref="D834">IF(C834="","",IFERROR(AVERAGE(_xlfn._xlws.FILTER($B$2:$B$2000,(IFERROR(VALUE(MID($A$2:$A$2000,4,2)),0)=MONTH(C834))*(IFERROR(VALUE(RIGHT($A$2:$A$2000,4)),0)=YEAR(C834)))),""))</f>
        <v/>
      </c>
      <c r="E834" s="62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4" t="inlineStr">
        <is>
          <t>23/11/2018</t>
        </is>
      </c>
      <c r="B835" s="31" t="n">
        <v>2.7068</v>
      </c>
      <c r="C835" s="69" t="n"/>
      <c r="D835" s="70">
        <f t="array" ref="D835">IF(C835="","",IFERROR(AVERAGE(_xlfn._xlws.FILTER($B$2:$B$2000,(IFERROR(VALUE(MID($A$2:$A$2000,4,2)),0)=MONTH(C835))*(IFERROR(VALUE(RIGHT($A$2:$A$2000,4)),0)=YEAR(C835)))),""))</f>
        <v/>
      </c>
      <c r="E835" s="62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4" t="inlineStr">
        <is>
          <t>30/11/2018</t>
        </is>
      </c>
      <c r="B836" s="31" t="n">
        <v>2.6901</v>
      </c>
      <c r="C836" s="69" t="n"/>
      <c r="D836" s="70">
        <f t="array" ref="D836">IF(C836="","",IFERROR(AVERAGE(_xlfn._xlws.FILTER($B$2:$B$2000,(IFERROR(VALUE(MID($A$2:$A$2000,4,2)),0)=MONTH(C836))*(IFERROR(VALUE(RIGHT($A$2:$A$2000,4)),0)=YEAR(C836)))),""))</f>
        <v/>
      </c>
      <c r="E836" s="62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4" t="inlineStr">
        <is>
          <t>07/12/2018</t>
        </is>
      </c>
      <c r="B837" s="31" t="n">
        <v>2.7885</v>
      </c>
      <c r="C837" s="69" t="n"/>
      <c r="D837" s="70">
        <f t="array" ref="D837">IF(C837="","",IFERROR(AVERAGE(_xlfn._xlws.FILTER($B$2:$B$2000,(IFERROR(VALUE(MID($A$2:$A$2000,4,2)),0)=MONTH(C837))*(IFERROR(VALUE(RIGHT($A$2:$A$2000,4)),0)=YEAR(C837)))),""))</f>
        <v/>
      </c>
      <c r="E837" s="62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4" t="inlineStr">
        <is>
          <t>14/12/2018</t>
        </is>
      </c>
      <c r="B838" s="31" t="n">
        <v>2.7967</v>
      </c>
      <c r="C838" s="69" t="n"/>
      <c r="D838" s="70">
        <f t="array" ref="D838">IF(C838="","",IFERROR(AVERAGE(_xlfn._xlws.FILTER($B$2:$B$2000,(IFERROR(VALUE(MID($A$2:$A$2000,4,2)),0)=MONTH(C838))*(IFERROR(VALUE(RIGHT($A$2:$A$2000,4)),0)=YEAR(C838)))),""))</f>
        <v/>
      </c>
      <c r="E838" s="62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4" t="inlineStr">
        <is>
          <t>21/12/2018</t>
        </is>
      </c>
      <c r="B839" s="31" t="n">
        <v>2.7913</v>
      </c>
      <c r="C839" s="69" t="n"/>
      <c r="D839" s="70">
        <f t="array" ref="D839">IF(C839="","",IFERROR(AVERAGE(_xlfn._xlws.FILTER($B$2:$B$2000,(IFERROR(VALUE(MID($A$2:$A$2000,4,2)),0)=MONTH(C839))*(IFERROR(VALUE(RIGHT($A$2:$A$2000,4)),0)=YEAR(C839)))),""))</f>
        <v/>
      </c>
      <c r="E839" s="62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4" t="inlineStr">
        <is>
          <t>28/12/2018</t>
        </is>
      </c>
      <c r="B840" s="31" t="n">
        <v>2.7942</v>
      </c>
      <c r="C840" s="69" t="n"/>
      <c r="D840" s="70">
        <f t="array" ref="D840">IF(C840="","",IFERROR(AVERAGE(_xlfn._xlws.FILTER($B$2:$B$2000,(IFERROR(VALUE(MID($A$2:$A$2000,4,2)),0)=MONTH(C840))*(IFERROR(VALUE(RIGHT($A$2:$A$2000,4)),0)=YEAR(C840)))),""))</f>
        <v/>
      </c>
      <c r="E840" s="62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4" t="inlineStr">
        <is>
          <t>04/01/2019</t>
        </is>
      </c>
      <c r="B841" s="31" t="n">
        <v>2.7936</v>
      </c>
      <c r="C841" s="69" t="n"/>
      <c r="D841" s="70">
        <f t="array" ref="D841">IF(C841="","",IFERROR(AVERAGE(_xlfn._xlws.FILTER($B$2:$B$2000,(IFERROR(VALUE(MID($A$2:$A$2000,4,2)),0)=MONTH(C841))*(IFERROR(VALUE(RIGHT($A$2:$A$2000,4)),0)=YEAR(C841)))),""))</f>
        <v/>
      </c>
      <c r="E841" s="62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4" t="inlineStr">
        <is>
          <t>11/01/2019</t>
        </is>
      </c>
      <c r="B842" s="31" t="n">
        <v>2.7401</v>
      </c>
      <c r="C842" s="69" t="n"/>
      <c r="D842" s="70">
        <f t="array" ref="D842">IF(C842="","",IFERROR(AVERAGE(_xlfn._xlws.FILTER($B$2:$B$2000,(IFERROR(VALUE(MID($A$2:$A$2000,4,2)),0)=MONTH(C842))*(IFERROR(VALUE(RIGHT($A$2:$A$2000,4)),0)=YEAR(C842)))),""))</f>
        <v/>
      </c>
      <c r="E842" s="62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4" t="inlineStr">
        <is>
          <t>18/01/2019</t>
        </is>
      </c>
      <c r="B843" s="31" t="n">
        <v>2.6882</v>
      </c>
      <c r="C843" s="69" t="n"/>
      <c r="D843" s="70">
        <f t="array" ref="D843">IF(C843="","",IFERROR(AVERAGE(_xlfn._xlws.FILTER($B$2:$B$2000,(IFERROR(VALUE(MID($A$2:$A$2000,4,2)),0)=MONTH(C843))*(IFERROR(VALUE(RIGHT($A$2:$A$2000,4)),0)=YEAR(C843)))),""))</f>
        <v/>
      </c>
      <c r="E843" s="62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4" t="inlineStr">
        <is>
          <t>25/01/2019</t>
        </is>
      </c>
      <c r="B844" s="31" t="n">
        <v>2.6121</v>
      </c>
      <c r="C844" s="69" t="n"/>
      <c r="D844" s="70">
        <f t="array" ref="D844">IF(C844="","",IFERROR(AVERAGE(_xlfn._xlws.FILTER($B$2:$B$2000,(IFERROR(VALUE(MID($A$2:$A$2000,4,2)),0)=MONTH(C844))*(IFERROR(VALUE(RIGHT($A$2:$A$2000,4)),0)=YEAR(C844)))),""))</f>
        <v/>
      </c>
      <c r="E844" s="62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4" t="inlineStr">
        <is>
          <t>01/02/2019</t>
        </is>
      </c>
      <c r="B845" s="31" t="n">
        <v>2.5297</v>
      </c>
      <c r="C845" s="69" t="n"/>
      <c r="D845" s="70">
        <f t="array" ref="D845">IF(C845="","",IFERROR(AVERAGE(_xlfn._xlws.FILTER($B$2:$B$2000,(IFERROR(VALUE(MID($A$2:$A$2000,4,2)),0)=MONTH(C845))*(IFERROR(VALUE(RIGHT($A$2:$A$2000,4)),0)=YEAR(C845)))),""))</f>
        <v/>
      </c>
      <c r="E845" s="62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4" t="inlineStr">
        <is>
          <t>08/02/2019</t>
        </is>
      </c>
      <c r="B846" s="31" t="n">
        <v>2.6242</v>
      </c>
      <c r="C846" s="69" t="n"/>
      <c r="D846" s="70">
        <f t="array" ref="D846">IF(C846="","",IFERROR(AVERAGE(_xlfn._xlws.FILTER($B$2:$B$2000,(IFERROR(VALUE(MID($A$2:$A$2000,4,2)),0)=MONTH(C846))*(IFERROR(VALUE(RIGHT($A$2:$A$2000,4)),0)=YEAR(C846)))),""))</f>
        <v/>
      </c>
      <c r="E846" s="62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4" t="inlineStr">
        <is>
          <t>15/02/2019</t>
        </is>
      </c>
      <c r="B847" s="31" t="n">
        <v>2.8104</v>
      </c>
      <c r="C847" s="69" t="n"/>
      <c r="D847" s="70">
        <f t="array" ref="D847">IF(C847="","",IFERROR(AVERAGE(_xlfn._xlws.FILTER($B$2:$B$2000,(IFERROR(VALUE(MID($A$2:$A$2000,4,2)),0)=MONTH(C847))*(IFERROR(VALUE(RIGHT($A$2:$A$2000,4)),0)=YEAR(C847)))),""))</f>
        <v/>
      </c>
      <c r="E847" s="62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4" t="inlineStr">
        <is>
          <t>22/02/2019</t>
        </is>
      </c>
      <c r="B848" s="31" t="n">
        <v>2.9893</v>
      </c>
      <c r="C848" s="69" t="n"/>
      <c r="D848" s="70">
        <f t="array" ref="D848">IF(C848="","",IFERROR(AVERAGE(_xlfn._xlws.FILTER($B$2:$B$2000,(IFERROR(VALUE(MID($A$2:$A$2000,4,2)),0)=MONTH(C848))*(IFERROR(VALUE(RIGHT($A$2:$A$2000,4)),0)=YEAR(C848)))),""))</f>
        <v/>
      </c>
      <c r="E848" s="62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4" t="inlineStr">
        <is>
          <t>01/03/2019</t>
        </is>
      </c>
      <c r="B849" s="31" t="n">
        <v>3.0608</v>
      </c>
      <c r="C849" s="69" t="n"/>
      <c r="D849" s="70">
        <f t="array" ref="D849">IF(C849="","",IFERROR(AVERAGE(_xlfn._xlws.FILTER($B$2:$B$2000,(IFERROR(VALUE(MID($A$2:$A$2000,4,2)),0)=MONTH(C849))*(IFERROR(VALUE(RIGHT($A$2:$A$2000,4)),0)=YEAR(C849)))),""))</f>
        <v/>
      </c>
      <c r="E849" s="62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4" t="inlineStr">
        <is>
          <t>08/03/2019</t>
        </is>
      </c>
      <c r="B850" s="31" t="n">
        <v>3.0662</v>
      </c>
      <c r="C850" s="69" t="n"/>
      <c r="D850" s="70">
        <f t="array" ref="D850">IF(C850="","",IFERROR(AVERAGE(_xlfn._xlws.FILTER($B$2:$B$2000,(IFERROR(VALUE(MID($A$2:$A$2000,4,2)),0)=MONTH(C850))*(IFERROR(VALUE(RIGHT($A$2:$A$2000,4)),0)=YEAR(C850)))),""))</f>
        <v/>
      </c>
      <c r="E850" s="62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4" t="inlineStr">
        <is>
          <t>15/03/2019</t>
        </is>
      </c>
      <c r="B851" s="31" t="n">
        <v>3.0396</v>
      </c>
      <c r="C851" s="69" t="n"/>
      <c r="D851" s="70">
        <f t="array" ref="D851">IF(C851="","",IFERROR(AVERAGE(_xlfn._xlws.FILTER($B$2:$B$2000,(IFERROR(VALUE(MID($A$2:$A$2000,4,2)),0)=MONTH(C851))*(IFERROR(VALUE(RIGHT($A$2:$A$2000,4)),0)=YEAR(C851)))),""))</f>
        <v/>
      </c>
      <c r="E851" s="62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4" t="inlineStr">
        <is>
          <t>22/03/2019</t>
        </is>
      </c>
      <c r="B852" s="31" t="n">
        <v>2.9009</v>
      </c>
      <c r="C852" s="69" t="n"/>
      <c r="D852" s="70">
        <f t="array" ref="D852">IF(C852="","",IFERROR(AVERAGE(_xlfn._xlws.FILTER($B$2:$B$2000,(IFERROR(VALUE(MID($A$2:$A$2000,4,2)),0)=MONTH(C852))*(IFERROR(VALUE(RIGHT($A$2:$A$2000,4)),0)=YEAR(C852)))),""))</f>
        <v/>
      </c>
      <c r="E852" s="62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4" t="inlineStr">
        <is>
          <t>29/03/2019</t>
        </is>
      </c>
      <c r="B853" s="31" t="n">
        <v>2.6788</v>
      </c>
      <c r="C853" s="69" t="n"/>
      <c r="D853" s="70">
        <f t="array" ref="D853">IF(C853="","",IFERROR(AVERAGE(_xlfn._xlws.FILTER($B$2:$B$2000,(IFERROR(VALUE(MID($A$2:$A$2000,4,2)),0)=MONTH(C853))*(IFERROR(VALUE(RIGHT($A$2:$A$2000,4)),0)=YEAR(C853)))),""))</f>
        <v/>
      </c>
      <c r="E853" s="62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4" t="inlineStr">
        <is>
          <t>05/04/2019</t>
        </is>
      </c>
      <c r="B854" s="31" t="n">
        <v>2.6781</v>
      </c>
      <c r="C854" s="69" t="n"/>
      <c r="D854" s="70">
        <f t="array" ref="D854">IF(C854="","",IFERROR(AVERAGE(_xlfn._xlws.FILTER($B$2:$B$2000,(IFERROR(VALUE(MID($A$2:$A$2000,4,2)),0)=MONTH(C854))*(IFERROR(VALUE(RIGHT($A$2:$A$2000,4)),0)=YEAR(C854)))),""))</f>
        <v/>
      </c>
      <c r="E854" s="62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4" t="inlineStr">
        <is>
          <t>12/04/2019</t>
        </is>
      </c>
      <c r="B855" s="31" t="n">
        <v>3.0818</v>
      </c>
      <c r="C855" s="69" t="n"/>
      <c r="D855" s="70">
        <f t="array" ref="D855">IF(C855="","",IFERROR(AVERAGE(_xlfn._xlws.FILTER($B$2:$B$2000,(IFERROR(VALUE(MID($A$2:$A$2000,4,2)),0)=MONTH(C855))*(IFERROR(VALUE(RIGHT($A$2:$A$2000,4)),0)=YEAR(C855)))),""))</f>
        <v/>
      </c>
      <c r="E855" s="62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4" t="inlineStr">
        <is>
          <t>18/04/2019</t>
        </is>
      </c>
      <c r="B856" s="31" t="n">
        <v>3.2255</v>
      </c>
      <c r="C856" s="69" t="n"/>
      <c r="D856" s="70">
        <f t="array" ref="D856">IF(C856="","",IFERROR(AVERAGE(_xlfn._xlws.FILTER($B$2:$B$2000,(IFERROR(VALUE(MID($A$2:$A$2000,4,2)),0)=MONTH(C856))*(IFERROR(VALUE(RIGHT($A$2:$A$2000,4)),0)=YEAR(C856)))),""))</f>
        <v/>
      </c>
      <c r="E856" s="62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4" t="inlineStr">
        <is>
          <t>26/04/2019</t>
        </is>
      </c>
      <c r="B857" s="31" t="n">
        <v>3.0168</v>
      </c>
      <c r="C857" s="69" t="n"/>
      <c r="D857" s="70">
        <f t="array" ref="D857">IF(C857="","",IFERROR(AVERAGE(_xlfn._xlws.FILTER($B$2:$B$2000,(IFERROR(VALUE(MID($A$2:$A$2000,4,2)),0)=MONTH(C857))*(IFERROR(VALUE(RIGHT($A$2:$A$2000,4)),0)=YEAR(C857)))),""))</f>
        <v/>
      </c>
      <c r="E857" s="62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4" t="inlineStr">
        <is>
          <t>03/05/2019</t>
        </is>
      </c>
      <c r="B858" s="31" t="n">
        <v>2.6852</v>
      </c>
      <c r="C858" s="69" t="n"/>
      <c r="D858" s="70">
        <f t="array" ref="D858">IF(C858="","",IFERROR(AVERAGE(_xlfn._xlws.FILTER($B$2:$B$2000,(IFERROR(VALUE(MID($A$2:$A$2000,4,2)),0)=MONTH(C858))*(IFERROR(VALUE(RIGHT($A$2:$A$2000,4)),0)=YEAR(C858)))),""))</f>
        <v/>
      </c>
      <c r="E858" s="62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4" t="inlineStr">
        <is>
          <t>10/05/2019</t>
        </is>
      </c>
      <c r="B859" s="31" t="n">
        <v>2.6064</v>
      </c>
      <c r="C859" s="69" t="n"/>
      <c r="D859" s="70">
        <f t="array" ref="D859">IF(C859="","",IFERROR(AVERAGE(_xlfn._xlws.FILTER($B$2:$B$2000,(IFERROR(VALUE(MID($A$2:$A$2000,4,2)),0)=MONTH(C859))*(IFERROR(VALUE(RIGHT($A$2:$A$2000,4)),0)=YEAR(C859)))),""))</f>
        <v/>
      </c>
      <c r="E859" s="62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4" t="inlineStr">
        <is>
          <t>17/05/2019</t>
        </is>
      </c>
      <c r="B860" s="31" t="n">
        <v>2.7214</v>
      </c>
      <c r="C860" s="69" t="n"/>
      <c r="D860" s="70">
        <f t="array" ref="D860">IF(C860="","",IFERROR(AVERAGE(_xlfn._xlws.FILTER($B$2:$B$2000,(IFERROR(VALUE(MID($A$2:$A$2000,4,2)),0)=MONTH(C860))*(IFERROR(VALUE(RIGHT($A$2:$A$2000,4)),0)=YEAR(C860)))),""))</f>
        <v/>
      </c>
      <c r="E860" s="62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4" t="inlineStr">
        <is>
          <t>24/05/2019</t>
        </is>
      </c>
      <c r="B861" s="31" t="n">
        <v>2.6685</v>
      </c>
      <c r="C861" s="69" t="n"/>
      <c r="D861" s="70">
        <f t="array" ref="D861">IF(C861="","",IFERROR(AVERAGE(_xlfn._xlws.FILTER($B$2:$B$2000,(IFERROR(VALUE(MID($A$2:$A$2000,4,2)),0)=MONTH(C861))*(IFERROR(VALUE(RIGHT($A$2:$A$2000,4)),0)=YEAR(C861)))),""))</f>
        <v/>
      </c>
      <c r="E861" s="62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4" t="inlineStr">
        <is>
          <t>31/05/2019</t>
        </is>
      </c>
      <c r="B862" s="31" t="n">
        <v>2.6257</v>
      </c>
      <c r="C862" s="69" t="n"/>
      <c r="D862" s="70">
        <f t="array" ref="D862">IF(C862="","",IFERROR(AVERAGE(_xlfn._xlws.FILTER($B$2:$B$2000,(IFERROR(VALUE(MID($A$2:$A$2000,4,2)),0)=MONTH(C862))*(IFERROR(VALUE(RIGHT($A$2:$A$2000,4)),0)=YEAR(C862)))),""))</f>
        <v/>
      </c>
      <c r="E862" s="62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4" t="inlineStr">
        <is>
          <t>07/06/2019</t>
        </is>
      </c>
      <c r="B863" s="31" t="n">
        <v>2.6464</v>
      </c>
      <c r="C863" s="69" t="n"/>
      <c r="D863" s="70">
        <f t="array" ref="D863">IF(C863="","",IFERROR(AVERAGE(_xlfn._xlws.FILTER($B$2:$B$2000,(IFERROR(VALUE(MID($A$2:$A$2000,4,2)),0)=MONTH(C863))*(IFERROR(VALUE(RIGHT($A$2:$A$2000,4)),0)=YEAR(C863)))),""))</f>
        <v/>
      </c>
      <c r="E863" s="62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4" t="inlineStr">
        <is>
          <t>14/06/2019</t>
        </is>
      </c>
      <c r="B864" s="31" t="n">
        <v>2.5963</v>
      </c>
      <c r="C864" s="69" t="n"/>
      <c r="D864" s="70">
        <f t="array" ref="D864">IF(C864="","",IFERROR(AVERAGE(_xlfn._xlws.FILTER($B$2:$B$2000,(IFERROR(VALUE(MID($A$2:$A$2000,4,2)),0)=MONTH(C864))*(IFERROR(VALUE(RIGHT($A$2:$A$2000,4)),0)=YEAR(C864)))),""))</f>
        <v/>
      </c>
      <c r="E864" s="62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4" t="inlineStr">
        <is>
          <t>21/06/2019</t>
        </is>
      </c>
      <c r="B865" s="31" t="n">
        <v>2.5851</v>
      </c>
      <c r="C865" s="69" t="n"/>
      <c r="D865" s="70">
        <f t="array" ref="D865">IF(C865="","",IFERROR(AVERAGE(_xlfn._xlws.FILTER($B$2:$B$2000,(IFERROR(VALUE(MID($A$2:$A$2000,4,2)),0)=MONTH(C865))*(IFERROR(VALUE(RIGHT($A$2:$A$2000,4)),0)=YEAR(C865)))),""))</f>
        <v/>
      </c>
      <c r="E865" s="62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4" t="inlineStr">
        <is>
          <t>28/06/2019</t>
        </is>
      </c>
      <c r="B866" s="31" t="n">
        <v>2.5746</v>
      </c>
      <c r="C866" s="69" t="n"/>
      <c r="D866" s="70">
        <f t="array" ref="D866">IF(C866="","",IFERROR(AVERAGE(_xlfn._xlws.FILTER($B$2:$B$2000,(IFERROR(VALUE(MID($A$2:$A$2000,4,2)),0)=MONTH(C866))*(IFERROR(VALUE(RIGHT($A$2:$A$2000,4)),0)=YEAR(C866)))),""))</f>
        <v/>
      </c>
      <c r="E866" s="62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4" t="inlineStr">
        <is>
          <t>05/07/2019</t>
        </is>
      </c>
      <c r="B867" s="31" t="n">
        <v>2.6224</v>
      </c>
      <c r="C867" s="69" t="n"/>
      <c r="D867" s="70">
        <f t="array" ref="D867">IF(C867="","",IFERROR(AVERAGE(_xlfn._xlws.FILTER($B$2:$B$2000,(IFERROR(VALUE(MID($A$2:$A$2000,4,2)),0)=MONTH(C867))*(IFERROR(VALUE(RIGHT($A$2:$A$2000,4)),0)=YEAR(C867)))),""))</f>
        <v/>
      </c>
      <c r="E867" s="62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4" t="inlineStr">
        <is>
          <t>12/07/2019</t>
        </is>
      </c>
      <c r="B868" s="31" t="n">
        <v>2.639</v>
      </c>
      <c r="C868" s="69" t="n"/>
      <c r="D868" s="70">
        <f t="array" ref="D868">IF(C868="","",IFERROR(AVERAGE(_xlfn._xlws.FILTER($B$2:$B$2000,(IFERROR(VALUE(MID($A$2:$A$2000,4,2)),0)=MONTH(C868))*(IFERROR(VALUE(RIGHT($A$2:$A$2000,4)),0)=YEAR(C868)))),""))</f>
        <v/>
      </c>
      <c r="E868" s="62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4" t="inlineStr">
        <is>
          <t>19/07/2019</t>
        </is>
      </c>
      <c r="B869" s="31" t="n">
        <v>2.6625</v>
      </c>
      <c r="C869" s="69" t="n"/>
      <c r="D869" s="70">
        <f t="array" ref="D869">IF(C869="","",IFERROR(AVERAGE(_xlfn._xlws.FILTER($B$2:$B$2000,(IFERROR(VALUE(MID($A$2:$A$2000,4,2)),0)=MONTH(C869))*(IFERROR(VALUE(RIGHT($A$2:$A$2000,4)),0)=YEAR(C869)))),""))</f>
        <v/>
      </c>
      <c r="E869" s="62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4" t="inlineStr">
        <is>
          <t>26/07/2019</t>
        </is>
      </c>
      <c r="B870" s="31" t="n">
        <v>2.743</v>
      </c>
      <c r="C870" s="69" t="n"/>
      <c r="D870" s="70">
        <f t="array" ref="D870">IF(C870="","",IFERROR(AVERAGE(_xlfn._xlws.FILTER($B$2:$B$2000,(IFERROR(VALUE(MID($A$2:$A$2000,4,2)),0)=MONTH(C870))*(IFERROR(VALUE(RIGHT($A$2:$A$2000,4)),0)=YEAR(C870)))),""))</f>
        <v/>
      </c>
      <c r="E870" s="62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4" t="inlineStr">
        <is>
          <t>02/08/2019</t>
        </is>
      </c>
      <c r="B871" s="31" t="n">
        <v>2.7769</v>
      </c>
      <c r="C871" s="69" t="n"/>
      <c r="D871" s="70">
        <f t="array" ref="D871">IF(C871="","",IFERROR(AVERAGE(_xlfn._xlws.FILTER($B$2:$B$2000,(IFERROR(VALUE(MID($A$2:$A$2000,4,2)),0)=MONTH(C871))*(IFERROR(VALUE(RIGHT($A$2:$A$2000,4)),0)=YEAR(C871)))),""))</f>
        <v/>
      </c>
      <c r="E871" s="62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4" t="inlineStr">
        <is>
          <t>09/08/2019</t>
        </is>
      </c>
      <c r="B872" s="31" t="n">
        <v>2.8072</v>
      </c>
      <c r="C872" s="69" t="n"/>
      <c r="D872" s="70">
        <f t="array" ref="D872">IF(C872="","",IFERROR(AVERAGE(_xlfn._xlws.FILTER($B$2:$B$2000,(IFERROR(VALUE(MID($A$2:$A$2000,4,2)),0)=MONTH(C872))*(IFERROR(VALUE(RIGHT($A$2:$A$2000,4)),0)=YEAR(C872)))),""))</f>
        <v/>
      </c>
      <c r="E872" s="62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4" t="inlineStr">
        <is>
          <t>16/08/2019</t>
        </is>
      </c>
      <c r="B873" s="31" t="n">
        <v>2.8089</v>
      </c>
      <c r="C873" s="69" t="n"/>
      <c r="D873" s="70">
        <f t="array" ref="D873">IF(C873="","",IFERROR(AVERAGE(_xlfn._xlws.FILTER($B$2:$B$2000,(IFERROR(VALUE(MID($A$2:$A$2000,4,2)),0)=MONTH(C873))*(IFERROR(VALUE(RIGHT($A$2:$A$2000,4)),0)=YEAR(C873)))),""))</f>
        <v/>
      </c>
      <c r="E873" s="62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4" t="inlineStr">
        <is>
          <t>23/08/2019</t>
        </is>
      </c>
      <c r="B874" s="31" t="n">
        <v>2.7711</v>
      </c>
      <c r="C874" s="69" t="n"/>
      <c r="D874" s="70">
        <f t="array" ref="D874">IF(C874="","",IFERROR(AVERAGE(_xlfn._xlws.FILTER($B$2:$B$2000,(IFERROR(VALUE(MID($A$2:$A$2000,4,2)),0)=MONTH(C874))*(IFERROR(VALUE(RIGHT($A$2:$A$2000,4)),0)=YEAR(C874)))),""))</f>
        <v/>
      </c>
      <c r="E874" s="62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4" t="inlineStr">
        <is>
          <t>30/08/2019</t>
        </is>
      </c>
      <c r="B875" s="31" t="n">
        <v>2.7212</v>
      </c>
      <c r="C875" s="69" t="n"/>
      <c r="D875" s="70">
        <f t="array" ref="D875">IF(C875="","",IFERROR(AVERAGE(_xlfn._xlws.FILTER($B$2:$B$2000,(IFERROR(VALUE(MID($A$2:$A$2000,4,2)),0)=MONTH(C875))*(IFERROR(VALUE(RIGHT($A$2:$A$2000,4)),0)=YEAR(C875)))),""))</f>
        <v/>
      </c>
      <c r="E875" s="62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4" t="inlineStr">
        <is>
          <t>06/09/2019</t>
        </is>
      </c>
      <c r="B876" s="31" t="n">
        <v>2.7415</v>
      </c>
      <c r="C876" s="69" t="n"/>
      <c r="D876" s="70">
        <f t="array" ref="D876">IF(C876="","",IFERROR(AVERAGE(_xlfn._xlws.FILTER($B$2:$B$2000,(IFERROR(VALUE(MID($A$2:$A$2000,4,2)),0)=MONTH(C876))*(IFERROR(VALUE(RIGHT($A$2:$A$2000,4)),0)=YEAR(C876)))),""))</f>
        <v/>
      </c>
      <c r="E876" s="62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4" t="inlineStr">
        <is>
          <t>13/09/2019</t>
        </is>
      </c>
      <c r="B877" s="31" t="n">
        <v>2.727</v>
      </c>
      <c r="C877" s="69" t="n"/>
      <c r="D877" s="70">
        <f t="array" ref="D877">IF(C877="","",IFERROR(AVERAGE(_xlfn._xlws.FILTER($B$2:$B$2000,(IFERROR(VALUE(MID($A$2:$A$2000,4,2)),0)=MONTH(C877))*(IFERROR(VALUE(RIGHT($A$2:$A$2000,4)),0)=YEAR(C877)))),""))</f>
        <v/>
      </c>
      <c r="E877" s="62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4" t="inlineStr">
        <is>
          <t>20/09/2019</t>
        </is>
      </c>
      <c r="B878" s="31" t="n">
        <v>2.7717</v>
      </c>
      <c r="C878" s="69" t="n"/>
      <c r="D878" s="70">
        <f t="array" ref="D878">IF(C878="","",IFERROR(AVERAGE(_xlfn._xlws.FILTER($B$2:$B$2000,(IFERROR(VALUE(MID($A$2:$A$2000,4,2)),0)=MONTH(C878))*(IFERROR(VALUE(RIGHT($A$2:$A$2000,4)),0)=YEAR(C878)))),""))</f>
        <v/>
      </c>
      <c r="E878" s="62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4" t="inlineStr">
        <is>
          <t>27/09/2019</t>
        </is>
      </c>
      <c r="B879" s="31" t="n">
        <v>2.8123</v>
      </c>
      <c r="C879" s="69" t="n"/>
      <c r="D879" s="70">
        <f t="array" ref="D879">IF(C879="","",IFERROR(AVERAGE(_xlfn._xlws.FILTER($B$2:$B$2000,(IFERROR(VALUE(MID($A$2:$A$2000,4,2)),0)=MONTH(C879))*(IFERROR(VALUE(RIGHT($A$2:$A$2000,4)),0)=YEAR(C879)))),""))</f>
        <v/>
      </c>
      <c r="E879" s="62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4" t="inlineStr">
        <is>
          <t>04/10/2019</t>
        </is>
      </c>
      <c r="B880" s="31" t="n">
        <v>2.8277</v>
      </c>
      <c r="C880" s="69" t="n"/>
      <c r="D880" s="70">
        <f t="array" ref="D880">IF(C880="","",IFERROR(AVERAGE(_xlfn._xlws.FILTER($B$2:$B$2000,(IFERROR(VALUE(MID($A$2:$A$2000,4,2)),0)=MONTH(C880))*(IFERROR(VALUE(RIGHT($A$2:$A$2000,4)),0)=YEAR(C880)))),""))</f>
        <v/>
      </c>
      <c r="E880" s="62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4" t="inlineStr">
        <is>
          <t>11/10/2019</t>
        </is>
      </c>
      <c r="B881" s="31" t="n">
        <v>2.8785</v>
      </c>
      <c r="C881" s="69" t="n"/>
      <c r="D881" s="70">
        <f t="array" ref="D881">IF(C881="","",IFERROR(AVERAGE(_xlfn._xlws.FILTER($B$2:$B$2000,(IFERROR(VALUE(MID($A$2:$A$2000,4,2)),0)=MONTH(C881))*(IFERROR(VALUE(RIGHT($A$2:$A$2000,4)),0)=YEAR(C881)))),""))</f>
        <v/>
      </c>
      <c r="E881" s="62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4" t="inlineStr">
        <is>
          <t>18/10/2019</t>
        </is>
      </c>
      <c r="B882" s="31" t="n">
        <v>2.8836</v>
      </c>
      <c r="C882" s="69" t="n"/>
      <c r="D882" s="70">
        <f t="array" ref="D882">IF(C882="","",IFERROR(AVERAGE(_xlfn._xlws.FILTER($B$2:$B$2000,(IFERROR(VALUE(MID($A$2:$A$2000,4,2)),0)=MONTH(C882))*(IFERROR(VALUE(RIGHT($A$2:$A$2000,4)),0)=YEAR(C882)))),""))</f>
        <v/>
      </c>
      <c r="E882" s="62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4" t="inlineStr">
        <is>
          <t>25/10/2019</t>
        </is>
      </c>
      <c r="B883" s="31" t="n">
        <v>2.9132</v>
      </c>
      <c r="C883" s="69" t="n"/>
      <c r="D883" s="70">
        <f t="array" ref="D883">IF(C883="","",IFERROR(AVERAGE(_xlfn._xlws.FILTER($B$2:$B$2000,(IFERROR(VALUE(MID($A$2:$A$2000,4,2)),0)=MONTH(C883))*(IFERROR(VALUE(RIGHT($A$2:$A$2000,4)),0)=YEAR(C883)))),""))</f>
        <v/>
      </c>
      <c r="E883" s="62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4" t="inlineStr">
        <is>
          <t>01/11/2019</t>
        </is>
      </c>
      <c r="B884" s="31" t="n">
        <v>2.9603</v>
      </c>
      <c r="C884" s="69" t="n"/>
      <c r="D884" s="70">
        <f t="array" ref="D884">IF(C884="","",IFERROR(AVERAGE(_xlfn._xlws.FILTER($B$2:$B$2000,(IFERROR(VALUE(MID($A$2:$A$2000,4,2)),0)=MONTH(C884))*(IFERROR(VALUE(RIGHT($A$2:$A$2000,4)),0)=YEAR(C884)))),""))</f>
        <v/>
      </c>
      <c r="E884" s="62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4" t="inlineStr">
        <is>
          <t>08/11/2019</t>
        </is>
      </c>
      <c r="B885" s="31" t="n">
        <v>2.988</v>
      </c>
      <c r="C885" s="69" t="n"/>
      <c r="D885" s="70">
        <f t="array" ref="D885">IF(C885="","",IFERROR(AVERAGE(_xlfn._xlws.FILTER($B$2:$B$2000,(IFERROR(VALUE(MID($A$2:$A$2000,4,2)),0)=MONTH(C885))*(IFERROR(VALUE(RIGHT($A$2:$A$2000,4)),0)=YEAR(C885)))),""))</f>
        <v/>
      </c>
      <c r="E885" s="62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4" t="inlineStr">
        <is>
          <t>14/11/2019</t>
        </is>
      </c>
      <c r="B886" s="31" t="n">
        <v>2.9942</v>
      </c>
      <c r="C886" s="69" t="n"/>
      <c r="D886" s="70">
        <f t="array" ref="D886">IF(C886="","",IFERROR(AVERAGE(_xlfn._xlws.FILTER($B$2:$B$2000,(IFERROR(VALUE(MID($A$2:$A$2000,4,2)),0)=MONTH(C886))*(IFERROR(VALUE(RIGHT($A$2:$A$2000,4)),0)=YEAR(C886)))),""))</f>
        <v/>
      </c>
      <c r="E886" s="62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4" t="inlineStr">
        <is>
          <t>22/11/2019</t>
        </is>
      </c>
      <c r="B887" s="31" t="n">
        <v>3.0389</v>
      </c>
      <c r="C887" s="69" t="n"/>
      <c r="D887" s="70">
        <f t="array" ref="D887">IF(C887="","",IFERROR(AVERAGE(_xlfn._xlws.FILTER($B$2:$B$2000,(IFERROR(VALUE(MID($A$2:$A$2000,4,2)),0)=MONTH(C887))*(IFERROR(VALUE(RIGHT($A$2:$A$2000,4)),0)=YEAR(C887)))),""))</f>
        <v/>
      </c>
      <c r="E887" s="62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4" t="inlineStr">
        <is>
          <t>29/11/2019</t>
        </is>
      </c>
      <c r="B888" s="31" t="n">
        <v>3.1261</v>
      </c>
      <c r="C888" s="69" t="n"/>
      <c r="D888" s="70">
        <f t="array" ref="D888">IF(C888="","",IFERROR(AVERAGE(_xlfn._xlws.FILTER($B$2:$B$2000,(IFERROR(VALUE(MID($A$2:$A$2000,4,2)),0)=MONTH(C888))*(IFERROR(VALUE(RIGHT($A$2:$A$2000,4)),0)=YEAR(C888)))),""))</f>
        <v/>
      </c>
      <c r="E888" s="62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4" t="inlineStr">
        <is>
          <t>06/12/2019</t>
        </is>
      </c>
      <c r="B889" s="31" t="n">
        <v>3.138</v>
      </c>
      <c r="C889" s="69" t="n"/>
      <c r="D889" s="70">
        <f t="array" ref="D889">IF(C889="","",IFERROR(AVERAGE(_xlfn._xlws.FILTER($B$2:$B$2000,(IFERROR(VALUE(MID($A$2:$A$2000,4,2)),0)=MONTH(C889))*(IFERROR(VALUE(RIGHT($A$2:$A$2000,4)),0)=YEAR(C889)))),""))</f>
        <v/>
      </c>
      <c r="E889" s="62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4" t="inlineStr">
        <is>
          <t>13/12/2019</t>
        </is>
      </c>
      <c r="B890" s="31" t="n">
        <v>3.1123</v>
      </c>
      <c r="C890" s="69" t="n"/>
      <c r="D890" s="70">
        <f t="array" ref="D890">IF(C890="","",IFERROR(AVERAGE(_xlfn._xlws.FILTER($B$2:$B$2000,(IFERROR(VALUE(MID($A$2:$A$2000,4,2)),0)=MONTH(C890))*(IFERROR(VALUE(RIGHT($A$2:$A$2000,4)),0)=YEAR(C890)))),""))</f>
        <v/>
      </c>
      <c r="E890" s="62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4" t="inlineStr">
        <is>
          <t>20/12/2019</t>
        </is>
      </c>
      <c r="B891" s="31" t="n">
        <v>3.1075</v>
      </c>
      <c r="C891" s="69" t="n"/>
      <c r="D891" s="70">
        <f t="array" ref="D891">IF(C891="","",IFERROR(AVERAGE(_xlfn._xlws.FILTER($B$2:$B$2000,(IFERROR(VALUE(MID($A$2:$A$2000,4,2)),0)=MONTH(C891))*(IFERROR(VALUE(RIGHT($A$2:$A$2000,4)),0)=YEAR(C891)))),""))</f>
        <v/>
      </c>
      <c r="E891" s="62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4" t="inlineStr">
        <is>
          <t>27/12/2019</t>
        </is>
      </c>
      <c r="B892" s="31" t="n">
        <v>3.1476</v>
      </c>
      <c r="C892" s="69" t="n"/>
      <c r="D892" s="70">
        <f t="array" ref="D892">IF(C892="","",IFERROR(AVERAGE(_xlfn._xlws.FILTER($B$2:$B$2000,(IFERROR(VALUE(MID($A$2:$A$2000,4,2)),0)=MONTH(C892))*(IFERROR(VALUE(RIGHT($A$2:$A$2000,4)),0)=YEAR(C892)))),""))</f>
        <v/>
      </c>
      <c r="E892" s="62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4" t="inlineStr">
        <is>
          <t>03/01/2020</t>
        </is>
      </c>
      <c r="B893" s="31" t="n">
        <v>3.1784</v>
      </c>
      <c r="C893" s="69" t="n"/>
      <c r="D893" s="70">
        <f t="array" ref="D893">IF(C893="","",IFERROR(AVERAGE(_xlfn._xlws.FILTER($B$2:$B$2000,(IFERROR(VALUE(MID($A$2:$A$2000,4,2)),0)=MONTH(C893))*(IFERROR(VALUE(RIGHT($A$2:$A$2000,4)),0)=YEAR(C893)))),""))</f>
        <v/>
      </c>
      <c r="E893" s="62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4" t="inlineStr">
        <is>
          <t>10/01/2020</t>
        </is>
      </c>
      <c r="B894" s="31" t="n">
        <v>3.2134</v>
      </c>
      <c r="C894" s="69" t="n"/>
      <c r="D894" s="70">
        <f t="array" ref="D894">IF(C894="","",IFERROR(AVERAGE(_xlfn._xlws.FILTER($B$2:$B$2000,(IFERROR(VALUE(MID($A$2:$A$2000,4,2)),0)=MONTH(C894))*(IFERROR(VALUE(RIGHT($A$2:$A$2000,4)),0)=YEAR(C894)))),""))</f>
        <v/>
      </c>
      <c r="E894" s="62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4" t="inlineStr">
        <is>
          <t>17/01/2020</t>
        </is>
      </c>
      <c r="B895" s="31" t="n">
        <v>3.2146</v>
      </c>
      <c r="C895" s="69" t="n"/>
      <c r="D895" s="70">
        <f t="array" ref="D895">IF(C895="","",IFERROR(AVERAGE(_xlfn._xlws.FILTER($B$2:$B$2000,(IFERROR(VALUE(MID($A$2:$A$2000,4,2)),0)=MONTH(C895))*(IFERROR(VALUE(RIGHT($A$2:$A$2000,4)),0)=YEAR(C895)))),""))</f>
        <v/>
      </c>
      <c r="E895" s="62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4" t="inlineStr">
        <is>
          <t>24/01/2020</t>
        </is>
      </c>
      <c r="B896" s="31" t="n">
        <v>3.2039</v>
      </c>
      <c r="C896" s="69" t="n"/>
      <c r="D896" s="70">
        <f t="array" ref="D896">IF(C896="","",IFERROR(AVERAGE(_xlfn._xlws.FILTER($B$2:$B$2000,(IFERROR(VALUE(MID($A$2:$A$2000,4,2)),0)=MONTH(C896))*(IFERROR(VALUE(RIGHT($A$2:$A$2000,4)),0)=YEAR(C896)))),""))</f>
        <v/>
      </c>
      <c r="E896" s="62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4" t="inlineStr">
        <is>
          <t>31/01/2020</t>
        </is>
      </c>
      <c r="B897" s="31" t="n">
        <v>3.2417</v>
      </c>
      <c r="C897" s="69" t="n"/>
      <c r="D897" s="70">
        <f t="array" ref="D897">IF(C897="","",IFERROR(AVERAGE(_xlfn._xlws.FILTER($B$2:$B$2000,(IFERROR(VALUE(MID($A$2:$A$2000,4,2)),0)=MONTH(C897))*(IFERROR(VALUE(RIGHT($A$2:$A$2000,4)),0)=YEAR(C897)))),""))</f>
        <v/>
      </c>
      <c r="E897" s="62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4" t="inlineStr">
        <is>
          <t>07/02/2020</t>
        </is>
      </c>
      <c r="B898" s="31" t="n">
        <v>3.2762</v>
      </c>
      <c r="C898" s="69" t="n"/>
      <c r="D898" s="70">
        <f t="array" ref="D898">IF(C898="","",IFERROR(AVERAGE(_xlfn._xlws.FILTER($B$2:$B$2000,(IFERROR(VALUE(MID($A$2:$A$2000,4,2)),0)=MONTH(C898))*(IFERROR(VALUE(RIGHT($A$2:$A$2000,4)),0)=YEAR(C898)))),""))</f>
        <v/>
      </c>
      <c r="E898" s="62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4" t="inlineStr">
        <is>
          <t>14/02/2020</t>
        </is>
      </c>
      <c r="B899" s="31" t="n">
        <v>3.2961</v>
      </c>
      <c r="C899" s="69" t="n"/>
      <c r="D899" s="70">
        <f t="array" ref="D899">IF(C899="","",IFERROR(AVERAGE(_xlfn._xlws.FILTER($B$2:$B$2000,(IFERROR(VALUE(MID($A$2:$A$2000,4,2)),0)=MONTH(C899))*(IFERROR(VALUE(RIGHT($A$2:$A$2000,4)),0)=YEAR(C899)))),""))</f>
        <v/>
      </c>
      <c r="E899" s="62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4" t="inlineStr">
        <is>
          <t>21/02/2020</t>
        </is>
      </c>
      <c r="B900" s="31" t="n">
        <v>3.3095</v>
      </c>
      <c r="C900" s="69" t="n"/>
      <c r="D900" s="70">
        <f t="array" ref="D900">IF(C900="","",IFERROR(AVERAGE(_xlfn._xlws.FILTER($B$2:$B$2000,(IFERROR(VALUE(MID($A$2:$A$2000,4,2)),0)=MONTH(C900))*(IFERROR(VALUE(RIGHT($A$2:$A$2000,4)),0)=YEAR(C900)))),""))</f>
        <v/>
      </c>
      <c r="E900" s="62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4" t="inlineStr">
        <is>
          <t>28/02/2020</t>
        </is>
      </c>
      <c r="B901" s="31" t="n">
        <v>3.3196</v>
      </c>
      <c r="C901" s="69" t="n"/>
      <c r="D901" s="70">
        <f t="array" ref="D901">IF(C901="","",IFERROR(AVERAGE(_xlfn._xlws.FILTER($B$2:$B$2000,(IFERROR(VALUE(MID($A$2:$A$2000,4,2)),0)=MONTH(C901))*(IFERROR(VALUE(RIGHT($A$2:$A$2000,4)),0)=YEAR(C901)))),""))</f>
        <v/>
      </c>
      <c r="E901" s="62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4" t="inlineStr">
        <is>
          <t>06/03/2020</t>
        </is>
      </c>
      <c r="B902" s="31" t="n">
        <v>3.2366</v>
      </c>
      <c r="C902" s="69" t="n"/>
      <c r="D902" s="70">
        <f t="array" ref="D902">IF(C902="","",IFERROR(AVERAGE(_xlfn._xlws.FILTER($B$2:$B$2000,(IFERROR(VALUE(MID($A$2:$A$2000,4,2)),0)=MONTH(C902))*(IFERROR(VALUE(RIGHT($A$2:$A$2000,4)),0)=YEAR(C902)))),""))</f>
        <v/>
      </c>
      <c r="E902" s="62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4" t="inlineStr">
        <is>
          <t>13/03/2020</t>
        </is>
      </c>
      <c r="B903" s="31" t="n">
        <v>2.9846</v>
      </c>
      <c r="C903" s="69" t="n"/>
      <c r="D903" s="70">
        <f t="array" ref="D903">IF(C903="","",IFERROR(AVERAGE(_xlfn._xlws.FILTER($B$2:$B$2000,(IFERROR(VALUE(MID($A$2:$A$2000,4,2)),0)=MONTH(C903))*(IFERROR(VALUE(RIGHT($A$2:$A$2000,4)),0)=YEAR(C903)))),""))</f>
        <v/>
      </c>
      <c r="E903" s="62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4" t="inlineStr">
        <is>
          <t>20/03/2020</t>
        </is>
      </c>
      <c r="B904" s="31" t="n">
        <v>2.5676</v>
      </c>
      <c r="C904" s="69" t="n"/>
      <c r="D904" s="70">
        <f t="array" ref="D904">IF(C904="","",IFERROR(AVERAGE(_xlfn._xlws.FILTER($B$2:$B$2000,(IFERROR(VALUE(MID($A$2:$A$2000,4,2)),0)=MONTH(C904))*(IFERROR(VALUE(RIGHT($A$2:$A$2000,4)),0)=YEAR(C904)))),""))</f>
        <v/>
      </c>
      <c r="E904" s="62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4" t="inlineStr">
        <is>
          <t>27/03/2020</t>
        </is>
      </c>
      <c r="B905" s="31" t="n">
        <v>2.3243</v>
      </c>
      <c r="C905" s="69" t="n"/>
      <c r="D905" s="70">
        <f t="array" ref="D905">IF(C905="","",IFERROR(AVERAGE(_xlfn._xlws.FILTER($B$2:$B$2000,(IFERROR(VALUE(MID($A$2:$A$2000,4,2)),0)=MONTH(C905))*(IFERROR(VALUE(RIGHT($A$2:$A$2000,4)),0)=YEAR(C905)))),""))</f>
        <v/>
      </c>
      <c r="E905" s="62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4" t="inlineStr">
        <is>
          <t>03/04/2020</t>
        </is>
      </c>
      <c r="B906" s="31" t="n">
        <v>1.9878</v>
      </c>
      <c r="C906" s="69" t="n"/>
      <c r="D906" s="70">
        <f t="array" ref="D906">IF(C906="","",IFERROR(AVERAGE(_xlfn._xlws.FILTER($B$2:$B$2000,(IFERROR(VALUE(MID($A$2:$A$2000,4,2)),0)=MONTH(C906))*(IFERROR(VALUE(RIGHT($A$2:$A$2000,4)),0)=YEAR(C906)))),""))</f>
        <v/>
      </c>
      <c r="E906" s="62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4" t="inlineStr">
        <is>
          <t>09/04/2020</t>
        </is>
      </c>
      <c r="B907" s="31" t="n">
        <v>2.1311</v>
      </c>
      <c r="C907" s="69" t="n"/>
      <c r="D907" s="70">
        <f t="array" ref="D907">IF(C907="","",IFERROR(AVERAGE(_xlfn._xlws.FILTER($B$2:$B$2000,(IFERROR(VALUE(MID($A$2:$A$2000,4,2)),0)=MONTH(C907))*(IFERROR(VALUE(RIGHT($A$2:$A$2000,4)),0)=YEAR(C907)))),""))</f>
        <v/>
      </c>
      <c r="E907" s="62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4" t="inlineStr">
        <is>
          <t>17/04/2020</t>
        </is>
      </c>
      <c r="B908" s="31" t="n">
        <v>2.2157</v>
      </c>
      <c r="C908" s="69" t="n"/>
      <c r="D908" s="70">
        <f t="array" ref="D908">IF(C908="","",IFERROR(AVERAGE(_xlfn._xlws.FILTER($B$2:$B$2000,(IFERROR(VALUE(MID($A$2:$A$2000,4,2)),0)=MONTH(C908))*(IFERROR(VALUE(RIGHT($A$2:$A$2000,4)),0)=YEAR(C908)))),""))</f>
        <v/>
      </c>
      <c r="E908" s="62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4" t="inlineStr">
        <is>
          <t>24/04/2020</t>
        </is>
      </c>
      <c r="B909" s="31" t="n">
        <v>1.9808</v>
      </c>
      <c r="C909" s="69" t="n"/>
      <c r="D909" s="70">
        <f t="array" ref="D909">IF(C909="","",IFERROR(AVERAGE(_xlfn._xlws.FILTER($B$2:$B$2000,(IFERROR(VALUE(MID($A$2:$A$2000,4,2)),0)=MONTH(C909))*(IFERROR(VALUE(RIGHT($A$2:$A$2000,4)),0)=YEAR(C909)))),""))</f>
        <v/>
      </c>
      <c r="E909" s="62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4" t="inlineStr">
        <is>
          <t>30/04/2020</t>
        </is>
      </c>
      <c r="B910" s="31" t="n">
        <v>2.0215</v>
      </c>
      <c r="C910" s="69" t="n"/>
      <c r="D910" s="70">
        <f t="array" ref="D910">IF(C910="","",IFERROR(AVERAGE(_xlfn._xlws.FILTER($B$2:$B$2000,(IFERROR(VALUE(MID($A$2:$A$2000,4,2)),0)=MONTH(C910))*(IFERROR(VALUE(RIGHT($A$2:$A$2000,4)),0)=YEAR(C910)))),""))</f>
        <v/>
      </c>
      <c r="E910" s="62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4" t="inlineStr">
        <is>
          <t>08/05/2020</t>
        </is>
      </c>
      <c r="B911" s="31" t="n">
        <v>2.1001</v>
      </c>
      <c r="C911" s="69" t="n"/>
      <c r="D911" s="70">
        <f t="array" ref="D911">IF(C911="","",IFERROR(AVERAGE(_xlfn._xlws.FILTER($B$2:$B$2000,(IFERROR(VALUE(MID($A$2:$A$2000,4,2)),0)=MONTH(C911))*(IFERROR(VALUE(RIGHT($A$2:$A$2000,4)),0)=YEAR(C911)))),""))</f>
        <v/>
      </c>
      <c r="E911" s="62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4" t="inlineStr">
        <is>
          <t>15/05/2020</t>
        </is>
      </c>
      <c r="B912" s="31" t="n">
        <v>2.1162</v>
      </c>
      <c r="C912" s="69" t="n"/>
      <c r="D912" s="70">
        <f t="array" ref="D912">IF(C912="","",IFERROR(AVERAGE(_xlfn._xlws.FILTER($B$2:$B$2000,(IFERROR(VALUE(MID($A$2:$A$2000,4,2)),0)=MONTH(C912))*(IFERROR(VALUE(RIGHT($A$2:$A$2000,4)),0)=YEAR(C912)))),""))</f>
        <v/>
      </c>
      <c r="E912" s="62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4" t="inlineStr">
        <is>
          <t>22/05/2020</t>
        </is>
      </c>
      <c r="B913" s="31" t="n">
        <v>2.1796</v>
      </c>
      <c r="C913" s="69" t="n"/>
      <c r="D913" s="70">
        <f t="array" ref="D913">IF(C913="","",IFERROR(AVERAGE(_xlfn._xlws.FILTER($B$2:$B$2000,(IFERROR(VALUE(MID($A$2:$A$2000,4,2)),0)=MONTH(C913))*(IFERROR(VALUE(RIGHT($A$2:$A$2000,4)),0)=YEAR(C913)))),""))</f>
        <v/>
      </c>
      <c r="E913" s="62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4" t="inlineStr">
        <is>
          <t>29/05/2020</t>
        </is>
      </c>
      <c r="B914" s="31" t="n">
        <v>2.3247</v>
      </c>
      <c r="C914" s="69" t="n"/>
      <c r="D914" s="70">
        <f t="array" ref="D914">IF(C914="","",IFERROR(AVERAGE(_xlfn._xlws.FILTER($B$2:$B$2000,(IFERROR(VALUE(MID($A$2:$A$2000,4,2)),0)=MONTH(C914))*(IFERROR(VALUE(RIGHT($A$2:$A$2000,4)),0)=YEAR(C914)))),""))</f>
        <v/>
      </c>
      <c r="E914" s="62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4" t="inlineStr">
        <is>
          <t>05/06/2020</t>
        </is>
      </c>
      <c r="B915" s="31" t="n">
        <v>2.4261</v>
      </c>
      <c r="C915" s="69" t="n"/>
      <c r="D915" s="70">
        <f t="array" ref="D915">IF(C915="","",IFERROR(AVERAGE(_xlfn._xlws.FILTER($B$2:$B$2000,(IFERROR(VALUE(MID($A$2:$A$2000,4,2)),0)=MONTH(C915))*(IFERROR(VALUE(RIGHT($A$2:$A$2000,4)),0)=YEAR(C915)))),""))</f>
        <v/>
      </c>
      <c r="E915" s="62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4" t="inlineStr">
        <is>
          <t>12/06/2020</t>
        </is>
      </c>
      <c r="B916" s="31" t="n">
        <v>2.5048</v>
      </c>
      <c r="C916" s="69" t="n"/>
      <c r="D916" s="70">
        <f t="array" ref="D916">IF(C916="","",IFERROR(AVERAGE(_xlfn._xlws.FILTER($B$2:$B$2000,(IFERROR(VALUE(MID($A$2:$A$2000,4,2)),0)=MONTH(C916))*(IFERROR(VALUE(RIGHT($A$2:$A$2000,4)),0)=YEAR(C916)))),""))</f>
        <v/>
      </c>
      <c r="E916" s="62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4" t="inlineStr">
        <is>
          <t>19/06/2020</t>
        </is>
      </c>
      <c r="B917" s="31" t="n">
        <v>2.484</v>
      </c>
      <c r="C917" s="69" t="n"/>
      <c r="D917" s="70">
        <f t="array" ref="D917">IF(C917="","",IFERROR(AVERAGE(_xlfn._xlws.FILTER($B$2:$B$2000,(IFERROR(VALUE(MID($A$2:$A$2000,4,2)),0)=MONTH(C917))*(IFERROR(VALUE(RIGHT($A$2:$A$2000,4)),0)=YEAR(C917)))),""))</f>
        <v/>
      </c>
      <c r="E917" s="62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4" t="inlineStr">
        <is>
          <t>26/06/2020</t>
        </is>
      </c>
      <c r="B918" s="31" t="n">
        <v>2.418</v>
      </c>
      <c r="C918" s="69" t="n"/>
      <c r="D918" s="70">
        <f t="array" ref="D918">IF(C918="","",IFERROR(AVERAGE(_xlfn._xlws.FILTER($B$2:$B$2000,(IFERROR(VALUE(MID($A$2:$A$2000,4,2)),0)=MONTH(C918))*(IFERROR(VALUE(RIGHT($A$2:$A$2000,4)),0)=YEAR(C918)))),""))</f>
        <v/>
      </c>
      <c r="E918" s="62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4" t="inlineStr">
        <is>
          <t>03/07/2020</t>
        </is>
      </c>
      <c r="B919" s="31" t="n">
        <v>2.3398</v>
      </c>
      <c r="C919" s="69" t="n"/>
      <c r="D919" s="70">
        <f t="array" ref="D919">IF(C919="","",IFERROR(AVERAGE(_xlfn._xlws.FILTER($B$2:$B$2000,(IFERROR(VALUE(MID($A$2:$A$2000,4,2)),0)=MONTH(C919))*(IFERROR(VALUE(RIGHT($A$2:$A$2000,4)),0)=YEAR(C919)))),""))</f>
        <v/>
      </c>
      <c r="E919" s="62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4" t="inlineStr">
        <is>
          <t>10/07/2020</t>
        </is>
      </c>
      <c r="B920" s="31" t="n">
        <v>2.3558</v>
      </c>
      <c r="C920" s="69" t="n"/>
      <c r="D920" s="70">
        <f t="array" ref="D920">IF(C920="","",IFERROR(AVERAGE(_xlfn._xlws.FILTER($B$2:$B$2000,(IFERROR(VALUE(MID($A$2:$A$2000,4,2)),0)=MONTH(C920))*(IFERROR(VALUE(RIGHT($A$2:$A$2000,4)),0)=YEAR(C920)))),""))</f>
        <v/>
      </c>
      <c r="E920" s="62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4" t="inlineStr">
        <is>
          <t>17/07/2020</t>
        </is>
      </c>
      <c r="B921" s="31" t="n">
        <v>2.3711</v>
      </c>
      <c r="C921" s="69" t="n"/>
      <c r="D921" s="70">
        <f t="array" ref="D921">IF(C921="","",IFERROR(AVERAGE(_xlfn._xlws.FILTER($B$2:$B$2000,(IFERROR(VALUE(MID($A$2:$A$2000,4,2)),0)=MONTH(C921))*(IFERROR(VALUE(RIGHT($A$2:$A$2000,4)),0)=YEAR(C921)))),""))</f>
        <v/>
      </c>
      <c r="E921" s="62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4" t="inlineStr">
        <is>
          <t>24/07/2020</t>
        </is>
      </c>
      <c r="B922" s="31" t="n">
        <v>2.4317</v>
      </c>
      <c r="C922" s="69" t="n"/>
      <c r="D922" s="70">
        <f t="array" ref="D922">IF(C922="","",IFERROR(AVERAGE(_xlfn._xlws.FILTER($B$2:$B$2000,(IFERROR(VALUE(MID($A$2:$A$2000,4,2)),0)=MONTH(C922))*(IFERROR(VALUE(RIGHT($A$2:$A$2000,4)),0)=YEAR(C922)))),""))</f>
        <v/>
      </c>
      <c r="E922" s="62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4" t="inlineStr">
        <is>
          <t>31/07/2020</t>
        </is>
      </c>
      <c r="B923" s="31" t="n">
        <v>2.4756</v>
      </c>
      <c r="C923" s="69" t="n"/>
      <c r="D923" s="70">
        <f t="array" ref="D923">IF(C923="","",IFERROR(AVERAGE(_xlfn._xlws.FILTER($B$2:$B$2000,(IFERROR(VALUE(MID($A$2:$A$2000,4,2)),0)=MONTH(C923))*(IFERROR(VALUE(RIGHT($A$2:$A$2000,4)),0)=YEAR(C923)))),""))</f>
        <v/>
      </c>
      <c r="E923" s="62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4" t="inlineStr">
        <is>
          <t>07/08/2020</t>
        </is>
      </c>
      <c r="B924" s="31" t="n">
        <v>2.3832</v>
      </c>
      <c r="C924" s="69" t="n"/>
      <c r="D924" s="70">
        <f t="array" ref="D924">IF(C924="","",IFERROR(AVERAGE(_xlfn._xlws.FILTER($B$2:$B$2000,(IFERROR(VALUE(MID($A$2:$A$2000,4,2)),0)=MONTH(C924))*(IFERROR(VALUE(RIGHT($A$2:$A$2000,4)),0)=YEAR(C924)))),""))</f>
        <v/>
      </c>
      <c r="E924" s="62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4" t="inlineStr">
        <is>
          <t>14/08/2020</t>
        </is>
      </c>
      <c r="B925" s="31" t="n">
        <v>2.3659</v>
      </c>
      <c r="C925" s="69" t="n"/>
      <c r="D925" s="70">
        <f t="array" ref="D925">IF(C925="","",IFERROR(AVERAGE(_xlfn._xlws.FILTER($B$2:$B$2000,(IFERROR(VALUE(MID($A$2:$A$2000,4,2)),0)=MONTH(C925))*(IFERROR(VALUE(RIGHT($A$2:$A$2000,4)),0)=YEAR(C925)))),""))</f>
        <v/>
      </c>
      <c r="E925" s="62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4" t="inlineStr">
        <is>
          <t>21/08/2020</t>
        </is>
      </c>
      <c r="B926" s="31" t="n">
        <v>2.4627</v>
      </c>
      <c r="C926" s="69" t="n"/>
      <c r="D926" s="70">
        <f t="array" ref="D926">IF(C926="","",IFERROR(AVERAGE(_xlfn._xlws.FILTER($B$2:$B$2000,(IFERROR(VALUE(MID($A$2:$A$2000,4,2)),0)=MONTH(C926))*(IFERROR(VALUE(RIGHT($A$2:$A$2000,4)),0)=YEAR(C926)))),""))</f>
        <v/>
      </c>
      <c r="E926" s="62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4" t="inlineStr">
        <is>
          <t>28/08/2020</t>
        </is>
      </c>
      <c r="B927" s="31" t="n">
        <v>2.5769</v>
      </c>
      <c r="C927" s="69" t="n"/>
      <c r="D927" s="70">
        <f t="array" ref="D927">IF(C927="","",IFERROR(AVERAGE(_xlfn._xlws.FILTER($B$2:$B$2000,(IFERROR(VALUE(MID($A$2:$A$2000,4,2)),0)=MONTH(C927))*(IFERROR(VALUE(RIGHT($A$2:$A$2000,4)),0)=YEAR(C927)))),""))</f>
        <v/>
      </c>
      <c r="E927" s="62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4" t="inlineStr">
        <is>
          <t>04/09/2020</t>
        </is>
      </c>
      <c r="B928" s="31" t="n">
        <v>2.4774</v>
      </c>
      <c r="C928" s="69" t="n"/>
      <c r="D928" s="70">
        <f t="array" ref="D928">IF(C928="","",IFERROR(AVERAGE(_xlfn._xlws.FILTER($B$2:$B$2000,(IFERROR(VALUE(MID($A$2:$A$2000,4,2)),0)=MONTH(C928))*(IFERROR(VALUE(RIGHT($A$2:$A$2000,4)),0)=YEAR(C928)))),""))</f>
        <v/>
      </c>
      <c r="E928" s="62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4" t="inlineStr">
        <is>
          <t>11/09/2020</t>
        </is>
      </c>
      <c r="B929" s="31" t="n">
        <v>2.4214</v>
      </c>
      <c r="C929" s="69" t="n"/>
      <c r="D929" s="70">
        <f t="array" ref="D929">IF(C929="","",IFERROR(AVERAGE(_xlfn._xlws.FILTER($B$2:$B$2000,(IFERROR(VALUE(MID($A$2:$A$2000,4,2)),0)=MONTH(C929))*(IFERROR(VALUE(RIGHT($A$2:$A$2000,4)),0)=YEAR(C929)))),""))</f>
        <v/>
      </c>
      <c r="E929" s="62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4" t="inlineStr">
        <is>
          <t>18/09/2020</t>
        </is>
      </c>
      <c r="B930" s="31" t="n">
        <v>2.4044</v>
      </c>
      <c r="C930" s="69" t="n"/>
      <c r="D930" s="70">
        <f t="array" ref="D930">IF(C930="","",IFERROR(AVERAGE(_xlfn._xlws.FILTER($B$2:$B$2000,(IFERROR(VALUE(MID($A$2:$A$2000,4,2)),0)=MONTH(C930))*(IFERROR(VALUE(RIGHT($A$2:$A$2000,4)),0)=YEAR(C930)))),""))</f>
        <v/>
      </c>
      <c r="E930" s="62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4" t="inlineStr">
        <is>
          <t>25/09/2020</t>
        </is>
      </c>
      <c r="B931" s="31" t="n">
        <v>2.4963</v>
      </c>
      <c r="C931" s="69" t="n"/>
      <c r="D931" s="70">
        <f t="array" ref="D931">IF(C931="","",IFERROR(AVERAGE(_xlfn._xlws.FILTER($B$2:$B$2000,(IFERROR(VALUE(MID($A$2:$A$2000,4,2)),0)=MONTH(C931))*(IFERROR(VALUE(RIGHT($A$2:$A$2000,4)),0)=YEAR(C931)))),""))</f>
        <v/>
      </c>
      <c r="E931" s="62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4" t="inlineStr">
        <is>
          <t>02/10/2020</t>
        </is>
      </c>
      <c r="B932" s="31" t="n">
        <v>2.4648</v>
      </c>
      <c r="C932" s="69" t="n"/>
      <c r="D932" s="70">
        <f t="array" ref="D932">IF(C932="","",IFERROR(AVERAGE(_xlfn._xlws.FILTER($B$2:$B$2000,(IFERROR(VALUE(MID($A$2:$A$2000,4,2)),0)=MONTH(C932))*(IFERROR(VALUE(RIGHT($A$2:$A$2000,4)),0)=YEAR(C932)))),""))</f>
        <v/>
      </c>
      <c r="E932" s="62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4" t="inlineStr">
        <is>
          <t>09/10/2020</t>
        </is>
      </c>
      <c r="B933" s="31" t="n">
        <v>2.5048</v>
      </c>
      <c r="C933" s="69" t="n"/>
      <c r="D933" s="70">
        <f t="array" ref="D933">IF(C933="","",IFERROR(AVERAGE(_xlfn._xlws.FILTER($B$2:$B$2000,(IFERROR(VALUE(MID($A$2:$A$2000,4,2)),0)=MONTH(C933))*(IFERROR(VALUE(RIGHT($A$2:$A$2000,4)),0)=YEAR(C933)))),""))</f>
        <v/>
      </c>
      <c r="E933" s="62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4" t="inlineStr">
        <is>
          <t>16/10/2020</t>
        </is>
      </c>
      <c r="B934" s="31" t="n">
        <v>2.664</v>
      </c>
      <c r="C934" s="69" t="n"/>
      <c r="D934" s="70">
        <f t="array" ref="D934">IF(C934="","",IFERROR(AVERAGE(_xlfn._xlws.FILTER($B$2:$B$2000,(IFERROR(VALUE(MID($A$2:$A$2000,4,2)),0)=MONTH(C934))*(IFERROR(VALUE(RIGHT($A$2:$A$2000,4)),0)=YEAR(C934)))),""))</f>
        <v/>
      </c>
      <c r="E934" s="62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4" t="inlineStr">
        <is>
          <t>23/10/2020</t>
        </is>
      </c>
      <c r="B935" s="31" t="n">
        <v>2.7041</v>
      </c>
      <c r="C935" s="69" t="n"/>
      <c r="D935" s="70">
        <f t="array" ref="D935">IF(C935="","",IFERROR(AVERAGE(_xlfn._xlws.FILTER($B$2:$B$2000,(IFERROR(VALUE(MID($A$2:$A$2000,4,2)),0)=MONTH(C935))*(IFERROR(VALUE(RIGHT($A$2:$A$2000,4)),0)=YEAR(C935)))),""))</f>
        <v/>
      </c>
      <c r="E935" s="62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4" t="inlineStr">
        <is>
          <t>30/10/2020</t>
        </is>
      </c>
      <c r="B936" s="31" t="n">
        <v>2.7197</v>
      </c>
      <c r="C936" s="69" t="n"/>
      <c r="D936" s="70">
        <f t="array" ref="D936">IF(C936="","",IFERROR(AVERAGE(_xlfn._xlws.FILTER($B$2:$B$2000,(IFERROR(VALUE(MID($A$2:$A$2000,4,2)),0)=MONTH(C936))*(IFERROR(VALUE(RIGHT($A$2:$A$2000,4)),0)=YEAR(C936)))),""))</f>
        <v/>
      </c>
      <c r="E936" s="62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4" t="inlineStr">
        <is>
          <t>06/11/2020</t>
        </is>
      </c>
      <c r="B937" s="31" t="n">
        <v>2.6295</v>
      </c>
      <c r="C937" s="69" t="n"/>
      <c r="D937" s="70">
        <f t="array" ref="D937">IF(C937="","",IFERROR(AVERAGE(_xlfn._xlws.FILTER($B$2:$B$2000,(IFERROR(VALUE(MID($A$2:$A$2000,4,2)),0)=MONTH(C937))*(IFERROR(VALUE(RIGHT($A$2:$A$2000,4)),0)=YEAR(C937)))),""))</f>
        <v/>
      </c>
      <c r="E937" s="62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4" t="inlineStr">
        <is>
          <t>13/11/2020</t>
        </is>
      </c>
      <c r="B938" s="31" t="n">
        <v>2.6397</v>
      </c>
      <c r="C938" s="69" t="n"/>
      <c r="D938" s="70">
        <f t="array" ref="D938">IF(C938="","",IFERROR(AVERAGE(_xlfn._xlws.FILTER($B$2:$B$2000,(IFERROR(VALUE(MID($A$2:$A$2000,4,2)),0)=MONTH(C938))*(IFERROR(VALUE(RIGHT($A$2:$A$2000,4)),0)=YEAR(C938)))),""))</f>
        <v/>
      </c>
      <c r="E938" s="62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4" t="inlineStr">
        <is>
          <t>20/11/2020</t>
        </is>
      </c>
      <c r="B939" s="31" t="n">
        <v>2.6556</v>
      </c>
      <c r="C939" s="69" t="n"/>
      <c r="D939" s="70">
        <f t="array" ref="D939">IF(C939="","",IFERROR(AVERAGE(_xlfn._xlws.FILTER($B$2:$B$2000,(IFERROR(VALUE(MID($A$2:$A$2000,4,2)),0)=MONTH(C939))*(IFERROR(VALUE(RIGHT($A$2:$A$2000,4)),0)=YEAR(C939)))),""))</f>
        <v/>
      </c>
      <c r="E939" s="62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4" t="inlineStr">
        <is>
          <t>27/11/2020</t>
        </is>
      </c>
      <c r="B940" s="31" t="n">
        <v>2.6509</v>
      </c>
      <c r="C940" s="69" t="n"/>
      <c r="D940" s="70">
        <f t="array" ref="D940">IF(C940="","",IFERROR(AVERAGE(_xlfn._xlws.FILTER($B$2:$B$2000,(IFERROR(VALUE(MID($A$2:$A$2000,4,2)),0)=MONTH(C940))*(IFERROR(VALUE(RIGHT($A$2:$A$2000,4)),0)=YEAR(C940)))),""))</f>
        <v/>
      </c>
      <c r="E940" s="62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4" t="inlineStr">
        <is>
          <t>04/12/2020</t>
        </is>
      </c>
      <c r="B941" s="31" t="n">
        <v>2.6055</v>
      </c>
      <c r="C941" s="69" t="n"/>
      <c r="D941" s="70">
        <f t="array" ref="D941">IF(C941="","",IFERROR(AVERAGE(_xlfn._xlws.FILTER($B$2:$B$2000,(IFERROR(VALUE(MID($A$2:$A$2000,4,2)),0)=MONTH(C941))*(IFERROR(VALUE(RIGHT($A$2:$A$2000,4)),0)=YEAR(C941)))),""))</f>
        <v/>
      </c>
      <c r="E941" s="62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4" t="inlineStr">
        <is>
          <t>11/12/2020</t>
        </is>
      </c>
      <c r="B942" s="31" t="n">
        <v>2.6009</v>
      </c>
      <c r="C942" s="69" t="n"/>
      <c r="D942" s="70">
        <f t="array" ref="D942">IF(C942="","",IFERROR(AVERAGE(_xlfn._xlws.FILTER($B$2:$B$2000,(IFERROR(VALUE(MID($A$2:$A$2000,4,2)),0)=MONTH(C942))*(IFERROR(VALUE(RIGHT($A$2:$A$2000,4)),0)=YEAR(C942)))),""))</f>
        <v/>
      </c>
      <c r="E942" s="62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4" t="inlineStr">
        <is>
          <t>18/12/2020</t>
        </is>
      </c>
      <c r="B943" s="31" t="n">
        <v>2.5842</v>
      </c>
      <c r="C943" s="69" t="n"/>
      <c r="D943" s="70">
        <f t="array" ref="D943">IF(C943="","",IFERROR(AVERAGE(_xlfn._xlws.FILTER($B$2:$B$2000,(IFERROR(VALUE(MID($A$2:$A$2000,4,2)),0)=MONTH(C943))*(IFERROR(VALUE(RIGHT($A$2:$A$2000,4)),0)=YEAR(C943)))),""))</f>
        <v/>
      </c>
      <c r="E943" s="62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4" t="inlineStr">
        <is>
          <t>23/12/2020</t>
        </is>
      </c>
      <c r="B944" s="31" t="n">
        <v>2.5871</v>
      </c>
      <c r="C944" s="69" t="n"/>
      <c r="D944" s="70">
        <f t="array" ref="D944">IF(C944="","",IFERROR(AVERAGE(_xlfn._xlws.FILTER($B$2:$B$2000,(IFERROR(VALUE(MID($A$2:$A$2000,4,2)),0)=MONTH(C944))*(IFERROR(VALUE(RIGHT($A$2:$A$2000,4)),0)=YEAR(C944)))),""))</f>
        <v/>
      </c>
      <c r="E944" s="62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4" t="inlineStr">
        <is>
          <t>30/12/2020</t>
        </is>
      </c>
      <c r="B945" s="31" t="n">
        <v>2.5951</v>
      </c>
      <c r="C945" s="69" t="n"/>
      <c r="D945" s="70">
        <f t="array" ref="D945">IF(C945="","",IFERROR(AVERAGE(_xlfn._xlws.FILTER($B$2:$B$2000,(IFERROR(VALUE(MID($A$2:$A$2000,4,2)),0)=MONTH(C945))*(IFERROR(VALUE(RIGHT($A$2:$A$2000,4)),0)=YEAR(C945)))),""))</f>
        <v/>
      </c>
      <c r="E945" s="62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4" t="inlineStr">
        <is>
          <t>08/01/2021</t>
        </is>
      </c>
      <c r="B946" s="31" t="n">
        <v>2.5512</v>
      </c>
      <c r="C946" s="69" t="n"/>
      <c r="D946" s="70">
        <f t="array" ref="D946">IF(C946="","",IFERROR(AVERAGE(_xlfn._xlws.FILTER($B$2:$B$2000,(IFERROR(VALUE(MID($A$2:$A$2000,4,2)),0)=MONTH(C946))*(IFERROR(VALUE(RIGHT($A$2:$A$2000,4)),0)=YEAR(C946)))),""))</f>
        <v/>
      </c>
      <c r="E946" s="62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4" t="inlineStr">
        <is>
          <t>15/01/2021</t>
        </is>
      </c>
      <c r="B947" s="31" t="n">
        <v>2.5633</v>
      </c>
      <c r="C947" s="69" t="n"/>
      <c r="D947" s="70">
        <f t="array" ref="D947">IF(C947="","",IFERROR(AVERAGE(_xlfn._xlws.FILTER($B$2:$B$2000,(IFERROR(VALUE(MID($A$2:$A$2000,4,2)),0)=MONTH(C947))*(IFERROR(VALUE(RIGHT($A$2:$A$2000,4)),0)=YEAR(C947)))),""))</f>
        <v/>
      </c>
      <c r="E947" s="62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4" t="inlineStr">
        <is>
          <t>22/01/2021</t>
        </is>
      </c>
      <c r="B948" s="31" t="n">
        <v>2.6058</v>
      </c>
      <c r="C948" s="69" t="n"/>
      <c r="D948" s="70">
        <f t="array" ref="D948">IF(C948="","",IFERROR(AVERAGE(_xlfn._xlws.FILTER($B$2:$B$2000,(IFERROR(VALUE(MID($A$2:$A$2000,4,2)),0)=MONTH(C948))*(IFERROR(VALUE(RIGHT($A$2:$A$2000,4)),0)=YEAR(C948)))),""))</f>
        <v/>
      </c>
      <c r="E948" s="62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4" t="inlineStr">
        <is>
          <t>29/01/2021</t>
        </is>
      </c>
      <c r="B949" s="31" t="n">
        <v>2.6294</v>
      </c>
      <c r="C949" s="69" t="n"/>
      <c r="D949" s="70">
        <f t="array" ref="D949">IF(C949="","",IFERROR(AVERAGE(_xlfn._xlws.FILTER($B$2:$B$2000,(IFERROR(VALUE(MID($A$2:$A$2000,4,2)),0)=MONTH(C949))*(IFERROR(VALUE(RIGHT($A$2:$A$2000,4)),0)=YEAR(C949)))),""))</f>
        <v/>
      </c>
      <c r="E949" s="62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4" t="inlineStr">
        <is>
          <t>05/02/2021</t>
        </is>
      </c>
      <c r="B950" s="31" t="n">
        <v>2.5705</v>
      </c>
      <c r="C950" s="69" t="n"/>
      <c r="D950" s="70">
        <f t="array" ref="D950">IF(C950="","",IFERROR(AVERAGE(_xlfn._xlws.FILTER($B$2:$B$2000,(IFERROR(VALUE(MID($A$2:$A$2000,4,2)),0)=MONTH(C950))*(IFERROR(VALUE(RIGHT($A$2:$A$2000,4)),0)=YEAR(C950)))),""))</f>
        <v/>
      </c>
      <c r="E950" s="62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4" t="inlineStr">
        <is>
          <t>12/02/2021</t>
        </is>
      </c>
      <c r="B951" s="31" t="n">
        <v>2.7095</v>
      </c>
      <c r="C951" s="69" t="n"/>
      <c r="D951" s="70">
        <f t="array" ref="D951">IF(C951="","",IFERROR(AVERAGE(_xlfn._xlws.FILTER($B$2:$B$2000,(IFERROR(VALUE(MID($A$2:$A$2000,4,2)),0)=MONTH(C951))*(IFERROR(VALUE(RIGHT($A$2:$A$2000,4)),0)=YEAR(C951)))),""))</f>
        <v/>
      </c>
      <c r="E951" s="62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4" t="inlineStr">
        <is>
          <t>19/02/2021</t>
        </is>
      </c>
      <c r="B952" s="31" t="n">
        <v>3.0463</v>
      </c>
      <c r="C952" s="69" t="n"/>
      <c r="D952" s="70">
        <f t="array" ref="D952">IF(C952="","",IFERROR(AVERAGE(_xlfn._xlws.FILTER($B$2:$B$2000,(IFERROR(VALUE(MID($A$2:$A$2000,4,2)),0)=MONTH(C952))*(IFERROR(VALUE(RIGHT($A$2:$A$2000,4)),0)=YEAR(C952)))),""))</f>
        <v/>
      </c>
      <c r="E952" s="62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4" t="inlineStr">
        <is>
          <t>26/02/2021</t>
        </is>
      </c>
      <c r="B953" s="31" t="n">
        <v>3.2672</v>
      </c>
      <c r="C953" s="69" t="n"/>
      <c r="D953" s="70">
        <f t="array" ref="D953">IF(C953="","",IFERROR(AVERAGE(_xlfn._xlws.FILTER($B$2:$B$2000,(IFERROR(VALUE(MID($A$2:$A$2000,4,2)),0)=MONTH(C953))*(IFERROR(VALUE(RIGHT($A$2:$A$2000,4)),0)=YEAR(C953)))),""))</f>
        <v/>
      </c>
      <c r="E953" s="62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4" t="inlineStr">
        <is>
          <t>05/03/2021</t>
        </is>
      </c>
      <c r="B954" s="31" t="n">
        <v>3.4047</v>
      </c>
      <c r="C954" s="69" t="n"/>
      <c r="D954" s="70">
        <f t="array" ref="D954">IF(C954="","",IFERROR(AVERAGE(_xlfn._xlws.FILTER($B$2:$B$2000,(IFERROR(VALUE(MID($A$2:$A$2000,4,2)),0)=MONTH(C954))*(IFERROR(VALUE(RIGHT($A$2:$A$2000,4)),0)=YEAR(C954)))),""))</f>
        <v/>
      </c>
      <c r="E954" s="62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4" t="inlineStr">
        <is>
          <t>12/03/2021</t>
        </is>
      </c>
      <c r="B955" s="31" t="n">
        <v>3.4033</v>
      </c>
      <c r="C955" s="69" t="n"/>
      <c r="D955" s="70">
        <f t="array" ref="D955">IF(C955="","",IFERROR(AVERAGE(_xlfn._xlws.FILTER($B$2:$B$2000,(IFERROR(VALUE(MID($A$2:$A$2000,4,2)),0)=MONTH(C955))*(IFERROR(VALUE(RIGHT($A$2:$A$2000,4)),0)=YEAR(C955)))),""))</f>
        <v/>
      </c>
      <c r="E955" s="62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4" t="inlineStr">
        <is>
          <t>19/03/2021</t>
        </is>
      </c>
      <c r="B956" s="31" t="n">
        <v>3.2107</v>
      </c>
      <c r="C956" s="69" t="n"/>
      <c r="D956" s="70">
        <f t="array" ref="D956">IF(C956="","",IFERROR(AVERAGE(_xlfn._xlws.FILTER($B$2:$B$2000,(IFERROR(VALUE(MID($A$2:$A$2000,4,2)),0)=MONTH(C956))*(IFERROR(VALUE(RIGHT($A$2:$A$2000,4)),0)=YEAR(C956)))),""))</f>
        <v/>
      </c>
      <c r="E956" s="62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4" t="inlineStr">
        <is>
          <t>26/03/2021</t>
        </is>
      </c>
      <c r="B957" s="31" t="n">
        <v>2.702</v>
      </c>
      <c r="C957" s="69" t="n"/>
      <c r="D957" s="70">
        <f t="array" ref="D957">IF(C957="","",IFERROR(AVERAGE(_xlfn._xlws.FILTER($B$2:$B$2000,(IFERROR(VALUE(MID($A$2:$A$2000,4,2)),0)=MONTH(C957))*(IFERROR(VALUE(RIGHT($A$2:$A$2000,4)),0)=YEAR(C957)))),""))</f>
        <v/>
      </c>
      <c r="E957" s="62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4" t="inlineStr">
        <is>
          <t>01/04/2021</t>
        </is>
      </c>
      <c r="B958" s="31" t="n">
        <v>2.6721</v>
      </c>
      <c r="C958" s="69" t="n"/>
      <c r="D958" s="70">
        <f t="array" ref="D958">IF(C958="","",IFERROR(AVERAGE(_xlfn._xlws.FILTER($B$2:$B$2000,(IFERROR(VALUE(MID($A$2:$A$2000,4,2)),0)=MONTH(C958))*(IFERROR(VALUE(RIGHT($A$2:$A$2000,4)),0)=YEAR(C958)))),""))</f>
        <v/>
      </c>
      <c r="E958" s="62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4" t="inlineStr">
        <is>
          <t>09/04/2021</t>
        </is>
      </c>
      <c r="B959" s="31" t="n">
        <v>2.739</v>
      </c>
      <c r="C959" s="69" t="n"/>
      <c r="D959" s="70">
        <f t="array" ref="D959">IF(C959="","",IFERROR(AVERAGE(_xlfn._xlws.FILTER($B$2:$B$2000,(IFERROR(VALUE(MID($A$2:$A$2000,4,2)),0)=MONTH(C959))*(IFERROR(VALUE(RIGHT($A$2:$A$2000,4)),0)=YEAR(C959)))),""))</f>
        <v/>
      </c>
      <c r="E959" s="62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4" t="inlineStr">
        <is>
          <t>16/04/2021</t>
        </is>
      </c>
      <c r="B960" s="31" t="n">
        <v>2.9827</v>
      </c>
      <c r="C960" s="69" t="n"/>
      <c r="D960" s="70">
        <f t="array" ref="D960">IF(C960="","",IFERROR(AVERAGE(_xlfn._xlws.FILTER($B$2:$B$2000,(IFERROR(VALUE(MID($A$2:$A$2000,4,2)),0)=MONTH(C960))*(IFERROR(VALUE(RIGHT($A$2:$A$2000,4)),0)=YEAR(C960)))),""))</f>
        <v/>
      </c>
      <c r="E960" s="62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4" t="inlineStr">
        <is>
          <t>23/04/2021</t>
        </is>
      </c>
      <c r="B961" s="31" t="n">
        <v>3.0859</v>
      </c>
      <c r="C961" s="69" t="n"/>
      <c r="D961" s="70">
        <f t="array" ref="D961">IF(C961="","",IFERROR(AVERAGE(_xlfn._xlws.FILTER($B$2:$B$2000,(IFERROR(VALUE(MID($A$2:$A$2000,4,2)),0)=MONTH(C961))*(IFERROR(VALUE(RIGHT($A$2:$A$2000,4)),0)=YEAR(C961)))),""))</f>
        <v/>
      </c>
      <c r="E961" s="62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4" t="inlineStr">
        <is>
          <t>30/04/2021</t>
        </is>
      </c>
      <c r="B962" s="31" t="n">
        <v>3.0677</v>
      </c>
      <c r="C962" s="69" t="n"/>
      <c r="D962" s="70">
        <f t="array" ref="D962">IF(C962="","",IFERROR(AVERAGE(_xlfn._xlws.FILTER($B$2:$B$2000,(IFERROR(VALUE(MID($A$2:$A$2000,4,2)),0)=MONTH(C962))*(IFERROR(VALUE(RIGHT($A$2:$A$2000,4)),0)=YEAR(C962)))),""))</f>
        <v/>
      </c>
      <c r="E962" s="62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4" t="inlineStr">
        <is>
          <t>07/05/2021</t>
        </is>
      </c>
      <c r="B963" s="31" t="n">
        <v>3.243</v>
      </c>
      <c r="C963" s="69" t="n"/>
      <c r="D963" s="70">
        <f t="array" ref="D963">IF(C963="","",IFERROR(AVERAGE(_xlfn._xlws.FILTER($B$2:$B$2000,(IFERROR(VALUE(MID($A$2:$A$2000,4,2)),0)=MONTH(C963))*(IFERROR(VALUE(RIGHT($A$2:$A$2000,4)),0)=YEAR(C963)))),""))</f>
        <v/>
      </c>
      <c r="E963" s="62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4" t="inlineStr">
        <is>
          <t>14/05/2021</t>
        </is>
      </c>
      <c r="B964" s="31" t="n">
        <v>3.379</v>
      </c>
      <c r="C964" s="69" t="n"/>
      <c r="D964" s="70">
        <f t="array" ref="D964">IF(C964="","",IFERROR(AVERAGE(_xlfn._xlws.FILTER($B$2:$B$2000,(IFERROR(VALUE(MID($A$2:$A$2000,4,2)),0)=MONTH(C964))*(IFERROR(VALUE(RIGHT($A$2:$A$2000,4)),0)=YEAR(C964)))),""))</f>
        <v/>
      </c>
      <c r="E964" s="62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4" t="inlineStr">
        <is>
          <t>21/05/2021</t>
        </is>
      </c>
      <c r="B965" s="31" t="n">
        <v>3.226</v>
      </c>
      <c r="C965" s="69" t="n"/>
      <c r="D965" s="70">
        <f t="array" ref="D965">IF(C965="","",IFERROR(AVERAGE(_xlfn._xlws.FILTER($B$2:$B$2000,(IFERROR(VALUE(MID($A$2:$A$2000,4,2)),0)=MONTH(C965))*(IFERROR(VALUE(RIGHT($A$2:$A$2000,4)),0)=YEAR(C965)))),""))</f>
        <v/>
      </c>
      <c r="E965" s="62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4" t="inlineStr">
        <is>
          <t>28/05/2021</t>
        </is>
      </c>
      <c r="B966" s="31" t="n">
        <v>3.1901</v>
      </c>
      <c r="C966" s="69" t="n"/>
      <c r="D966" s="70">
        <f t="array" ref="D966">IF(C966="","",IFERROR(AVERAGE(_xlfn._xlws.FILTER($B$2:$B$2000,(IFERROR(VALUE(MID($A$2:$A$2000,4,2)),0)=MONTH(C966))*(IFERROR(VALUE(RIGHT($A$2:$A$2000,4)),0)=YEAR(C966)))),""))</f>
        <v/>
      </c>
      <c r="E966" s="62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4" t="inlineStr">
        <is>
          <t>04/06/2021</t>
        </is>
      </c>
      <c r="B967" s="31" t="n">
        <v>3.3032</v>
      </c>
      <c r="C967" s="69" t="n"/>
      <c r="D967" s="70">
        <f t="array" ref="D967">IF(C967="","",IFERROR(AVERAGE(_xlfn._xlws.FILTER($B$2:$B$2000,(IFERROR(VALUE(MID($A$2:$A$2000,4,2)),0)=MONTH(C967))*(IFERROR(VALUE(RIGHT($A$2:$A$2000,4)),0)=YEAR(C967)))),""))</f>
        <v/>
      </c>
      <c r="E967" s="62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4" t="inlineStr">
        <is>
          <t>11/06/2021</t>
        </is>
      </c>
      <c r="B968" s="31" t="n">
        <v>3.3055</v>
      </c>
      <c r="C968" s="69" t="n"/>
      <c r="D968" s="70">
        <f t="array" ref="D968">IF(C968="","",IFERROR(AVERAGE(_xlfn._xlws.FILTER($B$2:$B$2000,(IFERROR(VALUE(MID($A$2:$A$2000,4,2)),0)=MONTH(C968))*(IFERROR(VALUE(RIGHT($A$2:$A$2000,4)),0)=YEAR(C968)))),""))</f>
        <v/>
      </c>
      <c r="E968" s="62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4" t="inlineStr">
        <is>
          <t>18/06/2021</t>
        </is>
      </c>
      <c r="B969" s="31" t="n">
        <v>3.1677</v>
      </c>
      <c r="C969" s="69" t="n"/>
      <c r="D969" s="70">
        <f t="array" ref="D969">IF(C969="","",IFERROR(AVERAGE(_xlfn._xlws.FILTER($B$2:$B$2000,(IFERROR(VALUE(MID($A$2:$A$2000,4,2)),0)=MONTH(C969))*(IFERROR(VALUE(RIGHT($A$2:$A$2000,4)),0)=YEAR(C969)))),""))</f>
        <v/>
      </c>
      <c r="E969" s="62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4" t="inlineStr">
        <is>
          <t>25/06/2021</t>
        </is>
      </c>
      <c r="B970" s="31" t="n">
        <v>3.091</v>
      </c>
      <c r="C970" s="69" t="n"/>
      <c r="D970" s="70">
        <f t="array" ref="D970">IF(C970="","",IFERROR(AVERAGE(_xlfn._xlws.FILTER($B$2:$B$2000,(IFERROR(VALUE(MID($A$2:$A$2000,4,2)),0)=MONTH(C970))*(IFERROR(VALUE(RIGHT($A$2:$A$2000,4)),0)=YEAR(C970)))),""))</f>
        <v/>
      </c>
      <c r="E970" s="62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4" t="inlineStr">
        <is>
          <t>02/07/2021</t>
        </is>
      </c>
      <c r="B971" s="31" t="n">
        <v>3.0979</v>
      </c>
      <c r="C971" s="69" t="n"/>
      <c r="D971" s="70">
        <f t="array" ref="D971">IF(C971="","",IFERROR(AVERAGE(_xlfn._xlws.FILTER($B$2:$B$2000,(IFERROR(VALUE(MID($A$2:$A$2000,4,2)),0)=MONTH(C971))*(IFERROR(VALUE(RIGHT($A$2:$A$2000,4)),0)=YEAR(C971)))),""))</f>
        <v/>
      </c>
      <c r="E971" s="62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4" t="inlineStr">
        <is>
          <t>08/07/2021</t>
        </is>
      </c>
      <c r="B972" s="31" t="n">
        <v>3.1959</v>
      </c>
      <c r="C972" s="69" t="n"/>
      <c r="D972" s="70">
        <f t="array" ref="D972">IF(C972="","",IFERROR(AVERAGE(_xlfn._xlws.FILTER($B$2:$B$2000,(IFERROR(VALUE(MID($A$2:$A$2000,4,2)),0)=MONTH(C972))*(IFERROR(VALUE(RIGHT($A$2:$A$2000,4)),0)=YEAR(C972)))),""))</f>
        <v/>
      </c>
      <c r="E972" s="62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4" t="inlineStr">
        <is>
          <t>16/07/2021</t>
        </is>
      </c>
      <c r="B973" s="31" t="n">
        <v>3.2378</v>
      </c>
      <c r="C973" s="69" t="n"/>
      <c r="D973" s="70">
        <f t="array" ref="D973">IF(C973="","",IFERROR(AVERAGE(_xlfn._xlws.FILTER($B$2:$B$2000,(IFERROR(VALUE(MID($A$2:$A$2000,4,2)),0)=MONTH(C973))*(IFERROR(VALUE(RIGHT($A$2:$A$2000,4)),0)=YEAR(C973)))),""))</f>
        <v/>
      </c>
      <c r="E973" s="62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4" t="inlineStr">
        <is>
          <t>23/07/2021</t>
        </is>
      </c>
      <c r="B974" s="31" t="n">
        <v>3.1829</v>
      </c>
      <c r="C974" s="69" t="n"/>
      <c r="D974" s="70">
        <f t="array" ref="D974">IF(C974="","",IFERROR(AVERAGE(_xlfn._xlws.FILTER($B$2:$B$2000,(IFERROR(VALUE(MID($A$2:$A$2000,4,2)),0)=MONTH(C974))*(IFERROR(VALUE(RIGHT($A$2:$A$2000,4)),0)=YEAR(C974)))),""))</f>
        <v/>
      </c>
      <c r="E974" s="62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4" t="inlineStr">
        <is>
          <t>30/07/2021</t>
        </is>
      </c>
      <c r="B975" s="31" t="n">
        <v>3.244</v>
      </c>
      <c r="C975" s="69" t="n"/>
      <c r="D975" s="70">
        <f t="array" ref="D975">IF(C975="","",IFERROR(AVERAGE(_xlfn._xlws.FILTER($B$2:$B$2000,(IFERROR(VALUE(MID($A$2:$A$2000,4,2)),0)=MONTH(C975))*(IFERROR(VALUE(RIGHT($A$2:$A$2000,4)),0)=YEAR(C975)))),""))</f>
        <v/>
      </c>
      <c r="E975" s="62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4" t="inlineStr">
        <is>
          <t>06/08/2021</t>
        </is>
      </c>
      <c r="B976" s="31" t="n">
        <v>3.2926</v>
      </c>
      <c r="C976" s="69" t="n"/>
      <c r="D976" s="70">
        <f t="array" ref="D976">IF(C976="","",IFERROR(AVERAGE(_xlfn._xlws.FILTER($B$2:$B$2000,(IFERROR(VALUE(MID($A$2:$A$2000,4,2)),0)=MONTH(C976))*(IFERROR(VALUE(RIGHT($A$2:$A$2000,4)),0)=YEAR(C976)))),""))</f>
        <v/>
      </c>
      <c r="E976" s="62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4" t="inlineStr">
        <is>
          <t>13/08/2021</t>
        </is>
      </c>
      <c r="B977" s="31" t="n">
        <v>3.4081</v>
      </c>
      <c r="C977" s="69" t="n"/>
      <c r="D977" s="70">
        <f t="array" ref="D977">IF(C977="","",IFERROR(AVERAGE(_xlfn._xlws.FILTER($B$2:$B$2000,(IFERROR(VALUE(MID($A$2:$A$2000,4,2)),0)=MONTH(C977))*(IFERROR(VALUE(RIGHT($A$2:$A$2000,4)),0)=YEAR(C977)))),""))</f>
        <v/>
      </c>
      <c r="E977" s="62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4" t="inlineStr">
        <is>
          <t>20/08/2021</t>
        </is>
      </c>
      <c r="B978" s="31" t="n">
        <v>3.4542</v>
      </c>
      <c r="C978" s="69" t="n"/>
      <c r="D978" s="70">
        <f t="array" ref="D978">IF(C978="","",IFERROR(AVERAGE(_xlfn._xlws.FILTER($B$2:$B$2000,(IFERROR(VALUE(MID($A$2:$A$2000,4,2)),0)=MONTH(C978))*(IFERROR(VALUE(RIGHT($A$2:$A$2000,4)),0)=YEAR(C978)))),""))</f>
        <v/>
      </c>
      <c r="E978" s="62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4" t="inlineStr">
        <is>
          <t>27/08/2021</t>
        </is>
      </c>
      <c r="B979" s="31" t="n">
        <v>3.462</v>
      </c>
      <c r="C979" s="69" t="n"/>
      <c r="D979" s="70">
        <f t="array" ref="D979">IF(C979="","",IFERROR(AVERAGE(_xlfn._xlws.FILTER($B$2:$B$2000,(IFERROR(VALUE(MID($A$2:$A$2000,4,2)),0)=MONTH(C979))*(IFERROR(VALUE(RIGHT($A$2:$A$2000,4)),0)=YEAR(C979)))),""))</f>
        <v/>
      </c>
      <c r="E979" s="62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4" t="inlineStr">
        <is>
          <t>03/09/2021</t>
        </is>
      </c>
      <c r="B980" s="31" t="n">
        <v>3.5244</v>
      </c>
      <c r="C980" s="69" t="n"/>
      <c r="D980" s="70">
        <f t="array" ref="D980">IF(C980="","",IFERROR(AVERAGE(_xlfn._xlws.FILTER($B$2:$B$2000,(IFERROR(VALUE(MID($A$2:$A$2000,4,2)),0)=MONTH(C980))*(IFERROR(VALUE(RIGHT($A$2:$A$2000,4)),0)=YEAR(C980)))),""))</f>
        <v/>
      </c>
      <c r="E980" s="62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4" t="inlineStr">
        <is>
          <t>10/09/2021</t>
        </is>
      </c>
      <c r="B981" s="31" t="n">
        <v>3.5375</v>
      </c>
      <c r="C981" s="69" t="n"/>
      <c r="D981" s="70">
        <f t="array" ref="D981">IF(C981="","",IFERROR(AVERAGE(_xlfn._xlws.FILTER($B$2:$B$2000,(IFERROR(VALUE(MID($A$2:$A$2000,4,2)),0)=MONTH(C981))*(IFERROR(VALUE(RIGHT($A$2:$A$2000,4)),0)=YEAR(C981)))),""))</f>
        <v/>
      </c>
      <c r="E981" s="62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4" t="inlineStr">
        <is>
          <t>17/09/2021</t>
        </is>
      </c>
      <c r="B982" s="31" t="n">
        <v>3.567</v>
      </c>
      <c r="C982" s="69" t="n"/>
      <c r="D982" s="70">
        <f t="array" ref="D982">IF(C982="","",IFERROR(AVERAGE(_xlfn._xlws.FILTER($B$2:$B$2000,(IFERROR(VALUE(MID($A$2:$A$2000,4,2)),0)=MONTH(C982))*(IFERROR(VALUE(RIGHT($A$2:$A$2000,4)),0)=YEAR(C982)))),""))</f>
        <v/>
      </c>
      <c r="E982" s="62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4" t="inlineStr">
        <is>
          <t>24/09/2021</t>
        </is>
      </c>
      <c r="B983" s="31" t="n">
        <v>3.6068</v>
      </c>
      <c r="C983" s="69" t="n"/>
      <c r="D983" s="70">
        <f t="array" ref="D983">IF(C983="","",IFERROR(AVERAGE(_xlfn._xlws.FILTER($B$2:$B$2000,(IFERROR(VALUE(MID($A$2:$A$2000,4,2)),0)=MONTH(C983))*(IFERROR(VALUE(RIGHT($A$2:$A$2000,4)),0)=YEAR(C983)))),""))</f>
        <v/>
      </c>
      <c r="E983" s="62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4" t="inlineStr">
        <is>
          <t>01/10/2021</t>
        </is>
      </c>
      <c r="B984" s="31" t="n">
        <v>3.5755</v>
      </c>
      <c r="C984" s="69" t="n"/>
      <c r="D984" s="70">
        <f t="array" ref="D984">IF(C984="","",IFERROR(AVERAGE(_xlfn._xlws.FILTER($B$2:$B$2000,(IFERROR(VALUE(MID($A$2:$A$2000,4,2)),0)=MONTH(C984))*(IFERROR(VALUE(RIGHT($A$2:$A$2000,4)),0)=YEAR(C984)))),""))</f>
        <v/>
      </c>
      <c r="E984" s="62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4" t="inlineStr">
        <is>
          <t>08/10/2021</t>
        </is>
      </c>
      <c r="B985" s="31" t="n">
        <v>3.6286</v>
      </c>
      <c r="C985" s="69" t="n"/>
      <c r="D985" s="70">
        <f t="array" ref="D985">IF(C985="","",IFERROR(AVERAGE(_xlfn._xlws.FILTER($B$2:$B$2000,(IFERROR(VALUE(MID($A$2:$A$2000,4,2)),0)=MONTH(C985))*(IFERROR(VALUE(RIGHT($A$2:$A$2000,4)),0)=YEAR(C985)))),""))</f>
        <v/>
      </c>
      <c r="E985" s="62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4" t="inlineStr">
        <is>
          <t>15/10/2021</t>
        </is>
      </c>
      <c r="B986" s="31" t="n">
        <v>3.7243</v>
      </c>
      <c r="C986" s="69" t="n"/>
      <c r="D986" s="70">
        <f t="array" ref="D986">IF(C986="","",IFERROR(AVERAGE(_xlfn._xlws.FILTER($B$2:$B$2000,(IFERROR(VALUE(MID($A$2:$A$2000,4,2)),0)=MONTH(C986))*(IFERROR(VALUE(RIGHT($A$2:$A$2000,4)),0)=YEAR(C986)))),""))</f>
        <v/>
      </c>
      <c r="E986" s="62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4" t="inlineStr">
        <is>
          <t>22/10/2021</t>
        </is>
      </c>
      <c r="B987" s="31" t="n">
        <v>3.8549</v>
      </c>
      <c r="C987" s="69" t="n"/>
      <c r="D987" s="70">
        <f t="array" ref="D987">IF(C987="","",IFERROR(AVERAGE(_xlfn._xlws.FILTER($B$2:$B$2000,(IFERROR(VALUE(MID($A$2:$A$2000,4,2)),0)=MONTH(C987))*(IFERROR(VALUE(RIGHT($A$2:$A$2000,4)),0)=YEAR(C987)))),""))</f>
        <v/>
      </c>
      <c r="E987" s="62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4" t="inlineStr">
        <is>
          <t>29/10/2021</t>
        </is>
      </c>
      <c r="B988" s="31" t="n">
        <v>4.1574</v>
      </c>
      <c r="C988" s="69" t="n"/>
      <c r="D988" s="70">
        <f t="array" ref="D988">IF(C988="","",IFERROR(AVERAGE(_xlfn._xlws.FILTER($B$2:$B$2000,(IFERROR(VALUE(MID($A$2:$A$2000,4,2)),0)=MONTH(C988))*(IFERROR(VALUE(RIGHT($A$2:$A$2000,4)),0)=YEAR(C988)))),""))</f>
        <v/>
      </c>
      <c r="E988" s="62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4" t="inlineStr">
        <is>
          <t>05/11/2021</t>
        </is>
      </c>
      <c r="B989" s="31" t="n">
        <v>4.2258</v>
      </c>
      <c r="C989" s="69" t="n"/>
      <c r="D989" s="70">
        <f t="array" ref="D989">IF(C989="","",IFERROR(AVERAGE(_xlfn._xlws.FILTER($B$2:$B$2000,(IFERROR(VALUE(MID($A$2:$A$2000,4,2)),0)=MONTH(C989))*(IFERROR(VALUE(RIGHT($A$2:$A$2000,4)),0)=YEAR(C989)))),""))</f>
        <v/>
      </c>
      <c r="E989" s="62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4" t="inlineStr">
        <is>
          <t>12/11/2021</t>
        </is>
      </c>
      <c r="B990" s="31" t="n">
        <v>4.1369</v>
      </c>
      <c r="C990" s="69" t="n"/>
      <c r="D990" s="70">
        <f t="array" ref="D990">IF(C990="","",IFERROR(AVERAGE(_xlfn._xlws.FILTER($B$2:$B$2000,(IFERROR(VALUE(MID($A$2:$A$2000,4,2)),0)=MONTH(C990))*(IFERROR(VALUE(RIGHT($A$2:$A$2000,4)),0)=YEAR(C990)))),""))</f>
        <v/>
      </c>
      <c r="E990" s="62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4" t="inlineStr">
        <is>
          <t>19/11/2021</t>
        </is>
      </c>
      <c r="B991" s="31" t="n">
        <v>3.9701</v>
      </c>
      <c r="C991" s="69" t="n"/>
      <c r="D991" s="70">
        <f t="array" ref="D991">IF(C991="","",IFERROR(AVERAGE(_xlfn._xlws.FILTER($B$2:$B$2000,(IFERROR(VALUE(MID($A$2:$A$2000,4,2)),0)=MONTH(C991))*(IFERROR(VALUE(RIGHT($A$2:$A$2000,4)),0)=YEAR(C991)))),""))</f>
        <v/>
      </c>
      <c r="E991" s="62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4" t="inlineStr">
        <is>
          <t>26/11/2021</t>
        </is>
      </c>
      <c r="B992" s="31" t="n">
        <v>3.8385</v>
      </c>
      <c r="C992" s="69" t="n"/>
      <c r="D992" s="70">
        <f t="array" ref="D992">IF(C992="","",IFERROR(AVERAGE(_xlfn._xlws.FILTER($B$2:$B$2000,(IFERROR(VALUE(MID($A$2:$A$2000,4,2)),0)=MONTH(C992))*(IFERROR(VALUE(RIGHT($A$2:$A$2000,4)),0)=YEAR(C992)))),""))</f>
        <v/>
      </c>
      <c r="E992" s="62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4" t="inlineStr">
        <is>
          <t>03/12/2021</t>
        </is>
      </c>
      <c r="B993" s="31" t="n">
        <v>3.7239</v>
      </c>
      <c r="C993" s="69" t="n"/>
      <c r="D993" s="70">
        <f t="array" ref="D993">IF(C993="","",IFERROR(AVERAGE(_xlfn._xlws.FILTER($B$2:$B$2000,(IFERROR(VALUE(MID($A$2:$A$2000,4,2)),0)=MONTH(C993))*(IFERROR(VALUE(RIGHT($A$2:$A$2000,4)),0)=YEAR(C993)))),""))</f>
        <v/>
      </c>
      <c r="E993" s="62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4" t="inlineStr">
        <is>
          <t>10/12/2021</t>
        </is>
      </c>
      <c r="B994" s="31" t="n">
        <v>3.5741</v>
      </c>
      <c r="C994" s="69" t="n"/>
      <c r="D994" s="70">
        <f t="array" ref="D994">IF(C994="","",IFERROR(AVERAGE(_xlfn._xlws.FILTER($B$2:$B$2000,(IFERROR(VALUE(MID($A$2:$A$2000,4,2)),0)=MONTH(C994))*(IFERROR(VALUE(RIGHT($A$2:$A$2000,4)),0)=YEAR(C994)))),""))</f>
        <v/>
      </c>
      <c r="E994" s="62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4" t="inlineStr">
        <is>
          <t>17/12/2021</t>
        </is>
      </c>
      <c r="B995" s="31" t="n">
        <v>3.6134</v>
      </c>
      <c r="C995" s="69" t="n"/>
      <c r="D995" s="70">
        <f t="array" ref="D995">IF(C995="","",IFERROR(AVERAGE(_xlfn._xlws.FILTER($B$2:$B$2000,(IFERROR(VALUE(MID($A$2:$A$2000,4,2)),0)=MONTH(C995))*(IFERROR(VALUE(RIGHT($A$2:$A$2000,4)),0)=YEAR(C995)))),""))</f>
        <v/>
      </c>
      <c r="E995" s="62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4" t="inlineStr">
        <is>
          <t>23/12/2021</t>
        </is>
      </c>
      <c r="B996" s="31" t="n">
        <v>3.5952</v>
      </c>
      <c r="C996" s="69" t="n"/>
      <c r="D996" s="70">
        <f t="array" ref="D996">IF(C996="","",IFERROR(AVERAGE(_xlfn._xlws.FILTER($B$2:$B$2000,(IFERROR(VALUE(MID($A$2:$A$2000,4,2)),0)=MONTH(C996))*(IFERROR(VALUE(RIGHT($A$2:$A$2000,4)),0)=YEAR(C996)))),""))</f>
        <v/>
      </c>
      <c r="E996" s="62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4" t="inlineStr">
        <is>
          <t>30/12/2021</t>
        </is>
      </c>
      <c r="B997" s="31" t="n">
        <v>3.5899</v>
      </c>
      <c r="C997" s="69" t="n"/>
      <c r="D997" s="70">
        <f t="array" ref="D997">IF(C997="","",IFERROR(AVERAGE(_xlfn._xlws.FILTER($B$2:$B$2000,(IFERROR(VALUE(MID($A$2:$A$2000,4,2)),0)=MONTH(C997))*(IFERROR(VALUE(RIGHT($A$2:$A$2000,4)),0)=YEAR(C997)))),""))</f>
        <v/>
      </c>
      <c r="E997" s="62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4" t="inlineStr">
        <is>
          <t>07/01/2022</t>
        </is>
      </c>
      <c r="B998" s="31" t="n">
        <v>3.5428</v>
      </c>
      <c r="C998" s="69" t="n"/>
      <c r="D998" s="70">
        <f t="array" ref="D998">IF(C998="","",IFERROR(AVERAGE(_xlfn._xlws.FILTER($B$2:$B$2000,(IFERROR(VALUE(MID($A$2:$A$2000,4,2)),0)=MONTH(C998))*(IFERROR(VALUE(RIGHT($A$2:$A$2000,4)),0)=YEAR(C998)))),""))</f>
        <v/>
      </c>
      <c r="E998" s="62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4" t="inlineStr">
        <is>
          <t>14/01/2022</t>
        </is>
      </c>
      <c r="B999" s="31" t="n">
        <v>3.5434</v>
      </c>
      <c r="C999" s="69" t="n"/>
      <c r="D999" s="70">
        <f t="array" ref="D999">IF(C999="","",IFERROR(AVERAGE(_xlfn._xlws.FILTER($B$2:$B$2000,(IFERROR(VALUE(MID($A$2:$A$2000,4,2)),0)=MONTH(C999))*(IFERROR(VALUE(RIGHT($A$2:$A$2000,4)),0)=YEAR(C999)))),""))</f>
        <v/>
      </c>
      <c r="E999" s="62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4" t="inlineStr">
        <is>
          <t>21/01/2022</t>
        </is>
      </c>
      <c r="B1000" s="31" t="n">
        <v>3.4932</v>
      </c>
      <c r="C1000" s="69" t="n"/>
      <c r="D1000" s="70">
        <f t="array" ref="D1000">IF(C1000="","",IFERROR(AVERAGE(_xlfn._xlws.FILTER($B$2:$B$2000,(IFERROR(VALUE(MID($A$2:$A$2000,4,2)),0)=MONTH(C1000))*(IFERROR(VALUE(RIGHT($A$2:$A$2000,4)),0)=YEAR(C1000)))),""))</f>
        <v/>
      </c>
      <c r="E1000" s="62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4" t="inlineStr">
        <is>
          <t>28/01/2022</t>
        </is>
      </c>
      <c r="B1001" s="31" t="n">
        <v>3.3459</v>
      </c>
      <c r="C1001" s="69" t="n"/>
      <c r="D1001" s="70">
        <f t="array" ref="D1001">IF(C1001="","",IFERROR(AVERAGE(_xlfn._xlws.FILTER($B$2:$B$2000,(IFERROR(VALUE(MID($A$2:$A$2000,4,2)),0)=MONTH(C1001))*(IFERROR(VALUE(RIGHT($A$2:$A$2000,4)),0)=YEAR(C1001)))),""))</f>
        <v/>
      </c>
      <c r="E1001" s="62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4" t="inlineStr">
        <is>
          <t>04/02/2022</t>
        </is>
      </c>
      <c r="B1002" s="31" t="n">
        <v>3.0184</v>
      </c>
      <c r="C1002" s="69" t="n"/>
      <c r="D1002" s="70">
        <f t="array" ref="D1002">IF(C1002="","",IFERROR(AVERAGE(_xlfn._xlws.FILTER($B$2:$B$2000,(IFERROR(VALUE(MID($A$2:$A$2000,4,2)),0)=MONTH(C1002))*(IFERROR(VALUE(RIGHT($A$2:$A$2000,4)),0)=YEAR(C1002)))),""))</f>
        <v/>
      </c>
      <c r="E1002" s="62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4" t="inlineStr">
        <is>
          <t>11/02/2022</t>
        </is>
      </c>
      <c r="B1003" s="31" t="n">
        <v>2.9468</v>
      </c>
      <c r="C1003" s="69" t="n"/>
      <c r="D1003" s="70">
        <f t="array" ref="D1003">IF(C1003="","",IFERROR(AVERAGE(_xlfn._xlws.FILTER($B$2:$B$2000,(IFERROR(VALUE(MID($A$2:$A$2000,4,2)),0)=MONTH(C1003))*(IFERROR(VALUE(RIGHT($A$2:$A$2000,4)),0)=YEAR(C1003)))),""))</f>
        <v/>
      </c>
      <c r="E1003" s="62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4" t="inlineStr">
        <is>
          <t>18/02/2022</t>
        </is>
      </c>
      <c r="B1004" s="31" t="n">
        <v>2.9927</v>
      </c>
      <c r="C1004" s="69" t="n"/>
      <c r="D1004" s="70">
        <f t="array" ref="D1004">IF(C1004="","",IFERROR(AVERAGE(_xlfn._xlws.FILTER($B$2:$B$2000,(IFERROR(VALUE(MID($A$2:$A$2000,4,2)),0)=MONTH(C1004))*(IFERROR(VALUE(RIGHT($A$2:$A$2000,4)),0)=YEAR(C1004)))),""))</f>
        <v/>
      </c>
      <c r="E1004" s="62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4" t="inlineStr">
        <is>
          <t>25/02/2022</t>
        </is>
      </c>
      <c r="B1005" s="31" t="n">
        <v>2.9789</v>
      </c>
      <c r="C1005" s="69" t="n"/>
      <c r="D1005" s="70">
        <f t="array" ref="D1005">IF(C1005="","",IFERROR(AVERAGE(_xlfn._xlws.FILTER($B$2:$B$2000,(IFERROR(VALUE(MID($A$2:$A$2000,4,2)),0)=MONTH(C1005))*(IFERROR(VALUE(RIGHT($A$2:$A$2000,4)),0)=YEAR(C1005)))),""))</f>
        <v/>
      </c>
      <c r="E1005" s="62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4" t="inlineStr">
        <is>
          <t>04/03/2022</t>
        </is>
      </c>
      <c r="B1006" s="31" t="n">
        <v>2.9809</v>
      </c>
      <c r="C1006" s="69" t="n"/>
      <c r="D1006" s="70">
        <f t="array" ref="D1006">IF(C1006="","",IFERROR(AVERAGE(_xlfn._xlws.FILTER($B$2:$B$2000,(IFERROR(VALUE(MID($A$2:$A$2000,4,2)),0)=MONTH(C1006))*(IFERROR(VALUE(RIGHT($A$2:$A$2000,4)),0)=YEAR(C1006)))),""))</f>
        <v/>
      </c>
      <c r="E1006" s="62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4" t="inlineStr">
        <is>
          <t>11/03/2022</t>
        </is>
      </c>
      <c r="B1007" s="31" t="n">
        <v>3.2253</v>
      </c>
      <c r="C1007" s="69" t="n"/>
      <c r="D1007" s="70">
        <f t="array" ref="D1007">IF(C1007="","",IFERROR(AVERAGE(_xlfn._xlws.FILTER($B$2:$B$2000,(IFERROR(VALUE(MID($A$2:$A$2000,4,2)),0)=MONTH(C1007))*(IFERROR(VALUE(RIGHT($A$2:$A$2000,4)),0)=YEAR(C1007)))),""))</f>
        <v/>
      </c>
      <c r="E1007" s="62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4" t="inlineStr">
        <is>
          <t>18/03/2022</t>
        </is>
      </c>
      <c r="B1008" s="31" t="n">
        <v>3.3499</v>
      </c>
      <c r="C1008" s="69" t="n"/>
      <c r="D1008" s="70">
        <f t="array" ref="D1008">IF(C1008="","",IFERROR(AVERAGE(_xlfn._xlws.FILTER($B$2:$B$2000,(IFERROR(VALUE(MID($A$2:$A$2000,4,2)),0)=MONTH(C1008))*(IFERROR(VALUE(RIGHT($A$2:$A$2000,4)),0)=YEAR(C1008)))),""))</f>
        <v/>
      </c>
      <c r="E1008" s="62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4" t="inlineStr">
        <is>
          <t>25/03/2022</t>
        </is>
      </c>
      <c r="B1009" s="31" t="n">
        <v>3.3409</v>
      </c>
      <c r="C1009" s="69" t="n"/>
      <c r="D1009" s="70">
        <f t="array" ref="D1009">IF(C1009="","",IFERROR(AVERAGE(_xlfn._xlws.FILTER($B$2:$B$2000,(IFERROR(VALUE(MID($A$2:$A$2000,4,2)),0)=MONTH(C1009))*(IFERROR(VALUE(RIGHT($A$2:$A$2000,4)),0)=YEAR(C1009)))),""))</f>
        <v/>
      </c>
      <c r="E1009" s="62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4" t="inlineStr">
        <is>
          <t>01/04/2022</t>
        </is>
      </c>
      <c r="B1010" s="31" t="n">
        <v>3.4349</v>
      </c>
      <c r="C1010" s="69" t="n"/>
      <c r="D1010" s="70">
        <f t="array" ref="D1010">IF(C1010="","",IFERROR(AVERAGE(_xlfn._xlws.FILTER($B$2:$B$2000,(IFERROR(VALUE(MID($A$2:$A$2000,4,2)),0)=MONTH(C1010))*(IFERROR(VALUE(RIGHT($A$2:$A$2000,4)),0)=YEAR(C1010)))),""))</f>
        <v/>
      </c>
      <c r="E1010" s="62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4" t="inlineStr">
        <is>
          <t>08/04/2022</t>
        </is>
      </c>
      <c r="B1011" s="31" t="n">
        <v>3.5723</v>
      </c>
      <c r="C1011" s="69" t="n"/>
      <c r="D1011" s="70">
        <f t="array" ref="D1011">IF(C1011="","",IFERROR(AVERAGE(_xlfn._xlws.FILTER($B$2:$B$2000,(IFERROR(VALUE(MID($A$2:$A$2000,4,2)),0)=MONTH(C1011))*(IFERROR(VALUE(RIGHT($A$2:$A$2000,4)),0)=YEAR(C1011)))),""))</f>
        <v/>
      </c>
      <c r="E1011" s="62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4" t="inlineStr">
        <is>
          <t>14/04/2022</t>
        </is>
      </c>
      <c r="B1012" s="31" t="n">
        <v>3.8607</v>
      </c>
      <c r="C1012" s="69" t="n"/>
      <c r="D1012" s="70">
        <f t="array" ref="D1012">IF(C1012="","",IFERROR(AVERAGE(_xlfn._xlws.FILTER($B$2:$B$2000,(IFERROR(VALUE(MID($A$2:$A$2000,4,2)),0)=MONTH(C1012))*(IFERROR(VALUE(RIGHT($A$2:$A$2000,4)),0)=YEAR(C1012)))),""))</f>
        <v/>
      </c>
      <c r="E1012" s="62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4" t="inlineStr">
        <is>
          <t>22/04/2022</t>
        </is>
      </c>
      <c r="B1013" s="31" t="n">
        <v>3.8642</v>
      </c>
      <c r="C1013" s="69" t="n"/>
      <c r="D1013" s="70">
        <f t="array" ref="D1013">IF(C1013="","",IFERROR(AVERAGE(_xlfn._xlws.FILTER($B$2:$B$2000,(IFERROR(VALUE(MID($A$2:$A$2000,4,2)),0)=MONTH(C1013))*(IFERROR(VALUE(RIGHT($A$2:$A$2000,4)),0)=YEAR(C1013)))),""))</f>
        <v/>
      </c>
      <c r="E1013" s="62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4" t="inlineStr">
        <is>
          <t>29/04/2022</t>
        </is>
      </c>
      <c r="B1014" s="31" t="n">
        <v>3.5185</v>
      </c>
      <c r="C1014" s="69" t="n"/>
      <c r="D1014" s="70">
        <f t="array" ref="D1014">IF(C1014="","",IFERROR(AVERAGE(_xlfn._xlws.FILTER($B$2:$B$2000,(IFERROR(VALUE(MID($A$2:$A$2000,4,2)),0)=MONTH(C1014))*(IFERROR(VALUE(RIGHT($A$2:$A$2000,4)),0)=YEAR(C1014)))),""))</f>
        <v/>
      </c>
      <c r="E1014" s="62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4" t="inlineStr">
        <is>
          <t>06/05/2022</t>
        </is>
      </c>
      <c r="B1015" s="31" t="n">
        <v>3.3234</v>
      </c>
      <c r="C1015" s="69" t="n"/>
      <c r="D1015" s="70">
        <f t="array" ref="D1015">IF(C1015="","",IFERROR(AVERAGE(_xlfn._xlws.FILTER($B$2:$B$2000,(IFERROR(VALUE(MID($A$2:$A$2000,4,2)),0)=MONTH(C1015))*(IFERROR(VALUE(RIGHT($A$2:$A$2000,4)),0)=YEAR(C1015)))),""))</f>
        <v/>
      </c>
      <c r="E1015" s="62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4" t="inlineStr">
        <is>
          <t>13/05/2022</t>
        </is>
      </c>
      <c r="B1016" s="31" t="n">
        <v>3.3623</v>
      </c>
      <c r="C1016" s="69" t="n"/>
      <c r="D1016" s="70">
        <f t="array" ref="D1016">IF(C1016="","",IFERROR(AVERAGE(_xlfn._xlws.FILTER($B$2:$B$2000,(IFERROR(VALUE(MID($A$2:$A$2000,4,2)),0)=MONTH(C1016))*(IFERROR(VALUE(RIGHT($A$2:$A$2000,4)),0)=YEAR(C1016)))),""))</f>
        <v/>
      </c>
      <c r="E1016" s="62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4" t="inlineStr">
        <is>
          <t>20/05/2022</t>
        </is>
      </c>
      <c r="B1017" s="31" t="n">
        <v>3.3505</v>
      </c>
      <c r="C1017" s="69" t="n"/>
      <c r="D1017" s="70">
        <f t="array" ref="D1017">IF(C1017="","",IFERROR(AVERAGE(_xlfn._xlws.FILTER($B$2:$B$2000,(IFERROR(VALUE(MID($A$2:$A$2000,4,2)),0)=MONTH(C1017))*(IFERROR(VALUE(RIGHT($A$2:$A$2000,4)),0)=YEAR(C1017)))),""))</f>
        <v/>
      </c>
      <c r="E1017" s="62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4" t="inlineStr">
        <is>
          <t>27/05/2022</t>
        </is>
      </c>
      <c r="B1018" s="31" t="n">
        <v>3.2521</v>
      </c>
      <c r="C1018" s="69" t="n"/>
      <c r="D1018" s="70">
        <f t="array" ref="D1018">IF(C1018="","",IFERROR(AVERAGE(_xlfn._xlws.FILTER($B$2:$B$2000,(IFERROR(VALUE(MID($A$2:$A$2000,4,2)),0)=MONTH(C1018))*(IFERROR(VALUE(RIGHT($A$2:$A$2000,4)),0)=YEAR(C1018)))),""))</f>
        <v/>
      </c>
      <c r="E1018" s="62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4" t="inlineStr">
        <is>
          <t>03/06/2022</t>
        </is>
      </c>
      <c r="B1019" s="31" t="n">
        <v>3.0713</v>
      </c>
      <c r="C1019" s="69" t="n"/>
      <c r="D1019" s="70">
        <f t="array" ref="D1019">IF(C1019="","",IFERROR(AVERAGE(_xlfn._xlws.FILTER($B$2:$B$2000,(IFERROR(VALUE(MID($A$2:$A$2000,4,2)),0)=MONTH(C1019))*(IFERROR(VALUE(RIGHT($A$2:$A$2000,4)),0)=YEAR(C1019)))),""))</f>
        <v/>
      </c>
      <c r="E1019" s="62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4" t="inlineStr">
        <is>
          <t>10/06/2022</t>
        </is>
      </c>
      <c r="B1020" s="31" t="n">
        <v>3.0692</v>
      </c>
      <c r="C1020" s="69" t="n"/>
      <c r="D1020" s="70">
        <f t="array" ref="D1020">IF(C1020="","",IFERROR(AVERAGE(_xlfn._xlws.FILTER($B$2:$B$2000,(IFERROR(VALUE(MID($A$2:$A$2000,4,2)),0)=MONTH(C1020))*(IFERROR(VALUE(RIGHT($A$2:$A$2000,4)),0)=YEAR(C1020)))),""))</f>
        <v/>
      </c>
      <c r="E1020" s="62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4" t="inlineStr">
        <is>
          <t>17/06/2022</t>
        </is>
      </c>
      <c r="B1021" s="31" t="n">
        <v>2.9972</v>
      </c>
      <c r="C1021" s="69" t="n"/>
      <c r="D1021" s="70">
        <f t="array" ref="D1021">IF(C1021="","",IFERROR(AVERAGE(_xlfn._xlws.FILTER($B$2:$B$2000,(IFERROR(VALUE(MID($A$2:$A$2000,4,2)),0)=MONTH(C1021))*(IFERROR(VALUE(RIGHT($A$2:$A$2000,4)),0)=YEAR(C1021)))),""))</f>
        <v/>
      </c>
      <c r="E1021" s="62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4" t="inlineStr">
        <is>
          <t>24/06/2022</t>
        </is>
      </c>
      <c r="B1022" s="31" t="n">
        <v>3.0497</v>
      </c>
      <c r="C1022" s="69" t="n"/>
      <c r="D1022" s="70">
        <f t="array" ref="D1022">IF(C1022="","",IFERROR(AVERAGE(_xlfn._xlws.FILTER($B$2:$B$2000,(IFERROR(VALUE(MID($A$2:$A$2000,4,2)),0)=MONTH(C1022))*(IFERROR(VALUE(RIGHT($A$2:$A$2000,4)),0)=YEAR(C1022)))),""))</f>
        <v/>
      </c>
      <c r="E1022" s="62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4" t="inlineStr">
        <is>
          <t>01/07/2022</t>
        </is>
      </c>
      <c r="B1023" s="31" t="n">
        <v>2.943</v>
      </c>
      <c r="C1023" s="69" t="n"/>
      <c r="D1023" s="70">
        <f t="array" ref="D1023">IF(C1023="","",IFERROR(AVERAGE(_xlfn._xlws.FILTER($B$2:$B$2000,(IFERROR(VALUE(MID($A$2:$A$2000,4,2)),0)=MONTH(C1023))*(IFERROR(VALUE(RIGHT($A$2:$A$2000,4)),0)=YEAR(C1023)))),""))</f>
        <v/>
      </c>
      <c r="E1023" s="62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4" t="inlineStr">
        <is>
          <t>08/07/2022</t>
        </is>
      </c>
      <c r="B1024" s="31" t="n">
        <v>2.8813</v>
      </c>
      <c r="C1024" s="69" t="n"/>
      <c r="D1024" s="70">
        <f t="array" ref="D1024">IF(C1024="","",IFERROR(AVERAGE(_xlfn._xlws.FILTER($B$2:$B$2000,(IFERROR(VALUE(MID($A$2:$A$2000,4,2)),0)=MONTH(C1024))*(IFERROR(VALUE(RIGHT($A$2:$A$2000,4)),0)=YEAR(C1024)))),""))</f>
        <v/>
      </c>
      <c r="E1024" s="62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4" t="inlineStr">
        <is>
          <t>15/07/2022</t>
        </is>
      </c>
      <c r="B1025" s="31" t="n">
        <v>2.9098</v>
      </c>
      <c r="C1025" s="69" t="n"/>
      <c r="D1025" s="70">
        <f t="array" ref="D1025">IF(C1025="","",IFERROR(AVERAGE(_xlfn._xlws.FILTER($B$2:$B$2000,(IFERROR(VALUE(MID($A$2:$A$2000,4,2)),0)=MONTH(C1025))*(IFERROR(VALUE(RIGHT($A$2:$A$2000,4)),0)=YEAR(C1025)))),""))</f>
        <v/>
      </c>
      <c r="E1025" s="62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4" t="inlineStr">
        <is>
          <t>22/07/2022</t>
        </is>
      </c>
      <c r="B1026" s="31" t="n">
        <v>2.9142</v>
      </c>
      <c r="C1026" s="69" t="n"/>
      <c r="D1026" s="70">
        <f t="array" ref="D1026">IF(C1026="","",IFERROR(AVERAGE(_xlfn._xlws.FILTER($B$2:$B$2000,(IFERROR(VALUE(MID($A$2:$A$2000,4,2)),0)=MONTH(C1026))*(IFERROR(VALUE(RIGHT($A$2:$A$2000,4)),0)=YEAR(C1026)))),""))</f>
        <v/>
      </c>
      <c r="E1026" s="62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4" t="inlineStr">
        <is>
          <t>29/07/2022</t>
        </is>
      </c>
      <c r="B1027" s="31" t="n">
        <v>2.9224</v>
      </c>
      <c r="C1027" s="69" t="n"/>
      <c r="D1027" s="70">
        <f t="array" ref="D1027">IF(C1027="","",IFERROR(AVERAGE(_xlfn._xlws.FILTER($B$2:$B$2000,(IFERROR(VALUE(MID($A$2:$A$2000,4,2)),0)=MONTH(C1027))*(IFERROR(VALUE(RIGHT($A$2:$A$2000,4)),0)=YEAR(C1027)))),""))</f>
        <v/>
      </c>
      <c r="E1027" s="62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4" t="inlineStr">
        <is>
          <t>05/08/2022</t>
        </is>
      </c>
      <c r="B1028" s="31" t="n">
        <v>2.8638</v>
      </c>
      <c r="C1028" s="69" t="n"/>
      <c r="D1028" s="70">
        <f t="array" ref="D1028">IF(C1028="","",IFERROR(AVERAGE(_xlfn._xlws.FILTER($B$2:$B$2000,(IFERROR(VALUE(MID($A$2:$A$2000,4,2)),0)=MONTH(C1028))*(IFERROR(VALUE(RIGHT($A$2:$A$2000,4)),0)=YEAR(C1028)))),""))</f>
        <v/>
      </c>
      <c r="E1028" s="62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4" t="inlineStr">
        <is>
          <t>12/08/2022</t>
        </is>
      </c>
      <c r="B1029" s="31" t="n">
        <v>2.8052</v>
      </c>
      <c r="C1029" s="69" t="n"/>
      <c r="D1029" s="70">
        <f t="array" ref="D1029">IF(C1029="","",IFERROR(AVERAGE(_xlfn._xlws.FILTER($B$2:$B$2000,(IFERROR(VALUE(MID($A$2:$A$2000,4,2)),0)=MONTH(C1029))*(IFERROR(VALUE(RIGHT($A$2:$A$2000,4)),0)=YEAR(C1029)))),""))</f>
        <v/>
      </c>
      <c r="E1029" s="62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4" t="inlineStr">
        <is>
          <t>19/08/2022</t>
        </is>
      </c>
      <c r="B1030" s="31" t="n">
        <v>2.5905</v>
      </c>
      <c r="C1030" s="69" t="n"/>
      <c r="D1030" s="70">
        <f t="array" ref="D1030">IF(C1030="","",IFERROR(AVERAGE(_xlfn._xlws.FILTER($B$2:$B$2000,(IFERROR(VALUE(MID($A$2:$A$2000,4,2)),0)=MONTH(C1030))*(IFERROR(VALUE(RIGHT($A$2:$A$2000,4)),0)=YEAR(C1030)))),""))</f>
        <v/>
      </c>
      <c r="E1030" s="62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4" t="inlineStr">
        <is>
          <t>26/08/2022</t>
        </is>
      </c>
      <c r="B1031" s="31" t="n">
        <v>2.4135</v>
      </c>
      <c r="C1031" s="69" t="n"/>
      <c r="D1031" s="70">
        <f t="array" ref="D1031">IF(C1031="","",IFERROR(AVERAGE(_xlfn._xlws.FILTER($B$2:$B$2000,(IFERROR(VALUE(MID($A$2:$A$2000,4,2)),0)=MONTH(C1031))*(IFERROR(VALUE(RIGHT($A$2:$A$2000,4)),0)=YEAR(C1031)))),""))</f>
        <v/>
      </c>
      <c r="E1031" s="62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4" t="inlineStr">
        <is>
          <t>02/09/2022</t>
        </is>
      </c>
      <c r="B1032" s="31" t="n">
        <v>2.3359</v>
      </c>
      <c r="C1032" s="69" t="n"/>
      <c r="D1032" s="70">
        <f t="array" ref="D1032">IF(C1032="","",IFERROR(AVERAGE(_xlfn._xlws.FILTER($B$2:$B$2000,(IFERROR(VALUE(MID($A$2:$A$2000,4,2)),0)=MONTH(C1032))*(IFERROR(VALUE(RIGHT($A$2:$A$2000,4)),0)=YEAR(C1032)))),""))</f>
        <v/>
      </c>
      <c r="E1032" s="62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4" t="inlineStr">
        <is>
          <t>09/09/2022</t>
        </is>
      </c>
      <c r="B1033" s="31" t="n">
        <v>2.2491</v>
      </c>
      <c r="C1033" s="69" t="n"/>
      <c r="D1033" s="70">
        <f t="array" ref="D1033">IF(C1033="","",IFERROR(AVERAGE(_xlfn._xlws.FILTER($B$2:$B$2000,(IFERROR(VALUE(MID($A$2:$A$2000,4,2)),0)=MONTH(C1033))*(IFERROR(VALUE(RIGHT($A$2:$A$2000,4)),0)=YEAR(C1033)))),""))</f>
        <v/>
      </c>
      <c r="E1033" s="62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4" t="inlineStr">
        <is>
          <t>16/09/2022</t>
        </is>
      </c>
      <c r="B1034" s="31" t="n">
        <v>2.405</v>
      </c>
      <c r="C1034" s="69" t="n"/>
      <c r="D1034" s="70">
        <f t="array" ref="D1034">IF(C1034="","",IFERROR(AVERAGE(_xlfn._xlws.FILTER($B$2:$B$2000,(IFERROR(VALUE(MID($A$2:$A$2000,4,2)),0)=MONTH(C1034))*(IFERROR(VALUE(RIGHT($A$2:$A$2000,4)),0)=YEAR(C1034)))),""))</f>
        <v/>
      </c>
      <c r="E1034" s="62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4" t="inlineStr">
        <is>
          <t>23/09/2022</t>
        </is>
      </c>
      <c r="B1035" s="31" t="n">
        <v>2.4255</v>
      </c>
      <c r="C1035" s="69" t="n"/>
      <c r="D1035" s="70">
        <f t="array" ref="D1035">IF(C1035="","",IFERROR(AVERAGE(_xlfn._xlws.FILTER($B$2:$B$2000,(IFERROR(VALUE(MID($A$2:$A$2000,4,2)),0)=MONTH(C1035))*(IFERROR(VALUE(RIGHT($A$2:$A$2000,4)),0)=YEAR(C1035)))),""))</f>
        <v/>
      </c>
      <c r="E1035" s="62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4" t="inlineStr">
        <is>
          <t>30/09/2022</t>
        </is>
      </c>
      <c r="B1036" s="31" t="n">
        <v>2.5242</v>
      </c>
      <c r="C1036" s="69" t="n"/>
      <c r="D1036" s="70">
        <f t="array" ref="D1036">IF(C1036="","",IFERROR(AVERAGE(_xlfn._xlws.FILTER($B$2:$B$2000,(IFERROR(VALUE(MID($A$2:$A$2000,4,2)),0)=MONTH(C1036))*(IFERROR(VALUE(RIGHT($A$2:$A$2000,4)),0)=YEAR(C1036)))),""))</f>
        <v/>
      </c>
      <c r="E1036" s="62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4" t="inlineStr">
        <is>
          <t>07/10/2022</t>
        </is>
      </c>
      <c r="B1037" s="31" t="n">
        <v>2.6484</v>
      </c>
      <c r="C1037" s="69" t="n"/>
      <c r="D1037" s="70">
        <f t="array" ref="D1037">IF(C1037="","",IFERROR(AVERAGE(_xlfn._xlws.FILTER($B$2:$B$2000,(IFERROR(VALUE(MID($A$2:$A$2000,4,2)),0)=MONTH(C1037))*(IFERROR(VALUE(RIGHT($A$2:$A$2000,4)),0)=YEAR(C1037)))),""))</f>
        <v/>
      </c>
      <c r="E1037" s="62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4" t="inlineStr">
        <is>
          <t>14/10/2022</t>
        </is>
      </c>
      <c r="B1038" s="31" t="n">
        <v>2.7732</v>
      </c>
      <c r="C1038" s="69" t="n"/>
      <c r="D1038" s="70">
        <f t="array" ref="D1038">IF(C1038="","",IFERROR(AVERAGE(_xlfn._xlws.FILTER($B$2:$B$2000,(IFERROR(VALUE(MID($A$2:$A$2000,4,2)),0)=MONTH(C1038))*(IFERROR(VALUE(RIGHT($A$2:$A$2000,4)),0)=YEAR(C1038)))),""))</f>
        <v/>
      </c>
      <c r="E1038" s="62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4" t="inlineStr">
        <is>
          <t>21/10/2022</t>
        </is>
      </c>
      <c r="B1039" s="31" t="n">
        <v>2.7744</v>
      </c>
      <c r="C1039" s="69" t="n"/>
      <c r="D1039" s="70">
        <f t="array" ref="D1039">IF(C1039="","",IFERROR(AVERAGE(_xlfn._xlws.FILTER($B$2:$B$2000,(IFERROR(VALUE(MID($A$2:$A$2000,4,2)),0)=MONTH(C1039))*(IFERROR(VALUE(RIGHT($A$2:$A$2000,4)),0)=YEAR(C1039)))),""))</f>
        <v/>
      </c>
      <c r="E1039" s="62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4" t="inlineStr">
        <is>
          <t>28/10/2022</t>
        </is>
      </c>
      <c r="B1040" s="31" t="n">
        <v>2.7355</v>
      </c>
      <c r="C1040" s="69" t="n"/>
      <c r="D1040" s="70">
        <f t="array" ref="D1040">IF(C1040="","",IFERROR(AVERAGE(_xlfn._xlws.FILTER($B$2:$B$2000,(IFERROR(VALUE(MID($A$2:$A$2000,4,2)),0)=MONTH(C1040))*(IFERROR(VALUE(RIGHT($A$2:$A$2000,4)),0)=YEAR(C1040)))),""))</f>
        <v/>
      </c>
      <c r="E1040" s="62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4" t="inlineStr">
        <is>
          <t>04/11/2022</t>
        </is>
      </c>
      <c r="B1041" s="31" t="n">
        <v>2.945</v>
      </c>
      <c r="C1041" s="69" t="n"/>
      <c r="D1041" s="70">
        <f t="array" ref="D1041">IF(C1041="","",IFERROR(AVERAGE(_xlfn._xlws.FILTER($B$2:$B$2000,(IFERROR(VALUE(MID($A$2:$A$2000,4,2)),0)=MONTH(C1041))*(IFERROR(VALUE(RIGHT($A$2:$A$2000,4)),0)=YEAR(C1041)))),""))</f>
        <v/>
      </c>
      <c r="E1041" s="62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4" t="inlineStr">
        <is>
          <t>11/11/2022</t>
        </is>
      </c>
      <c r="B1042" s="31" t="n">
        <v>2.9104</v>
      </c>
      <c r="C1042" s="69" t="n"/>
      <c r="D1042" s="70">
        <f t="array" ref="D1042">IF(C1042="","",IFERROR(AVERAGE(_xlfn._xlws.FILTER($B$2:$B$2000,(IFERROR(VALUE(MID($A$2:$A$2000,4,2)),0)=MONTH(C1042))*(IFERROR(VALUE(RIGHT($A$2:$A$2000,4)),0)=YEAR(C1042)))),""))</f>
        <v/>
      </c>
      <c r="E1042" s="62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4" t="inlineStr">
        <is>
          <t>18/11/2022</t>
        </is>
      </c>
      <c r="B1043" s="31" t="n">
        <v>2.8828</v>
      </c>
      <c r="C1043" s="69" t="n"/>
      <c r="D1043" s="70">
        <f t="array" ref="D1043">IF(C1043="","",IFERROR(AVERAGE(_xlfn._xlws.FILTER($B$2:$B$2000,(IFERROR(VALUE(MID($A$2:$A$2000,4,2)),0)=MONTH(C1043))*(IFERROR(VALUE(RIGHT($A$2:$A$2000,4)),0)=YEAR(C1043)))),""))</f>
        <v/>
      </c>
      <c r="E1043" s="62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4" t="inlineStr">
        <is>
          <t>25/11/2022</t>
        </is>
      </c>
      <c r="B1044" s="31" t="n">
        <v>2.8806</v>
      </c>
      <c r="C1044" s="69" t="n"/>
      <c r="D1044" s="70">
        <f t="array" ref="D1044">IF(C1044="","",IFERROR(AVERAGE(_xlfn._xlws.FILTER($B$2:$B$2000,(IFERROR(VALUE(MID($A$2:$A$2000,4,2)),0)=MONTH(C1044))*(IFERROR(VALUE(RIGHT($A$2:$A$2000,4)),0)=YEAR(C1044)))),""))</f>
        <v/>
      </c>
      <c r="E1044" s="62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4" t="inlineStr">
        <is>
          <t>02/12/2022</t>
        </is>
      </c>
      <c r="B1045" s="31" t="n">
        <v>2.8333</v>
      </c>
      <c r="C1045" s="69" t="n"/>
      <c r="D1045" s="70">
        <f t="array" ref="D1045">IF(C1045="","",IFERROR(AVERAGE(_xlfn._xlws.FILTER($B$2:$B$2000,(IFERROR(VALUE(MID($A$2:$A$2000,4,2)),0)=MONTH(C1045))*(IFERROR(VALUE(RIGHT($A$2:$A$2000,4)),0)=YEAR(C1045)))),""))</f>
        <v/>
      </c>
      <c r="E1045" s="62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4" t="inlineStr">
        <is>
          <t>09/12/2022</t>
        </is>
      </c>
      <c r="B1046" s="31" t="n">
        <v>2.7719</v>
      </c>
      <c r="C1046" s="69" t="n"/>
      <c r="D1046" s="70">
        <f t="array" ref="D1046">IF(C1046="","",IFERROR(AVERAGE(_xlfn._xlws.FILTER($B$2:$B$2000,(IFERROR(VALUE(MID($A$2:$A$2000,4,2)),0)=MONTH(C1046))*(IFERROR(VALUE(RIGHT($A$2:$A$2000,4)),0)=YEAR(C1046)))),""))</f>
        <v/>
      </c>
      <c r="E1046" s="62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4" t="inlineStr">
        <is>
          <t>16/12/2022</t>
        </is>
      </c>
      <c r="B1047" s="31" t="n">
        <v>2.7337</v>
      </c>
      <c r="C1047" s="69" t="n"/>
      <c r="D1047" s="70">
        <f t="array" ref="D1047">IF(C1047="","",IFERROR(AVERAGE(_xlfn._xlws.FILTER($B$2:$B$2000,(IFERROR(VALUE(MID($A$2:$A$2000,4,2)),0)=MONTH(C1047))*(IFERROR(VALUE(RIGHT($A$2:$A$2000,4)),0)=YEAR(C1047)))),""))</f>
        <v/>
      </c>
      <c r="E1047" s="62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4" t="inlineStr">
        <is>
          <t>23/12/2022</t>
        </is>
      </c>
      <c r="B1048" s="31" t="n">
        <v>2.872</v>
      </c>
      <c r="C1048" s="69" t="n"/>
      <c r="D1048" s="70">
        <f t="array" ref="D1048">IF(C1048="","",IFERROR(AVERAGE(_xlfn._xlws.FILTER($B$2:$B$2000,(IFERROR(VALUE(MID($A$2:$A$2000,4,2)),0)=MONTH(C1048))*(IFERROR(VALUE(RIGHT($A$2:$A$2000,4)),0)=YEAR(C1048)))),""))</f>
        <v/>
      </c>
      <c r="E1048" s="62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4" t="inlineStr">
        <is>
          <t>29/12/2022</t>
        </is>
      </c>
      <c r="B1049" s="31" t="n">
        <v>2.9493</v>
      </c>
      <c r="C1049" s="69" t="n"/>
      <c r="D1049" s="70">
        <f t="array" ref="D1049">IF(C1049="","",IFERROR(AVERAGE(_xlfn._xlws.FILTER($B$2:$B$2000,(IFERROR(VALUE(MID($A$2:$A$2000,4,2)),0)=MONTH(C1049))*(IFERROR(VALUE(RIGHT($A$2:$A$2000,4)),0)=YEAR(C1049)))),""))</f>
        <v/>
      </c>
      <c r="E1049" s="62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4" t="inlineStr">
        <is>
          <t>06/01/2023</t>
        </is>
      </c>
      <c r="B1050" s="31" t="n">
        <v>2.8615</v>
      </c>
      <c r="C1050" s="69" t="n"/>
      <c r="D1050" s="70">
        <f t="array" ref="D1050">IF(C1050="","",IFERROR(AVERAGE(_xlfn._xlws.FILTER($B$2:$B$2000,(IFERROR(VALUE(MID($A$2:$A$2000,4,2)),0)=MONTH(C1050))*(IFERROR(VALUE(RIGHT($A$2:$A$2000,4)),0)=YEAR(C1050)))),""))</f>
        <v/>
      </c>
      <c r="E1050" s="62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4" t="inlineStr">
        <is>
          <t>13/01/2023</t>
        </is>
      </c>
      <c r="B1051" s="31" t="n">
        <v>2.6378</v>
      </c>
      <c r="C1051" s="69" t="n"/>
      <c r="D1051" s="70">
        <f t="array" ref="D1051">IF(C1051="","",IFERROR(AVERAGE(_xlfn._xlws.FILTER($B$2:$B$2000,(IFERROR(VALUE(MID($A$2:$A$2000,4,2)),0)=MONTH(C1051))*(IFERROR(VALUE(RIGHT($A$2:$A$2000,4)),0)=YEAR(C1051)))),""))</f>
        <v/>
      </c>
      <c r="E1051" s="62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4" t="inlineStr">
        <is>
          <t>20/01/2023</t>
        </is>
      </c>
      <c r="B1052" s="31" t="n">
        <v>2.6073</v>
      </c>
      <c r="C1052" s="69" t="n"/>
      <c r="D1052" s="70">
        <f t="array" ref="D1052">IF(C1052="","",IFERROR(AVERAGE(_xlfn._xlws.FILTER($B$2:$B$2000,(IFERROR(VALUE(MID($A$2:$A$2000,4,2)),0)=MONTH(C1052))*(IFERROR(VALUE(RIGHT($A$2:$A$2000,4)),0)=YEAR(C1052)))),""))</f>
        <v/>
      </c>
      <c r="E1052" s="62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4" t="inlineStr">
        <is>
          <t>27/01/2023</t>
        </is>
      </c>
      <c r="B1053" s="31" t="n">
        <v>2.7399</v>
      </c>
      <c r="C1053" s="69" t="n"/>
      <c r="D1053" s="70">
        <f t="array" ref="D1053">IF(C1053="","",IFERROR(AVERAGE(_xlfn._xlws.FILTER($B$2:$B$2000,(IFERROR(VALUE(MID($A$2:$A$2000,4,2)),0)=MONTH(C1053))*(IFERROR(VALUE(RIGHT($A$2:$A$2000,4)),0)=YEAR(C1053)))),""))</f>
        <v/>
      </c>
      <c r="E1053" s="62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4" t="inlineStr">
        <is>
          <t>03/02/2023</t>
        </is>
      </c>
      <c r="B1054" s="31" t="n">
        <v>2.7591</v>
      </c>
      <c r="C1054" s="69" t="n"/>
      <c r="D1054" s="70">
        <f t="array" ref="D1054">IF(C1054="","",IFERROR(AVERAGE(_xlfn._xlws.FILTER($B$2:$B$2000,(IFERROR(VALUE(MID($A$2:$A$2000,4,2)),0)=MONTH(C1054))*(IFERROR(VALUE(RIGHT($A$2:$A$2000,4)),0)=YEAR(C1054)))),""))</f>
        <v/>
      </c>
      <c r="E1054" s="62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4" t="inlineStr">
        <is>
          <t>10/02/2023</t>
        </is>
      </c>
      <c r="B1055" s="31" t="n">
        <v>2.699</v>
      </c>
      <c r="C1055" s="69" t="n"/>
      <c r="D1055" s="70">
        <f t="array" ref="D1055">IF(C1055="","",IFERROR(AVERAGE(_xlfn._xlws.FILTER($B$2:$B$2000,(IFERROR(VALUE(MID($A$2:$A$2000,4,2)),0)=MONTH(C1055))*(IFERROR(VALUE(RIGHT($A$2:$A$2000,4)),0)=YEAR(C1055)))),""))</f>
        <v/>
      </c>
      <c r="E1055" s="62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4" t="inlineStr">
        <is>
          <t>17/02/2023</t>
        </is>
      </c>
      <c r="B1056" s="31" t="n">
        <v>2.7499</v>
      </c>
      <c r="C1056" s="69" t="n"/>
      <c r="D1056" s="70">
        <f t="array" ref="D1056">IF(C1056="","",IFERROR(AVERAGE(_xlfn._xlws.FILTER($B$2:$B$2000,(IFERROR(VALUE(MID($A$2:$A$2000,4,2)),0)=MONTH(C1056))*(IFERROR(VALUE(RIGHT($A$2:$A$2000,4)),0)=YEAR(C1056)))),""))</f>
        <v/>
      </c>
      <c r="E1056" s="62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4" t="inlineStr">
        <is>
          <t>24/02/2023</t>
        </is>
      </c>
      <c r="B1057" s="31" t="n">
        <v>2.7647</v>
      </c>
      <c r="C1057" s="69" t="n"/>
      <c r="D1057" s="70">
        <f t="array" ref="D1057">IF(C1057="","",IFERROR(AVERAGE(_xlfn._xlws.FILTER($B$2:$B$2000,(IFERROR(VALUE(MID($A$2:$A$2000,4,2)),0)=MONTH(C1057))*(IFERROR(VALUE(RIGHT($A$2:$A$2000,4)),0)=YEAR(C1057)))),""))</f>
        <v/>
      </c>
      <c r="E1057" s="62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4" t="inlineStr">
        <is>
          <t>03/03/2023</t>
        </is>
      </c>
      <c r="B1058" s="31" t="n">
        <v>2.8064</v>
      </c>
      <c r="C1058" s="69" t="n"/>
      <c r="D1058" s="70">
        <f t="array" ref="D1058">IF(C1058="","",IFERROR(AVERAGE(_xlfn._xlws.FILTER($B$2:$B$2000,(IFERROR(VALUE(MID($A$2:$A$2000,4,2)),0)=MONTH(C1058))*(IFERROR(VALUE(RIGHT($A$2:$A$2000,4)),0)=YEAR(C1058)))),""))</f>
        <v/>
      </c>
      <c r="E1058" s="62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4" t="inlineStr">
        <is>
          <t>10/03/2023</t>
        </is>
      </c>
      <c r="B1059" s="31" t="n">
        <v>2.7441</v>
      </c>
      <c r="C1059" s="69" t="n"/>
      <c r="D1059" s="70">
        <f t="array" ref="D1059">IF(C1059="","",IFERROR(AVERAGE(_xlfn._xlws.FILTER($B$2:$B$2000,(IFERROR(VALUE(MID($A$2:$A$2000,4,2)),0)=MONTH(C1059))*(IFERROR(VALUE(RIGHT($A$2:$A$2000,4)),0)=YEAR(C1059)))),""))</f>
        <v/>
      </c>
      <c r="E1059" s="62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4" t="inlineStr">
        <is>
          <t>17/03/2023</t>
        </is>
      </c>
      <c r="B1060" s="31" t="n">
        <v>2.741</v>
      </c>
      <c r="C1060" s="69" t="n"/>
      <c r="D1060" s="70">
        <f t="array" ref="D1060">IF(C1060="","",IFERROR(AVERAGE(_xlfn._xlws.FILTER($B$2:$B$2000,(IFERROR(VALUE(MID($A$2:$A$2000,4,2)),0)=MONTH(C1060))*(IFERROR(VALUE(RIGHT($A$2:$A$2000,4)),0)=YEAR(C1060)))),""))</f>
        <v/>
      </c>
      <c r="E1060" s="62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4" t="inlineStr">
        <is>
          <t>24/03/2023</t>
        </is>
      </c>
      <c r="B1061" s="31" t="n">
        <v>2.7329</v>
      </c>
      <c r="C1061" s="69" t="n"/>
      <c r="D1061" s="70">
        <f t="array" ref="D1061">IF(C1061="","",IFERROR(AVERAGE(_xlfn._xlws.FILTER($B$2:$B$2000,(IFERROR(VALUE(MID($A$2:$A$2000,4,2)),0)=MONTH(C1061))*(IFERROR(VALUE(RIGHT($A$2:$A$2000,4)),0)=YEAR(C1061)))),""))</f>
        <v/>
      </c>
      <c r="E1061" s="62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4" t="inlineStr">
        <is>
          <t>31/03/2023</t>
        </is>
      </c>
      <c r="B1062" s="31" t="n">
        <v>2.7844</v>
      </c>
      <c r="C1062" s="69" t="n"/>
      <c r="D1062" s="70">
        <f t="array" ref="D1062">IF(C1062="","",IFERROR(AVERAGE(_xlfn._xlws.FILTER($B$2:$B$2000,(IFERROR(VALUE(MID($A$2:$A$2000,4,2)),0)=MONTH(C1062))*(IFERROR(VALUE(RIGHT($A$2:$A$2000,4)),0)=YEAR(C1062)))),""))</f>
        <v/>
      </c>
      <c r="E1062" s="62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4" t="inlineStr">
        <is>
          <t>06/04/2023</t>
        </is>
      </c>
      <c r="B1063" s="31" t="n">
        <v>2.8815</v>
      </c>
      <c r="C1063" s="69" t="n"/>
      <c r="D1063" s="70">
        <f t="array" ref="D1063">IF(C1063="","",IFERROR(AVERAGE(_xlfn._xlws.FILTER($B$2:$B$2000,(IFERROR(VALUE(MID($A$2:$A$2000,4,2)),0)=MONTH(C1063))*(IFERROR(VALUE(RIGHT($A$2:$A$2000,4)),0)=YEAR(C1063)))),""))</f>
        <v/>
      </c>
      <c r="E1063" s="62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4" t="inlineStr">
        <is>
          <t>14/04/2023</t>
        </is>
      </c>
      <c r="B1064" s="31" t="n">
        <v>2.9778</v>
      </c>
      <c r="C1064" s="69" t="n"/>
      <c r="D1064" s="70">
        <f t="array" ref="D1064">IF(C1064="","",IFERROR(AVERAGE(_xlfn._xlws.FILTER($B$2:$B$2000,(IFERROR(VALUE(MID($A$2:$A$2000,4,2)),0)=MONTH(C1064))*(IFERROR(VALUE(RIGHT($A$2:$A$2000,4)),0)=YEAR(C1064)))),""))</f>
        <v/>
      </c>
      <c r="E1064" s="62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4" t="inlineStr">
        <is>
          <t>20/04/2023</t>
        </is>
      </c>
      <c r="B1065" s="31" t="n">
        <v>3.1798</v>
      </c>
      <c r="C1065" s="69" t="n"/>
      <c r="D1065" s="70">
        <f t="array" ref="D1065">IF(C1065="","",IFERROR(AVERAGE(_xlfn._xlws.FILTER($B$2:$B$2000,(IFERROR(VALUE(MID($A$2:$A$2000,4,2)),0)=MONTH(C1065))*(IFERROR(VALUE(RIGHT($A$2:$A$2000,4)),0)=YEAR(C1065)))),""))</f>
        <v/>
      </c>
      <c r="E1065" s="62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4" t="inlineStr">
        <is>
          <t>28/04/2023</t>
        </is>
      </c>
      <c r="B1066" s="31" t="n">
        <v>3.0465</v>
      </c>
      <c r="C1066" s="69" t="n"/>
      <c r="D1066" s="70">
        <f t="array" ref="D1066">IF(C1066="","",IFERROR(AVERAGE(_xlfn._xlws.FILTER($B$2:$B$2000,(IFERROR(VALUE(MID($A$2:$A$2000,4,2)),0)=MONTH(C1066))*(IFERROR(VALUE(RIGHT($A$2:$A$2000,4)),0)=YEAR(C1066)))),""))</f>
        <v/>
      </c>
      <c r="E1066" s="62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4" t="inlineStr">
        <is>
          <t>05/05/2023</t>
        </is>
      </c>
      <c r="B1067" s="31" t="n">
        <v>2.8985</v>
      </c>
      <c r="C1067" s="69" t="n"/>
      <c r="D1067" s="70">
        <f t="array" ref="D1067">IF(C1067="","",IFERROR(AVERAGE(_xlfn._xlws.FILTER($B$2:$B$2000,(IFERROR(VALUE(MID($A$2:$A$2000,4,2)),0)=MONTH(C1067))*(IFERROR(VALUE(RIGHT($A$2:$A$2000,4)),0)=YEAR(C1067)))),""))</f>
        <v/>
      </c>
      <c r="E1067" s="62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4" t="inlineStr">
        <is>
          <t>12/05/2023</t>
        </is>
      </c>
      <c r="B1068" s="31" t="n">
        <v>2.7633</v>
      </c>
      <c r="C1068" s="69" t="n"/>
      <c r="D1068" s="70">
        <f t="array" ref="D1068">IF(C1068="","",IFERROR(AVERAGE(_xlfn._xlws.FILTER($B$2:$B$2000,(IFERROR(VALUE(MID($A$2:$A$2000,4,2)),0)=MONTH(C1068))*(IFERROR(VALUE(RIGHT($A$2:$A$2000,4)),0)=YEAR(C1068)))),""))</f>
        <v/>
      </c>
      <c r="E1068" s="62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4" t="inlineStr">
        <is>
          <t>19/05/2023</t>
        </is>
      </c>
      <c r="B1069" s="31" t="n">
        <v>2.5795</v>
      </c>
      <c r="C1069" s="69" t="n"/>
      <c r="D1069" s="70">
        <f t="array" ref="D1069">IF(C1069="","",IFERROR(AVERAGE(_xlfn._xlws.FILTER($B$2:$B$2000,(IFERROR(VALUE(MID($A$2:$A$2000,4,2)),0)=MONTH(C1069))*(IFERROR(VALUE(RIGHT($A$2:$A$2000,4)),0)=YEAR(C1069)))),""))</f>
        <v/>
      </c>
      <c r="E1069" s="62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4" t="inlineStr">
        <is>
          <t>26/05/2023</t>
        </is>
      </c>
      <c r="B1070" s="31" t="n">
        <v>2.649</v>
      </c>
      <c r="C1070" s="69" t="n"/>
      <c r="D1070" s="70">
        <f t="array" ref="D1070">IF(C1070="","",IFERROR(AVERAGE(_xlfn._xlws.FILTER($B$2:$B$2000,(IFERROR(VALUE(MID($A$2:$A$2000,4,2)),0)=MONTH(C1070))*(IFERROR(VALUE(RIGHT($A$2:$A$2000,4)),0)=YEAR(C1070)))),""))</f>
        <v/>
      </c>
      <c r="E1070" s="62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4" t="inlineStr">
        <is>
          <t>02/06/2023</t>
        </is>
      </c>
      <c r="B1071" s="31" t="n">
        <v>2.7468</v>
      </c>
      <c r="C1071" s="69" t="n"/>
      <c r="D1071" s="70">
        <f t="array" ref="D1071">IF(C1071="","",IFERROR(AVERAGE(_xlfn._xlws.FILTER($B$2:$B$2000,(IFERROR(VALUE(MID($A$2:$A$2000,4,2)),0)=MONTH(C1071))*(IFERROR(VALUE(RIGHT($A$2:$A$2000,4)),0)=YEAR(C1071)))),""))</f>
        <v/>
      </c>
      <c r="E1071" s="62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4" t="inlineStr">
        <is>
          <t>09/06/2023</t>
        </is>
      </c>
      <c r="B1072" s="31" t="n">
        <v>2.704</v>
      </c>
      <c r="C1072" s="69" t="n"/>
      <c r="D1072" s="70">
        <f t="array" ref="D1072">IF(C1072="","",IFERROR(AVERAGE(_xlfn._xlws.FILTER($B$2:$B$2000,(IFERROR(VALUE(MID($A$2:$A$2000,4,2)),0)=MONTH(C1072))*(IFERROR(VALUE(RIGHT($A$2:$A$2000,4)),0)=YEAR(C1072)))),""))</f>
        <v/>
      </c>
      <c r="E1072" s="62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4" t="inlineStr">
        <is>
          <t>16/06/2023</t>
        </is>
      </c>
      <c r="B1073" s="31" t="n">
        <v>2.7196</v>
      </c>
      <c r="C1073" s="69" t="n"/>
      <c r="D1073" s="70">
        <f t="array" ref="D1073">IF(C1073="","",IFERROR(AVERAGE(_xlfn._xlws.FILTER($B$2:$B$2000,(IFERROR(VALUE(MID($A$2:$A$2000,4,2)),0)=MONTH(C1073))*(IFERROR(VALUE(RIGHT($A$2:$A$2000,4)),0)=YEAR(C1073)))),""))</f>
        <v/>
      </c>
      <c r="E1073" s="62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4" t="inlineStr">
        <is>
          <t>23/06/2023</t>
        </is>
      </c>
      <c r="B1074" s="31" t="n">
        <v>2.6846</v>
      </c>
      <c r="C1074" s="69" t="n"/>
      <c r="D1074" s="70">
        <f t="array" ref="D1074">IF(C1074="","",IFERROR(AVERAGE(_xlfn._xlws.FILTER($B$2:$B$2000,(IFERROR(VALUE(MID($A$2:$A$2000,4,2)),0)=MONTH(C1074))*(IFERROR(VALUE(RIGHT($A$2:$A$2000,4)),0)=YEAR(C1074)))),""))</f>
        <v/>
      </c>
      <c r="E1074" s="62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4" t="inlineStr">
        <is>
          <t>30/06/2023</t>
        </is>
      </c>
      <c r="B1075" s="31" t="n">
        <v>2.7086</v>
      </c>
      <c r="C1075" s="69" t="n"/>
      <c r="D1075" s="70">
        <f t="array" ref="D1075">IF(C1075="","",IFERROR(AVERAGE(_xlfn._xlws.FILTER($B$2:$B$2000,(IFERROR(VALUE(MID($A$2:$A$2000,4,2)),0)=MONTH(C1075))*(IFERROR(VALUE(RIGHT($A$2:$A$2000,4)),0)=YEAR(C1075)))),""))</f>
        <v/>
      </c>
      <c r="E1075" s="62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4" t="inlineStr">
        <is>
          <t>07/07/2023</t>
        </is>
      </c>
      <c r="B1076" s="31" t="n">
        <v>2.4103</v>
      </c>
      <c r="C1076" s="69" t="n"/>
      <c r="D1076" s="70">
        <f t="array" ref="D1076">IF(C1076="","",IFERROR(AVERAGE(_xlfn._xlws.FILTER($B$2:$B$2000,(IFERROR(VALUE(MID($A$2:$A$2000,4,2)),0)=MONTH(C1076))*(IFERROR(VALUE(RIGHT($A$2:$A$2000,4)),0)=YEAR(C1076)))),""))</f>
        <v/>
      </c>
      <c r="E1076" s="62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4" t="inlineStr">
        <is>
          <t>14/07/2023</t>
        </is>
      </c>
      <c r="B1077" s="31" t="n">
        <v>2.3548</v>
      </c>
      <c r="C1077" s="69" t="n"/>
      <c r="D1077" s="70">
        <f t="array" ref="D1077">IF(C1077="","",IFERROR(AVERAGE(_xlfn._xlws.FILTER($B$2:$B$2000,(IFERROR(VALUE(MID($A$2:$A$2000,4,2)),0)=MONTH(C1077))*(IFERROR(VALUE(RIGHT($A$2:$A$2000,4)),0)=YEAR(C1077)))),""))</f>
        <v/>
      </c>
      <c r="E1077" s="62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4" t="inlineStr">
        <is>
          <t>21/07/2023</t>
        </is>
      </c>
      <c r="B1078" s="31" t="n">
        <v>2.2561</v>
      </c>
      <c r="C1078" s="69" t="n"/>
      <c r="D1078" s="70">
        <f t="array" ref="D1078">IF(C1078="","",IFERROR(AVERAGE(_xlfn._xlws.FILTER($B$2:$B$2000,(IFERROR(VALUE(MID($A$2:$A$2000,4,2)),0)=MONTH(C1078))*(IFERROR(VALUE(RIGHT($A$2:$A$2000,4)),0)=YEAR(C1078)))),""))</f>
        <v/>
      </c>
      <c r="E1078" s="62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4" t="inlineStr">
        <is>
          <t>28/07/2023</t>
        </is>
      </c>
      <c r="B1079" s="31" t="n">
        <v>2.2676</v>
      </c>
      <c r="C1079" s="69" t="n"/>
      <c r="D1079" s="70">
        <f t="array" ref="D1079">IF(C1079="","",IFERROR(AVERAGE(_xlfn._xlws.FILTER($B$2:$B$2000,(IFERROR(VALUE(MID($A$2:$A$2000,4,2)),0)=MONTH(C1079))*(IFERROR(VALUE(RIGHT($A$2:$A$2000,4)),0)=YEAR(C1079)))),""))</f>
        <v/>
      </c>
      <c r="E1079" s="62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4" t="inlineStr">
        <is>
          <t>04/08/2023</t>
        </is>
      </c>
      <c r="B1080" s="31" t="n">
        <v>2.2951</v>
      </c>
      <c r="C1080" s="69" t="n"/>
      <c r="D1080" s="70">
        <f t="array" ref="D1080">IF(C1080="","",IFERROR(AVERAGE(_xlfn._xlws.FILTER($B$2:$B$2000,(IFERROR(VALUE(MID($A$2:$A$2000,4,2)),0)=MONTH(C1080))*(IFERROR(VALUE(RIGHT($A$2:$A$2000,4)),0)=YEAR(C1080)))),""))</f>
        <v/>
      </c>
      <c r="E1080" s="62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4" t="inlineStr">
        <is>
          <t>11/08/2023</t>
        </is>
      </c>
      <c r="B1081" s="31" t="n">
        <v>2.2408</v>
      </c>
      <c r="C1081" s="69" t="n"/>
      <c r="D1081" s="70">
        <f t="array" ref="D1081">IF(C1081="","",IFERROR(AVERAGE(_xlfn._xlws.FILTER($B$2:$B$2000,(IFERROR(VALUE(MID($A$2:$A$2000,4,2)),0)=MONTH(C1081))*(IFERROR(VALUE(RIGHT($A$2:$A$2000,4)),0)=YEAR(C1081)))),""))</f>
        <v/>
      </c>
      <c r="E1081" s="62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4" t="inlineStr">
        <is>
          <t>18/08/2023</t>
        </is>
      </c>
      <c r="B1082" s="31" t="n">
        <v>2.323</v>
      </c>
      <c r="C1082" s="69" t="n"/>
      <c r="D1082" s="70">
        <f t="array" ref="D1082">IF(C1082="","",IFERROR(AVERAGE(_xlfn._xlws.FILTER($B$2:$B$2000,(IFERROR(VALUE(MID($A$2:$A$2000,4,2)),0)=MONTH(C1082))*(IFERROR(VALUE(RIGHT($A$2:$A$2000,4)),0)=YEAR(C1082)))),""))</f>
        <v/>
      </c>
      <c r="E1082" s="62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4" t="inlineStr">
        <is>
          <t>25/08/2023</t>
        </is>
      </c>
      <c r="B1083" s="31" t="n">
        <v>2.3652</v>
      </c>
      <c r="C1083" s="69" t="n"/>
      <c r="D1083" s="70">
        <f t="array" ref="D1083">IF(C1083="","",IFERROR(AVERAGE(_xlfn._xlws.FILTER($B$2:$B$2000,(IFERROR(VALUE(MID($A$2:$A$2000,4,2)),0)=MONTH(C1083))*(IFERROR(VALUE(RIGHT($A$2:$A$2000,4)),0)=YEAR(C1083)))),""))</f>
        <v/>
      </c>
      <c r="E1083" s="62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4" t="inlineStr">
        <is>
          <t>01/09/2023</t>
        </is>
      </c>
      <c r="B1084" s="31" t="n">
        <v>2.3645</v>
      </c>
      <c r="C1084" s="69" t="n"/>
      <c r="D1084" s="70">
        <f t="array" ref="D1084">IF(C1084="","",IFERROR(AVERAGE(_xlfn._xlws.FILTER($B$2:$B$2000,(IFERROR(VALUE(MID($A$2:$A$2000,4,2)),0)=MONTH(C1084))*(IFERROR(VALUE(RIGHT($A$2:$A$2000,4)),0)=YEAR(C1084)))),""))</f>
        <v/>
      </c>
      <c r="E1084" s="62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4" t="inlineStr">
        <is>
          <t>08/09/2023</t>
        </is>
      </c>
      <c r="B1085" s="31" t="n">
        <v>2.3587</v>
      </c>
      <c r="C1085" s="69" t="n"/>
      <c r="D1085" s="70">
        <f t="array" ref="D1085">IF(C1085="","",IFERROR(AVERAGE(_xlfn._xlws.FILTER($B$2:$B$2000,(IFERROR(VALUE(MID($A$2:$A$2000,4,2)),0)=MONTH(C1085))*(IFERROR(VALUE(RIGHT($A$2:$A$2000,4)),0)=YEAR(C1085)))),""))</f>
        <v/>
      </c>
      <c r="E1085" s="62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4" t="inlineStr">
        <is>
          <t>15/09/2023</t>
        </is>
      </c>
      <c r="B1086" s="31" t="n">
        <v>2.3305</v>
      </c>
      <c r="C1086" s="69" t="n"/>
      <c r="D1086" s="70">
        <f t="array" ref="D1086">IF(C1086="","",IFERROR(AVERAGE(_xlfn._xlws.FILTER($B$2:$B$2000,(IFERROR(VALUE(MID($A$2:$A$2000,4,2)),0)=MONTH(C1086))*(IFERROR(VALUE(RIGHT($A$2:$A$2000,4)),0)=YEAR(C1086)))),""))</f>
        <v/>
      </c>
      <c r="E1086" s="62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4" t="inlineStr">
        <is>
          <t>22/09/2023</t>
        </is>
      </c>
      <c r="B1087" s="31" t="n">
        <v>2.3398</v>
      </c>
      <c r="C1087" s="69" t="n"/>
      <c r="D1087" s="70">
        <f t="array" ref="D1087">IF(C1087="","",IFERROR(AVERAGE(_xlfn._xlws.FILTER($B$2:$B$2000,(IFERROR(VALUE(MID($A$2:$A$2000,4,2)),0)=MONTH(C1087))*(IFERROR(VALUE(RIGHT($A$2:$A$2000,4)),0)=YEAR(C1087)))),""))</f>
        <v/>
      </c>
      <c r="E1087" s="62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4" t="inlineStr">
        <is>
          <t>29/09/2023</t>
        </is>
      </c>
      <c r="B1088" s="31" t="n">
        <v>2.3402</v>
      </c>
      <c r="C1088" s="69" t="n"/>
      <c r="D1088" s="70">
        <f t="array" ref="D1088">IF(C1088="","",IFERROR(AVERAGE(_xlfn._xlws.FILTER($B$2:$B$2000,(IFERROR(VALUE(MID($A$2:$A$2000,4,2)),0)=MONTH(C1088))*(IFERROR(VALUE(RIGHT($A$2:$A$2000,4)),0)=YEAR(C1088)))),""))</f>
        <v/>
      </c>
      <c r="E1088" s="62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4" t="inlineStr">
        <is>
          <t>06/10/2023</t>
        </is>
      </c>
      <c r="B1089" s="31" t="n">
        <v>2.3201</v>
      </c>
      <c r="C1089" s="69" t="n"/>
      <c r="D1089" s="70">
        <f t="array" ref="D1089">IF(C1089="","",IFERROR(AVERAGE(_xlfn._xlws.FILTER($B$2:$B$2000,(IFERROR(VALUE(MID($A$2:$A$2000,4,2)),0)=MONTH(C1089))*(IFERROR(VALUE(RIGHT($A$2:$A$2000,4)),0)=YEAR(C1089)))),""))</f>
        <v/>
      </c>
      <c r="E1089" s="62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4" t="inlineStr">
        <is>
          <t>13/10/2023</t>
        </is>
      </c>
      <c r="B1090" s="31" t="n">
        <v>2.3239</v>
      </c>
      <c r="C1090" s="69" t="n"/>
      <c r="D1090" s="70">
        <f t="array" ref="D1090">IF(C1090="","",IFERROR(AVERAGE(_xlfn._xlws.FILTER($B$2:$B$2000,(IFERROR(VALUE(MID($A$2:$A$2000,4,2)),0)=MONTH(C1090))*(IFERROR(VALUE(RIGHT($A$2:$A$2000,4)),0)=YEAR(C1090)))),""))</f>
        <v/>
      </c>
      <c r="E1090" s="62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4" t="inlineStr">
        <is>
          <t>20/10/2023</t>
        </is>
      </c>
      <c r="B1091" s="31" t="n">
        <v>2.3687</v>
      </c>
      <c r="C1091" s="69" t="n"/>
      <c r="D1091" s="70">
        <f t="array" ref="D1091">IF(C1091="","",IFERROR(AVERAGE(_xlfn._xlws.FILTER($B$2:$B$2000,(IFERROR(VALUE(MID($A$2:$A$2000,4,2)),0)=MONTH(C1091))*(IFERROR(VALUE(RIGHT($A$2:$A$2000,4)),0)=YEAR(C1091)))),""))</f>
        <v/>
      </c>
      <c r="E1091" s="62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4" t="inlineStr">
        <is>
          <t>27/10/2023</t>
        </is>
      </c>
      <c r="B1092" s="31" t="n">
        <v>2.3686</v>
      </c>
      <c r="C1092" s="69" t="n"/>
      <c r="D1092" s="70">
        <f t="array" ref="D1092">IF(C1092="","",IFERROR(AVERAGE(_xlfn._xlws.FILTER($B$2:$B$2000,(IFERROR(VALUE(MID($A$2:$A$2000,4,2)),0)=MONTH(C1092))*(IFERROR(VALUE(RIGHT($A$2:$A$2000,4)),0)=YEAR(C1092)))),""))</f>
        <v/>
      </c>
      <c r="E1092" s="62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4" t="inlineStr">
        <is>
          <t>03/11/2023</t>
        </is>
      </c>
      <c r="B1093" s="31" t="n">
        <v>2.3439</v>
      </c>
      <c r="C1093" s="69" t="n"/>
      <c r="D1093" s="70">
        <f t="array" ref="D1093">IF(C1093="","",IFERROR(AVERAGE(_xlfn._xlws.FILTER($B$2:$B$2000,(IFERROR(VALUE(MID($A$2:$A$2000,4,2)),0)=MONTH(C1093))*(IFERROR(VALUE(RIGHT($A$2:$A$2000,4)),0)=YEAR(C1093)))),""))</f>
        <v/>
      </c>
      <c r="E1093" s="62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4" t="inlineStr">
        <is>
          <t>10/11/2023</t>
        </is>
      </c>
      <c r="B1094" s="31" t="n">
        <v>2.3213</v>
      </c>
      <c r="C1094" s="69" t="n"/>
      <c r="D1094" s="70">
        <f t="array" ref="D1094">IF(C1094="","",IFERROR(AVERAGE(_xlfn._xlws.FILTER($B$2:$B$2000,(IFERROR(VALUE(MID($A$2:$A$2000,4,2)),0)=MONTH(C1094))*(IFERROR(VALUE(RIGHT($A$2:$A$2000,4)),0)=YEAR(C1094)))),""))</f>
        <v/>
      </c>
      <c r="E1094" s="62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4" t="inlineStr">
        <is>
          <t>17/11/2023</t>
        </is>
      </c>
      <c r="B1095" s="31" t="n">
        <v>2.2749</v>
      </c>
      <c r="C1095" s="69" t="n"/>
      <c r="D1095" s="70">
        <f t="array" ref="D1095">IF(C1095="","",IFERROR(AVERAGE(_xlfn._xlws.FILTER($B$2:$B$2000,(IFERROR(VALUE(MID($A$2:$A$2000,4,2)),0)=MONTH(C1095))*(IFERROR(VALUE(RIGHT($A$2:$A$2000,4)),0)=YEAR(C1095)))),""))</f>
        <v/>
      </c>
      <c r="E1095" s="62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4" t="inlineStr">
        <is>
          <t>24/11/2023</t>
        </is>
      </c>
      <c r="B1096" s="31" t="n">
        <v>2.2173</v>
      </c>
      <c r="C1096" s="69" t="n"/>
      <c r="D1096" s="70">
        <f t="array" ref="D1096">IF(C1096="","",IFERROR(AVERAGE(_xlfn._xlws.FILTER($B$2:$B$2000,(IFERROR(VALUE(MID($A$2:$A$2000,4,2)),0)=MONTH(C1096))*(IFERROR(VALUE(RIGHT($A$2:$A$2000,4)),0)=YEAR(C1096)))),""))</f>
        <v/>
      </c>
      <c r="E1096" s="62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4" t="inlineStr">
        <is>
          <t>01/12/2023</t>
        </is>
      </c>
      <c r="B1097" s="31" t="n">
        <v>2.165</v>
      </c>
      <c r="C1097" s="69" t="n"/>
      <c r="D1097" s="70">
        <f t="array" ref="D1097">IF(C1097="","",IFERROR(AVERAGE(_xlfn._xlws.FILTER($B$2:$B$2000,(IFERROR(VALUE(MID($A$2:$A$2000,4,2)),0)=MONTH(C1097))*(IFERROR(VALUE(RIGHT($A$2:$A$2000,4)),0)=YEAR(C1097)))),""))</f>
        <v/>
      </c>
      <c r="E1097" s="62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4" t="inlineStr">
        <is>
          <t>08/12/2023</t>
        </is>
      </c>
      <c r="B1098" s="31" t="n">
        <v>2.0877</v>
      </c>
      <c r="C1098" s="69" t="n"/>
      <c r="D1098" s="70">
        <f t="array" ref="D1098">IF(C1098="","",IFERROR(AVERAGE(_xlfn._xlws.FILTER($B$2:$B$2000,(IFERROR(VALUE(MID($A$2:$A$2000,4,2)),0)=MONTH(C1098))*(IFERROR(VALUE(RIGHT($A$2:$A$2000,4)),0)=YEAR(C1098)))),""))</f>
        <v/>
      </c>
      <c r="E1098" s="62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4" t="inlineStr">
        <is>
          <t>15/12/2023</t>
        </is>
      </c>
      <c r="B1099" s="31" t="n">
        <v>1.9597</v>
      </c>
      <c r="C1099" s="69" t="n"/>
      <c r="D1099" s="70">
        <f t="array" ref="D1099">IF(C1099="","",IFERROR(AVERAGE(_xlfn._xlws.FILTER($B$2:$B$2000,(IFERROR(VALUE(MID($A$2:$A$2000,4,2)),0)=MONTH(C1099))*(IFERROR(VALUE(RIGHT($A$2:$A$2000,4)),0)=YEAR(C1099)))),""))</f>
        <v/>
      </c>
      <c r="E1099" s="62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4" t="inlineStr">
        <is>
          <t>22/12/2023</t>
        </is>
      </c>
      <c r="B1100" s="31" t="n">
        <v>1.9853</v>
      </c>
      <c r="C1100" s="69" t="n"/>
      <c r="D1100" s="70">
        <f t="array" ref="D1100">IF(C1100="","",IFERROR(AVERAGE(_xlfn._xlws.FILTER($B$2:$B$2000,(IFERROR(VALUE(MID($A$2:$A$2000,4,2)),0)=MONTH(C1100))*(IFERROR(VALUE(RIGHT($A$2:$A$2000,4)),0)=YEAR(C1100)))),""))</f>
        <v/>
      </c>
      <c r="E1100" s="62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4" t="inlineStr">
        <is>
          <t>28/12/2023</t>
        </is>
      </c>
      <c r="B1101" s="31" t="n">
        <v>2.0035</v>
      </c>
      <c r="C1101" s="69" t="n"/>
      <c r="D1101" s="70">
        <f t="array" ref="D1101">IF(C1101="","",IFERROR(AVERAGE(_xlfn._xlws.FILTER($B$2:$B$2000,(IFERROR(VALUE(MID($A$2:$A$2000,4,2)),0)=MONTH(C1101))*(IFERROR(VALUE(RIGHT($A$2:$A$2000,4)),0)=YEAR(C1101)))),""))</f>
        <v/>
      </c>
      <c r="E1101" s="62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4" t="inlineStr">
        <is>
          <t>05/01/2024</t>
        </is>
      </c>
      <c r="B1102" s="31" t="n">
        <v>1.9744</v>
      </c>
      <c r="C1102" s="69" t="n"/>
      <c r="D1102" s="70">
        <f t="array" ref="D1102">IF(C1102="","",IFERROR(AVERAGE(_xlfn._xlws.FILTER($B$2:$B$2000,(IFERROR(VALUE(MID($A$2:$A$2000,4,2)),0)=MONTH(C1102))*(IFERROR(VALUE(RIGHT($A$2:$A$2000,4)),0)=YEAR(C1102)))),""))</f>
        <v/>
      </c>
      <c r="E1102" s="62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4" t="inlineStr">
        <is>
          <t>12/01/2024</t>
        </is>
      </c>
      <c r="B1103" s="31" t="n">
        <v>1.9421</v>
      </c>
      <c r="C1103" s="69" t="n"/>
      <c r="D1103" s="70">
        <f t="array" ref="D1103">IF(C1103="","",IFERROR(AVERAGE(_xlfn._xlws.FILTER($B$2:$B$2000,(IFERROR(VALUE(MID($A$2:$A$2000,4,2)),0)=MONTH(C1103))*(IFERROR(VALUE(RIGHT($A$2:$A$2000,4)),0)=YEAR(C1103)))),""))</f>
        <v/>
      </c>
      <c r="E1103" s="62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4" t="inlineStr">
        <is>
          <t>19/01/2024</t>
        </is>
      </c>
      <c r="B1104" s="31" t="n">
        <v>2.003</v>
      </c>
      <c r="C1104" s="69" t="n"/>
      <c r="D1104" s="70">
        <f t="array" ref="D1104">IF(C1104="","",IFERROR(AVERAGE(_xlfn._xlws.FILTER($B$2:$B$2000,(IFERROR(VALUE(MID($A$2:$A$2000,4,2)),0)=MONTH(C1104))*(IFERROR(VALUE(RIGHT($A$2:$A$2000,4)),0)=YEAR(C1104)))),""))</f>
        <v/>
      </c>
      <c r="E1104" s="62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4" t="inlineStr">
        <is>
          <t>26/01/2024</t>
        </is>
      </c>
      <c r="B1105" s="31" t="n">
        <v>2.1449</v>
      </c>
      <c r="C1105" s="69" t="n"/>
      <c r="D1105" s="70">
        <f t="array" ref="D1105">IF(C1105="","",IFERROR(AVERAGE(_xlfn._xlws.FILTER($B$2:$B$2000,(IFERROR(VALUE(MID($A$2:$A$2000,4,2)),0)=MONTH(C1105))*(IFERROR(VALUE(RIGHT($A$2:$A$2000,4)),0)=YEAR(C1105)))),""))</f>
        <v/>
      </c>
      <c r="E1105" s="62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4" t="inlineStr">
        <is>
          <t>02/02/2024</t>
        </is>
      </c>
      <c r="B1106" s="31" t="n">
        <v>2.3038</v>
      </c>
      <c r="C1106" s="69" t="n"/>
      <c r="D1106" s="70">
        <f t="array" ref="D1106">IF(C1106="","",IFERROR(AVERAGE(_xlfn._xlws.FILTER($B$2:$B$2000,(IFERROR(VALUE(MID($A$2:$A$2000,4,2)),0)=MONTH(C1106))*(IFERROR(VALUE(RIGHT($A$2:$A$2000,4)),0)=YEAR(C1106)))),""))</f>
        <v/>
      </c>
      <c r="E1106" s="62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4" t="inlineStr">
        <is>
          <t>09/02/2024</t>
        </is>
      </c>
      <c r="B1107" s="31" t="n">
        <v>2.2928</v>
      </c>
      <c r="C1107" s="69" t="n"/>
      <c r="D1107" s="70">
        <f t="array" ref="D1107">IF(C1107="","",IFERROR(AVERAGE(_xlfn._xlws.FILTER($B$2:$B$2000,(IFERROR(VALUE(MID($A$2:$A$2000,4,2)),0)=MONTH(C1107))*(IFERROR(VALUE(RIGHT($A$2:$A$2000,4)),0)=YEAR(C1107)))),""))</f>
        <v/>
      </c>
      <c r="E1107" s="62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4" t="inlineStr">
        <is>
          <t>16/02/2024</t>
        </is>
      </c>
      <c r="B1108" s="31" t="n">
        <v>2.2554</v>
      </c>
      <c r="C1108" s="69" t="n"/>
      <c r="D1108" s="70">
        <f t="array" ref="D1108">IF(C1108="","",IFERROR(AVERAGE(_xlfn._xlws.FILTER($B$2:$B$2000,(IFERROR(VALUE(MID($A$2:$A$2000,4,2)),0)=MONTH(C1108))*(IFERROR(VALUE(RIGHT($A$2:$A$2000,4)),0)=YEAR(C1108)))),""))</f>
        <v/>
      </c>
      <c r="E1108" s="62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4" t="inlineStr">
        <is>
          <t>23/02/2024</t>
        </is>
      </c>
      <c r="B1109" s="31" t="n">
        <v>2.2703</v>
      </c>
      <c r="C1109" s="69" t="n"/>
      <c r="D1109" s="70">
        <f t="array" ref="D1109">IF(C1109="","",IFERROR(AVERAGE(_xlfn._xlws.FILTER($B$2:$B$2000,(IFERROR(VALUE(MID($A$2:$A$2000,4,2)),0)=MONTH(C1109))*(IFERROR(VALUE(RIGHT($A$2:$A$2000,4)),0)=YEAR(C1109)))),""))</f>
        <v/>
      </c>
      <c r="E1109" s="62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4" t="inlineStr">
        <is>
          <t>01/03/2024</t>
        </is>
      </c>
      <c r="B1110" s="31" t="n">
        <v>2.2581</v>
      </c>
      <c r="C1110" s="69" t="n"/>
      <c r="D1110" s="70">
        <f t="array" ref="D1110">IF(C1110="","",IFERROR(AVERAGE(_xlfn._xlws.FILTER($B$2:$B$2000,(IFERROR(VALUE(MID($A$2:$A$2000,4,2)),0)=MONTH(C1110))*(IFERROR(VALUE(RIGHT($A$2:$A$2000,4)),0)=YEAR(C1110)))),""))</f>
        <v/>
      </c>
      <c r="E1110" s="62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4" t="inlineStr">
        <is>
          <t>08/03/2024</t>
        </is>
      </c>
      <c r="B1111" s="31" t="n">
        <v>2.2032</v>
      </c>
      <c r="C1111" s="69" t="n"/>
      <c r="D1111" s="70">
        <f t="array" ref="D1111">IF(C1111="","",IFERROR(AVERAGE(_xlfn._xlws.FILTER($B$2:$B$2000,(IFERROR(VALUE(MID($A$2:$A$2000,4,2)),0)=MONTH(C1111))*(IFERROR(VALUE(RIGHT($A$2:$A$2000,4)),0)=YEAR(C1111)))),""))</f>
        <v/>
      </c>
      <c r="E1111" s="62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4" t="inlineStr">
        <is>
          <t>15/03/2024</t>
        </is>
      </c>
      <c r="B1112" s="31" t="n">
        <v>2.1966</v>
      </c>
      <c r="C1112" s="69" t="n"/>
      <c r="D1112" s="70">
        <f t="array" ref="D1112">IF(C1112="","",IFERROR(AVERAGE(_xlfn._xlws.FILTER($B$2:$B$2000,(IFERROR(VALUE(MID($A$2:$A$2000,4,2)),0)=MONTH(C1112))*(IFERROR(VALUE(RIGHT($A$2:$A$2000,4)),0)=YEAR(C1112)))),""))</f>
        <v/>
      </c>
      <c r="E1112" s="62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4" t="inlineStr">
        <is>
          <t>22/03/2024</t>
        </is>
      </c>
      <c r="B1113" s="31" t="n">
        <v>2.3072</v>
      </c>
      <c r="C1113" s="69" t="n"/>
      <c r="D1113" s="70">
        <f t="array" ref="D1113">IF(C1113="","",IFERROR(AVERAGE(_xlfn._xlws.FILTER($B$2:$B$2000,(IFERROR(VALUE(MID($A$2:$A$2000,4,2)),0)=MONTH(C1113))*(IFERROR(VALUE(RIGHT($A$2:$A$2000,4)),0)=YEAR(C1113)))),""))</f>
        <v/>
      </c>
      <c r="E1113" s="62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4" t="inlineStr">
        <is>
          <t>28/03/2024</t>
        </is>
      </c>
      <c r="B1114" s="31" t="n">
        <v>2.4235</v>
      </c>
      <c r="C1114" s="69" t="n"/>
      <c r="D1114" s="70">
        <f t="array" ref="D1114">IF(C1114="","",IFERROR(AVERAGE(_xlfn._xlws.FILTER($B$2:$B$2000,(IFERROR(VALUE(MID($A$2:$A$2000,4,2)),0)=MONTH(C1114))*(IFERROR(VALUE(RIGHT($A$2:$A$2000,4)),0)=YEAR(C1114)))),""))</f>
        <v/>
      </c>
      <c r="E1114" s="62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4" t="inlineStr">
        <is>
          <t>05/04/2024</t>
        </is>
      </c>
      <c r="B1115" s="31" t="n">
        <v>2.4868</v>
      </c>
      <c r="C1115" s="69" t="n"/>
      <c r="D1115" s="70">
        <f t="array" ref="D1115">IF(C1115="","",IFERROR(AVERAGE(_xlfn._xlws.FILTER($B$2:$B$2000,(IFERROR(VALUE(MID($A$2:$A$2000,4,2)),0)=MONTH(C1115))*(IFERROR(VALUE(RIGHT($A$2:$A$2000,4)),0)=YEAR(C1115)))),""))</f>
        <v/>
      </c>
      <c r="E1115" s="62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4" t="inlineStr">
        <is>
          <t>12/04/2024</t>
        </is>
      </c>
      <c r="B1116" s="31" t="n">
        <v>2.5141</v>
      </c>
      <c r="C1116" s="69" t="n"/>
      <c r="D1116" s="70">
        <f t="array" ref="D1116">IF(C1116="","",IFERROR(AVERAGE(_xlfn._xlws.FILTER($B$2:$B$2000,(IFERROR(VALUE(MID($A$2:$A$2000,4,2)),0)=MONTH(C1116))*(IFERROR(VALUE(RIGHT($A$2:$A$2000,4)),0)=YEAR(C1116)))),""))</f>
        <v/>
      </c>
      <c r="E1116" s="62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4" t="inlineStr">
        <is>
          <t>19/04/2024</t>
        </is>
      </c>
      <c r="B1117" s="31" t="n">
        <v>2.6049</v>
      </c>
      <c r="C1117" s="69" t="n"/>
      <c r="D1117" s="70">
        <f t="array" ref="D1117">IF(C1117="","",IFERROR(AVERAGE(_xlfn._xlws.FILTER($B$2:$B$2000,(IFERROR(VALUE(MID($A$2:$A$2000,4,2)),0)=MONTH(C1117))*(IFERROR(VALUE(RIGHT($A$2:$A$2000,4)),0)=YEAR(C1117)))),""))</f>
        <v/>
      </c>
      <c r="E1117" s="62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4" t="inlineStr">
        <is>
          <t>26/04/2024</t>
        </is>
      </c>
      <c r="B1118" s="31" t="n">
        <v>2.4377</v>
      </c>
      <c r="C1118" s="69" t="n"/>
      <c r="D1118" s="70">
        <f t="array" ref="D1118">IF(C1118="","",IFERROR(AVERAGE(_xlfn._xlws.FILTER($B$2:$B$2000,(IFERROR(VALUE(MID($A$2:$A$2000,4,2)),0)=MONTH(C1118))*(IFERROR(VALUE(RIGHT($A$2:$A$2000,4)),0)=YEAR(C1118)))),""))</f>
        <v/>
      </c>
      <c r="E1118" s="62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4" t="inlineStr">
        <is>
          <t>03/05/2024</t>
        </is>
      </c>
      <c r="B1119" s="31" t="n">
        <v>2.4626</v>
      </c>
      <c r="C1119" s="69" t="n"/>
      <c r="D1119" s="70">
        <f t="array" ref="D1119">IF(C1119="","",IFERROR(AVERAGE(_xlfn._xlws.FILTER($B$2:$B$2000,(IFERROR(VALUE(MID($A$2:$A$2000,4,2)),0)=MONTH(C1119))*(IFERROR(VALUE(RIGHT($A$2:$A$2000,4)),0)=YEAR(C1119)))),""))</f>
        <v/>
      </c>
      <c r="E1119" s="62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4" t="inlineStr">
        <is>
          <t>10/05/2024</t>
        </is>
      </c>
      <c r="B1120" s="31" t="n">
        <v>2.4703</v>
      </c>
      <c r="C1120" s="69" t="n"/>
      <c r="D1120" s="70">
        <f t="array" ref="D1120">IF(C1120="","",IFERROR(AVERAGE(_xlfn._xlws.FILTER($B$2:$B$2000,(IFERROR(VALUE(MID($A$2:$A$2000,4,2)),0)=MONTH(C1120))*(IFERROR(VALUE(RIGHT($A$2:$A$2000,4)),0)=YEAR(C1120)))),""))</f>
        <v/>
      </c>
      <c r="E1120" s="62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4" t="inlineStr">
        <is>
          <t>17/05/2024</t>
        </is>
      </c>
      <c r="B1121" s="31" t="n">
        <v>2.4397</v>
      </c>
      <c r="C1121" s="69" t="n"/>
      <c r="D1121" s="70">
        <f t="array" ref="D1121">IF(C1121="","",IFERROR(AVERAGE(_xlfn._xlws.FILTER($B$2:$B$2000,(IFERROR(VALUE(MID($A$2:$A$2000,4,2)),0)=MONTH(C1121))*(IFERROR(VALUE(RIGHT($A$2:$A$2000,4)),0)=YEAR(C1121)))),""))</f>
        <v/>
      </c>
      <c r="E1121" s="62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4" t="inlineStr">
        <is>
          <t>24/05/2024</t>
        </is>
      </c>
      <c r="B1122" s="31" t="n">
        <v>2.3692</v>
      </c>
      <c r="C1122" s="69" t="n"/>
      <c r="D1122" s="70">
        <f t="array" ref="D1122">IF(C1122="","",IFERROR(AVERAGE(_xlfn._xlws.FILTER($B$2:$B$2000,(IFERROR(VALUE(MID($A$2:$A$2000,4,2)),0)=MONTH(C1122))*(IFERROR(VALUE(RIGHT($A$2:$A$2000,4)),0)=YEAR(C1122)))),""))</f>
        <v/>
      </c>
      <c r="E1122" s="62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4" t="inlineStr">
        <is>
          <t>31/05/2024</t>
        </is>
      </c>
      <c r="B1123" s="31" t="n">
        <v>2.4262</v>
      </c>
      <c r="C1123" s="69" t="n"/>
      <c r="D1123" s="70">
        <f t="array" ref="D1123">IF(C1123="","",IFERROR(AVERAGE(_xlfn._xlws.FILTER($B$2:$B$2000,(IFERROR(VALUE(MID($A$2:$A$2000,4,2)),0)=MONTH(C1123))*(IFERROR(VALUE(RIGHT($A$2:$A$2000,4)),0)=YEAR(C1123)))),""))</f>
        <v/>
      </c>
      <c r="E1123" s="62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4" t="inlineStr">
        <is>
          <t>07/06/2024</t>
        </is>
      </c>
      <c r="B1124" s="31" t="n">
        <v>2.4052</v>
      </c>
      <c r="C1124" s="69" t="n"/>
      <c r="D1124" s="70">
        <f t="array" ref="D1124">IF(C1124="","",IFERROR(AVERAGE(_xlfn._xlws.FILTER($B$2:$B$2000,(IFERROR(VALUE(MID($A$2:$A$2000,4,2)),0)=MONTH(C1124))*(IFERROR(VALUE(RIGHT($A$2:$A$2000,4)),0)=YEAR(C1124)))),""))</f>
        <v/>
      </c>
      <c r="E1124" s="62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4" t="inlineStr">
        <is>
          <t>14/06/2024</t>
        </is>
      </c>
      <c r="B1125" s="31" t="n">
        <v>2.4382</v>
      </c>
      <c r="C1125" s="69" t="n"/>
      <c r="D1125" s="70">
        <f t="array" ref="D1125">IF(C1125="","",IFERROR(AVERAGE(_xlfn._xlws.FILTER($B$2:$B$2000,(IFERROR(VALUE(MID($A$2:$A$2000,4,2)),0)=MONTH(C1125))*(IFERROR(VALUE(RIGHT($A$2:$A$2000,4)),0)=YEAR(C1125)))),""))</f>
        <v/>
      </c>
      <c r="E1125" s="62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4" t="inlineStr">
        <is>
          <t>21/06/2024</t>
        </is>
      </c>
      <c r="B1126" s="31" t="n">
        <v>2.5148</v>
      </c>
      <c r="C1126" s="69" t="n"/>
      <c r="D1126" s="70">
        <f t="array" ref="D1126">IF(C1126="","",IFERROR(AVERAGE(_xlfn._xlws.FILTER($B$2:$B$2000,(IFERROR(VALUE(MID($A$2:$A$2000,4,2)),0)=MONTH(C1126))*(IFERROR(VALUE(RIGHT($A$2:$A$2000,4)),0)=YEAR(C1126)))),""))</f>
        <v/>
      </c>
      <c r="E1126" s="62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4" t="inlineStr">
        <is>
          <t>28/06/2024</t>
        </is>
      </c>
      <c r="B1127" s="31" t="n">
        <v>2.5724</v>
      </c>
      <c r="C1127" s="69" t="n"/>
      <c r="D1127" s="70">
        <f t="array" ref="D1127">IF(C1127="","",IFERROR(AVERAGE(_xlfn._xlws.FILTER($B$2:$B$2000,(IFERROR(VALUE(MID($A$2:$A$2000,4,2)),0)=MONTH(C1127))*(IFERROR(VALUE(RIGHT($A$2:$A$2000,4)),0)=YEAR(C1127)))),""))</f>
        <v/>
      </c>
      <c r="E1127" s="62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4" t="inlineStr">
        <is>
          <t>05/07/2024</t>
        </is>
      </c>
      <c r="B1128" s="31" t="n">
        <v>2.6265</v>
      </c>
      <c r="C1128" s="69" t="n"/>
      <c r="D1128" s="70">
        <f t="array" ref="D1128">IF(C1128="","",IFERROR(AVERAGE(_xlfn._xlws.FILTER($B$2:$B$2000,(IFERROR(VALUE(MID($A$2:$A$2000,4,2)),0)=MONTH(C1128))*(IFERROR(VALUE(RIGHT($A$2:$A$2000,4)),0)=YEAR(C1128)))),""))</f>
        <v/>
      </c>
      <c r="E1128" s="62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4" t="inlineStr">
        <is>
          <t>12/07/2024</t>
        </is>
      </c>
      <c r="B1129" s="31" t="n">
        <v>2.7535</v>
      </c>
      <c r="C1129" s="69" t="n"/>
      <c r="D1129" s="70">
        <f t="array" ref="D1129">IF(C1129="","",IFERROR(AVERAGE(_xlfn._xlws.FILTER($B$2:$B$2000,(IFERROR(VALUE(MID($A$2:$A$2000,4,2)),0)=MONTH(C1129))*(IFERROR(VALUE(RIGHT($A$2:$A$2000,4)),0)=YEAR(C1129)))),""))</f>
        <v/>
      </c>
      <c r="E1129" s="62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4" t="inlineStr">
        <is>
          <t>19/07/2024</t>
        </is>
      </c>
      <c r="B1130" s="31" t="n">
        <v>2.7537</v>
      </c>
      <c r="C1130" s="69" t="n"/>
      <c r="D1130" s="70">
        <f t="array" ref="D1130">IF(C1130="","",IFERROR(AVERAGE(_xlfn._xlws.FILTER($B$2:$B$2000,(IFERROR(VALUE(MID($A$2:$A$2000,4,2)),0)=MONTH(C1130))*(IFERROR(VALUE(RIGHT($A$2:$A$2000,4)),0)=YEAR(C1130)))),""))</f>
        <v/>
      </c>
      <c r="E1130" s="62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4" t="inlineStr">
        <is>
          <t>26/07/2024</t>
        </is>
      </c>
      <c r="B1131" s="31" t="n">
        <v>2.6604</v>
      </c>
      <c r="C1131" s="69" t="n"/>
      <c r="D1131" s="70">
        <f t="array" ref="D1131">IF(C1131="","",IFERROR(AVERAGE(_xlfn._xlws.FILTER($B$2:$B$2000,(IFERROR(VALUE(MID($A$2:$A$2000,4,2)),0)=MONTH(C1131))*(IFERROR(VALUE(RIGHT($A$2:$A$2000,4)),0)=YEAR(C1131)))),""))</f>
        <v/>
      </c>
      <c r="E1131" s="62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4" t="inlineStr">
        <is>
          <t>02/08/2024</t>
        </is>
      </c>
      <c r="B1132" s="31" t="n">
        <v>2.6897</v>
      </c>
      <c r="C1132" s="69" t="n"/>
      <c r="D1132" s="70">
        <f t="array" ref="D1132">IF(C1132="","",IFERROR(AVERAGE(_xlfn._xlws.FILTER($B$2:$B$2000,(IFERROR(VALUE(MID($A$2:$A$2000,4,2)),0)=MONTH(C1132))*(IFERROR(VALUE(RIGHT($A$2:$A$2000,4)),0)=YEAR(C1132)))),""))</f>
        <v/>
      </c>
      <c r="E1132" s="62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4" t="inlineStr">
        <is>
          <t>09/08/2024</t>
        </is>
      </c>
      <c r="B1133" s="31" t="n">
        <v>2.7217</v>
      </c>
      <c r="C1133" s="69" t="n"/>
      <c r="D1133" s="70">
        <f t="array" ref="D1133">IF(C1133="","",IFERROR(AVERAGE(_xlfn._xlws.FILTER($B$2:$B$2000,(IFERROR(VALUE(MID($A$2:$A$2000,4,2)),0)=MONTH(C1133))*(IFERROR(VALUE(RIGHT($A$2:$A$2000,4)),0)=YEAR(C1133)))),""))</f>
        <v/>
      </c>
      <c r="E1133" s="62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4" t="inlineStr">
        <is>
          <t>16/08/2024</t>
        </is>
      </c>
      <c r="B1134" s="31" t="n">
        <v>2.685</v>
      </c>
      <c r="C1134" s="69" t="n"/>
      <c r="D1134" s="70">
        <f t="array" ref="D1134">IF(C1134="","",IFERROR(AVERAGE(_xlfn._xlws.FILTER($B$2:$B$2000,(IFERROR(VALUE(MID($A$2:$A$2000,4,2)),0)=MONTH(C1134))*(IFERROR(VALUE(RIGHT($A$2:$A$2000,4)),0)=YEAR(C1134)))),""))</f>
        <v/>
      </c>
      <c r="E1134" s="62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4" t="inlineStr">
        <is>
          <t>23/08/2024</t>
        </is>
      </c>
      <c r="B1135" s="31" t="n">
        <v>2.6293</v>
      </c>
      <c r="C1135" s="69" t="n"/>
      <c r="D1135" s="70">
        <f t="array" ref="D1135">IF(C1135="","",IFERROR(AVERAGE(_xlfn._xlws.FILTER($B$2:$B$2000,(IFERROR(VALUE(MID($A$2:$A$2000,4,2)),0)=MONTH(C1135))*(IFERROR(VALUE(RIGHT($A$2:$A$2000,4)),0)=YEAR(C1135)))),""))</f>
        <v/>
      </c>
      <c r="E1135" s="62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4" t="inlineStr">
        <is>
          <t>30/08/2024</t>
        </is>
      </c>
      <c r="B1136" s="31" t="n">
        <v>2.642</v>
      </c>
      <c r="C1136" s="69" t="n"/>
      <c r="D1136" s="70">
        <f t="array" ref="D1136">IF(C1136="","",IFERROR(AVERAGE(_xlfn._xlws.FILTER($B$2:$B$2000,(IFERROR(VALUE(MID($A$2:$A$2000,4,2)),0)=MONTH(C1136))*(IFERROR(VALUE(RIGHT($A$2:$A$2000,4)),0)=YEAR(C1136)))),""))</f>
        <v/>
      </c>
      <c r="E1136" s="62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4" t="inlineStr">
        <is>
          <t>06/09/2024</t>
        </is>
      </c>
      <c r="B1137" s="31" t="n">
        <v>2.5764</v>
      </c>
      <c r="C1137" s="69" t="n"/>
      <c r="D1137" s="70">
        <f t="array" ref="D1137">IF(C1137="","",IFERROR(AVERAGE(_xlfn._xlws.FILTER($B$2:$B$2000,(IFERROR(VALUE(MID($A$2:$A$2000,4,2)),0)=MONTH(C1137))*(IFERROR(VALUE(RIGHT($A$2:$A$2000,4)),0)=YEAR(C1137)))),""))</f>
        <v/>
      </c>
      <c r="E1137" s="62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4" t="inlineStr">
        <is>
          <t>13/09/2024</t>
        </is>
      </c>
      <c r="B1138" s="31" t="n">
        <v>2.4717</v>
      </c>
      <c r="C1138" s="69" t="n"/>
      <c r="D1138" s="70">
        <f t="array" ref="D1138">IF(C1138="","",IFERROR(AVERAGE(_xlfn._xlws.FILTER($B$2:$B$2000,(IFERROR(VALUE(MID($A$2:$A$2000,4,2)),0)=MONTH(C1138))*(IFERROR(VALUE(RIGHT($A$2:$A$2000,4)),0)=YEAR(C1138)))),""))</f>
        <v/>
      </c>
      <c r="E1138" s="62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4" t="inlineStr">
        <is>
          <t>20/09/2024</t>
        </is>
      </c>
      <c r="B1139" s="31" t="n">
        <v>2.4859</v>
      </c>
      <c r="C1139" s="69" t="n"/>
      <c r="D1139" s="70">
        <f t="array" ref="D1139">IF(C1139="","",IFERROR(AVERAGE(_xlfn._xlws.FILTER($B$2:$B$2000,(IFERROR(VALUE(MID($A$2:$A$2000,4,2)),0)=MONTH(C1139))*(IFERROR(VALUE(RIGHT($A$2:$A$2000,4)),0)=YEAR(C1139)))),""))</f>
        <v/>
      </c>
      <c r="E1139" s="62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4" t="inlineStr">
        <is>
          <t>27/09/2024</t>
        </is>
      </c>
      <c r="B1140" s="31" t="n">
        <v>2.5426</v>
      </c>
      <c r="C1140" s="69" t="n"/>
      <c r="D1140" s="70">
        <f t="array" ref="D1140">IF(C1140="","",IFERROR(AVERAGE(_xlfn._xlws.FILTER($B$2:$B$2000,(IFERROR(VALUE(MID($A$2:$A$2000,4,2)),0)=MONTH(C1140))*(IFERROR(VALUE(RIGHT($A$2:$A$2000,4)),0)=YEAR(C1140)))),""))</f>
        <v/>
      </c>
      <c r="E1140" s="62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4" t="inlineStr">
        <is>
          <t>04/10/2024</t>
        </is>
      </c>
      <c r="B1141" s="31" t="n">
        <v>2.4882</v>
      </c>
      <c r="C1141" s="69" t="n"/>
      <c r="D1141" s="70">
        <f t="array" ref="D1141">IF(C1141="","",IFERROR(AVERAGE(_xlfn._xlws.FILTER($B$2:$B$2000,(IFERROR(VALUE(MID($A$2:$A$2000,4,2)),0)=MONTH(C1141))*(IFERROR(VALUE(RIGHT($A$2:$A$2000,4)),0)=YEAR(C1141)))),""))</f>
        <v/>
      </c>
      <c r="E1141" s="62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4" t="inlineStr">
        <is>
          <t>11/10/2024</t>
        </is>
      </c>
      <c r="B1142" s="31" t="n">
        <v>2.5458</v>
      </c>
      <c r="C1142" s="69" t="n"/>
      <c r="D1142" s="70">
        <f t="array" ref="D1142">IF(C1142="","",IFERROR(AVERAGE(_xlfn._xlws.FILTER($B$2:$B$2000,(IFERROR(VALUE(MID($A$2:$A$2000,4,2)),0)=MONTH(C1142))*(IFERROR(VALUE(RIGHT($A$2:$A$2000,4)),0)=YEAR(C1142)))),""))</f>
        <v/>
      </c>
      <c r="E1142" s="62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4" t="inlineStr">
        <is>
          <t>18/10/2024</t>
        </is>
      </c>
      <c r="B1143" s="31" t="n">
        <v>2.5821</v>
      </c>
      <c r="C1143" s="69" t="n"/>
      <c r="D1143" s="70">
        <f t="array" ref="D1143">IF(C1143="","",IFERROR(AVERAGE(_xlfn._xlws.FILTER($B$2:$B$2000,(IFERROR(VALUE(MID($A$2:$A$2000,4,2)),0)=MONTH(C1143))*(IFERROR(VALUE(RIGHT($A$2:$A$2000,4)),0)=YEAR(C1143)))),""))</f>
        <v/>
      </c>
      <c r="E1143" s="62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4" t="inlineStr">
        <is>
          <t>25/10/2024</t>
        </is>
      </c>
      <c r="B1144" s="31" t="n">
        <v>2.5902</v>
      </c>
      <c r="C1144" s="69" t="n"/>
      <c r="D1144" s="70">
        <f t="array" ref="D1144">IF(C1144="","",IFERROR(AVERAGE(_xlfn._xlws.FILTER($B$2:$B$2000,(IFERROR(VALUE(MID($A$2:$A$2000,4,2)),0)=MONTH(C1144))*(IFERROR(VALUE(RIGHT($A$2:$A$2000,4)),0)=YEAR(C1144)))),""))</f>
        <v/>
      </c>
      <c r="E1144" s="62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4" t="inlineStr">
        <is>
          <t>01/11/2024</t>
        </is>
      </c>
      <c r="B1145" s="31" t="n">
        <v>2.5994</v>
      </c>
      <c r="C1145" s="69" t="n"/>
      <c r="D1145" s="70">
        <f t="array" ref="D1145">IF(C1145="","",IFERROR(AVERAGE(_xlfn._xlws.FILTER($B$2:$B$2000,(IFERROR(VALUE(MID($A$2:$A$2000,4,2)),0)=MONTH(C1145))*(IFERROR(VALUE(RIGHT($A$2:$A$2000,4)),0)=YEAR(C1145)))),""))</f>
        <v/>
      </c>
      <c r="E1145" s="62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4" t="inlineStr">
        <is>
          <t>08/11/2024</t>
        </is>
      </c>
      <c r="B1146" s="31" t="n">
        <v>2.5996</v>
      </c>
      <c r="C1146" s="69" t="n"/>
      <c r="D1146" s="70">
        <f t="array" ref="D1146">IF(C1146="","",IFERROR(AVERAGE(_xlfn._xlws.FILTER($B$2:$B$2000,(IFERROR(VALUE(MID($A$2:$A$2000,4,2)),0)=MONTH(C1146))*(IFERROR(VALUE(RIGHT($A$2:$A$2000,4)),0)=YEAR(C1146)))),""))</f>
        <v/>
      </c>
      <c r="E1146" s="62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4" t="inlineStr">
        <is>
          <t>14/11/2024</t>
        </is>
      </c>
      <c r="B1147" s="31" t="n">
        <v>2.6249</v>
      </c>
      <c r="C1147" s="69" t="n"/>
      <c r="D1147" s="70">
        <f t="array" ref="D1147">IF(C1147="","",IFERROR(AVERAGE(_xlfn._xlws.FILTER($B$2:$B$2000,(IFERROR(VALUE(MID($A$2:$A$2000,4,2)),0)=MONTH(C1147))*(IFERROR(VALUE(RIGHT($A$2:$A$2000,4)),0)=YEAR(C1147)))),""))</f>
        <v/>
      </c>
      <c r="E1147" s="62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4" t="inlineStr">
        <is>
          <t>22/11/2024</t>
        </is>
      </c>
      <c r="B1148" s="31" t="n">
        <v>2.6258</v>
      </c>
      <c r="C1148" s="69" t="n"/>
      <c r="D1148" s="70">
        <f t="array" ref="D1148">IF(C1148="","",IFERROR(AVERAGE(_xlfn._xlws.FILTER($B$2:$B$2000,(IFERROR(VALUE(MID($A$2:$A$2000,4,2)),0)=MONTH(C1148))*(IFERROR(VALUE(RIGHT($A$2:$A$2000,4)),0)=YEAR(C1148)))),""))</f>
        <v/>
      </c>
      <c r="E1148" s="62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4" t="inlineStr">
        <is>
          <t>29/11/2024</t>
        </is>
      </c>
      <c r="B1149" s="31" t="n">
        <v>2.6186</v>
      </c>
      <c r="C1149" s="69" t="n"/>
      <c r="D1149" s="70">
        <f t="array" ref="D1149">IF(C1149="","",IFERROR(AVERAGE(_xlfn._xlws.FILTER($B$2:$B$2000,(IFERROR(VALUE(MID($A$2:$A$2000,4,2)),0)=MONTH(C1149))*(IFERROR(VALUE(RIGHT($A$2:$A$2000,4)),0)=YEAR(C1149)))),""))</f>
        <v/>
      </c>
      <c r="E1149" s="62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4" t="inlineStr">
        <is>
          <t>06/12/2024</t>
        </is>
      </c>
      <c r="B1150" s="31" t="n">
        <v>2.6021</v>
      </c>
      <c r="C1150" s="69" t="n"/>
      <c r="D1150" s="70">
        <f t="array" ref="D1150">IF(C1150="","",IFERROR(AVERAGE(_xlfn._xlws.FILTER($B$2:$B$2000,(IFERROR(VALUE(MID($A$2:$A$2000,4,2)),0)=MONTH(C1150))*(IFERROR(VALUE(RIGHT($A$2:$A$2000,4)),0)=YEAR(C1150)))),""))</f>
        <v/>
      </c>
      <c r="E1150" s="62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4" t="inlineStr">
        <is>
          <t>13/12/2024</t>
        </is>
      </c>
      <c r="B1151" s="31" t="n">
        <v>2.5985</v>
      </c>
      <c r="C1151" s="69" t="n"/>
      <c r="D1151" s="70">
        <f t="array" ref="D1151">IF(C1151="","",IFERROR(AVERAGE(_xlfn._xlws.FILTER($B$2:$B$2000,(IFERROR(VALUE(MID($A$2:$A$2000,4,2)),0)=MONTH(C1151))*(IFERROR(VALUE(RIGHT($A$2:$A$2000,4)),0)=YEAR(C1151)))),""))</f>
        <v/>
      </c>
      <c r="E1151" s="62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4" t="inlineStr">
        <is>
          <t>20/12/2024</t>
        </is>
      </c>
      <c r="B1152" s="31" t="n">
        <v>2.6044</v>
      </c>
      <c r="C1152" s="69" t="n"/>
      <c r="D1152" s="70">
        <f t="array" ref="D1152">IF(C1152="","",IFERROR(AVERAGE(_xlfn._xlws.FILTER($B$2:$B$2000,(IFERROR(VALUE(MID($A$2:$A$2000,4,2)),0)=MONTH(C1152))*(IFERROR(VALUE(RIGHT($A$2:$A$2000,4)),0)=YEAR(C1152)))),""))</f>
        <v/>
      </c>
      <c r="E1152" s="62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4" t="inlineStr">
        <is>
          <t>27/12/2024</t>
        </is>
      </c>
      <c r="B1153" s="31" t="n">
        <v>2.6173</v>
      </c>
      <c r="C1153" s="69" t="n"/>
      <c r="D1153" s="70">
        <f t="array" ref="D1153">IF(C1153="","",IFERROR(AVERAGE(_xlfn._xlws.FILTER($B$2:$B$2000,(IFERROR(VALUE(MID($A$2:$A$2000,4,2)),0)=MONTH(C1153))*(IFERROR(VALUE(RIGHT($A$2:$A$2000,4)),0)=YEAR(C1153)))),""))</f>
        <v/>
      </c>
      <c r="E1153" s="62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4" t="inlineStr">
        <is>
          <t>03/01/2025</t>
        </is>
      </c>
      <c r="B1154" s="31" t="n">
        <v>2.6362</v>
      </c>
      <c r="C1154" s="69" t="n"/>
      <c r="D1154" s="70">
        <f t="array" ref="D1154">IF(C1154="","",IFERROR(AVERAGE(_xlfn._xlws.FILTER($B$2:$B$2000,(IFERROR(VALUE(MID($A$2:$A$2000,4,2)),0)=MONTH(C1154))*(IFERROR(VALUE(RIGHT($A$2:$A$2000,4)),0)=YEAR(C1154)))),""))</f>
        <v/>
      </c>
      <c r="E1154" s="62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4" t="inlineStr">
        <is>
          <t>10/01/2025</t>
        </is>
      </c>
      <c r="B1155" s="31" t="n">
        <v>2.7022</v>
      </c>
      <c r="C1155" s="69" t="n"/>
      <c r="D1155" s="70">
        <f t="array" ref="D1155">IF(C1155="","",IFERROR(AVERAGE(_xlfn._xlws.FILTER($B$2:$B$2000,(IFERROR(VALUE(MID($A$2:$A$2000,4,2)),0)=MONTH(C1155))*(IFERROR(VALUE(RIGHT($A$2:$A$2000,4)),0)=YEAR(C1155)))),""))</f>
        <v/>
      </c>
      <c r="E1155" s="62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4" t="inlineStr">
        <is>
          <t>17/01/2025</t>
        </is>
      </c>
      <c r="B1156" s="31" t="n">
        <v>2.7536</v>
      </c>
      <c r="C1156" s="69" t="n"/>
      <c r="D1156" s="70">
        <f t="array" ref="D1156">IF(C1156="","",IFERROR(AVERAGE(_xlfn._xlws.FILTER($B$2:$B$2000,(IFERROR(VALUE(MID($A$2:$A$2000,4,2)),0)=MONTH(C1156))*(IFERROR(VALUE(RIGHT($A$2:$A$2000,4)),0)=YEAR(C1156)))),""))</f>
        <v/>
      </c>
      <c r="E1156" s="62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4" t="inlineStr">
        <is>
          <t>24/01/2025</t>
        </is>
      </c>
      <c r="B1157" s="31" t="n">
        <v>2.7773</v>
      </c>
      <c r="C1157" s="69" t="n"/>
      <c r="D1157" s="70">
        <f t="array" ref="D1157">IF(C1157="","",IFERROR(AVERAGE(_xlfn._xlws.FILTER($B$2:$B$2000,(IFERROR(VALUE(MID($A$2:$A$2000,4,2)),0)=MONTH(C1157))*(IFERROR(VALUE(RIGHT($A$2:$A$2000,4)),0)=YEAR(C1157)))),""))</f>
        <v/>
      </c>
      <c r="E1157" s="62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4" t="inlineStr">
        <is>
          <t>31/01/2025</t>
        </is>
      </c>
      <c r="B1158" s="31" t="n">
        <v>2.7858</v>
      </c>
      <c r="C1158" s="69" t="n"/>
      <c r="D1158" s="70">
        <f t="array" ref="D1158">IF(C1158="","",IFERROR(AVERAGE(_xlfn._xlws.FILTER($B$2:$B$2000,(IFERROR(VALUE(MID($A$2:$A$2000,4,2)),0)=MONTH(C1158))*(IFERROR(VALUE(RIGHT($A$2:$A$2000,4)),0)=YEAR(C1158)))),""))</f>
        <v/>
      </c>
      <c r="E1158" s="62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4" t="inlineStr">
        <is>
          <t>07/02/2025</t>
        </is>
      </c>
      <c r="B1159" s="31" t="n">
        <v>2.7673</v>
      </c>
      <c r="C1159" s="69" t="n"/>
      <c r="D1159" s="70">
        <f t="array" ref="D1159">IF(C1159="","",IFERROR(AVERAGE(_xlfn._xlws.FILTER($B$2:$B$2000,(IFERROR(VALUE(MID($A$2:$A$2000,4,2)),0)=MONTH(C1159))*(IFERROR(VALUE(RIGHT($A$2:$A$2000,4)),0)=YEAR(C1159)))),""))</f>
        <v/>
      </c>
      <c r="E1159" s="62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4" t="inlineStr">
        <is>
          <t>14/02/2025</t>
        </is>
      </c>
      <c r="B1160" s="31" t="n">
        <v>2.7872</v>
      </c>
      <c r="C1160" s="69" t="n"/>
      <c r="D1160" s="70">
        <f t="array" ref="D1160">IF(C1160="","",IFERROR(AVERAGE(_xlfn._xlws.FILTER($B$2:$B$2000,(IFERROR(VALUE(MID($A$2:$A$2000,4,2)),0)=MONTH(C1160))*(IFERROR(VALUE(RIGHT($A$2:$A$2000,4)),0)=YEAR(C1160)))),""))</f>
        <v/>
      </c>
      <c r="E1160" s="62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4" t="inlineStr">
        <is>
          <t>21/02/2025</t>
        </is>
      </c>
      <c r="B1161" s="31" t="n">
        <v>2.7835</v>
      </c>
      <c r="C1161" s="69" t="n"/>
      <c r="D1161" s="70">
        <f t="array" ref="D1161">IF(C1161="","",IFERROR(AVERAGE(_xlfn._xlws.FILTER($B$2:$B$2000,(IFERROR(VALUE(MID($A$2:$A$2000,4,2)),0)=MONTH(C1161))*(IFERROR(VALUE(RIGHT($A$2:$A$2000,4)),0)=YEAR(C1161)))),""))</f>
        <v/>
      </c>
      <c r="E1161" s="62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4" t="inlineStr">
        <is>
          <t>28/02/2025</t>
        </is>
      </c>
      <c r="B1162" s="31" t="n">
        <v>2.7855</v>
      </c>
      <c r="C1162" s="69" t="n"/>
      <c r="D1162" s="70">
        <f t="array" ref="D1162">IF(C1162="","",IFERROR(AVERAGE(_xlfn._xlws.FILTER($B$2:$B$2000,(IFERROR(VALUE(MID($A$2:$A$2000,4,2)),0)=MONTH(C1162))*(IFERROR(VALUE(RIGHT($A$2:$A$2000,4)),0)=YEAR(C1162)))),""))</f>
        <v/>
      </c>
      <c r="E1162" s="62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4" t="inlineStr">
        <is>
          <t>07/03/2025</t>
        </is>
      </c>
      <c r="B1163" s="31" t="n">
        <v>2.7835</v>
      </c>
      <c r="C1163" s="69" t="n"/>
      <c r="D1163" s="70">
        <f t="array" ref="D1163">IF(C1163="","",IFERROR(AVERAGE(_xlfn._xlws.FILTER($B$2:$B$2000,(IFERROR(VALUE(MID($A$2:$A$2000,4,2)),0)=MONTH(C1163))*(IFERROR(VALUE(RIGHT($A$2:$A$2000,4)),0)=YEAR(C1163)))),""))</f>
        <v/>
      </c>
      <c r="E1163" s="62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4" t="inlineStr">
        <is>
          <t>14/03/2025</t>
        </is>
      </c>
      <c r="B1164" s="31" t="n">
        <v>2.7677</v>
      </c>
      <c r="C1164" s="69" t="n"/>
      <c r="D1164" s="70">
        <f t="array" ref="D1164">IF(C1164="","",IFERROR(AVERAGE(_xlfn._xlws.FILTER($B$2:$B$2000,(IFERROR(VALUE(MID($A$2:$A$2000,4,2)),0)=MONTH(C1164))*(IFERROR(VALUE(RIGHT($A$2:$A$2000,4)),0)=YEAR(C1164)))),""))</f>
        <v/>
      </c>
      <c r="E1164" s="62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4" t="inlineStr">
        <is>
          <t>21/03/2025</t>
        </is>
      </c>
      <c r="B1165" s="31" t="n">
        <v>2.7018</v>
      </c>
      <c r="C1165" s="69" t="n"/>
      <c r="D1165" s="70">
        <f t="array" ref="D1165">IF(C1165="","",IFERROR(AVERAGE(_xlfn._xlws.FILTER($B$2:$B$2000,(IFERROR(VALUE(MID($A$2:$A$2000,4,2)),0)=MONTH(C1165))*(IFERROR(VALUE(RIGHT($A$2:$A$2000,4)),0)=YEAR(C1165)))),""))</f>
        <v/>
      </c>
      <c r="E1165" s="62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4" t="inlineStr">
        <is>
          <t>28/03/2025</t>
        </is>
      </c>
      <c r="B1166" s="31" t="n">
        <v>2.6765</v>
      </c>
      <c r="C1166" s="69" t="n"/>
      <c r="D1166" s="70">
        <f t="array" ref="D1166">IF(C1166="","",IFERROR(AVERAGE(_xlfn._xlws.FILTER($B$2:$B$2000,(IFERROR(VALUE(MID($A$2:$A$2000,4,2)),0)=MONTH(C1166))*(IFERROR(VALUE(RIGHT($A$2:$A$2000,4)),0)=YEAR(C1166)))),""))</f>
        <v/>
      </c>
      <c r="E1166" s="62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4" t="inlineStr">
        <is>
          <t>04/04/2025</t>
        </is>
      </c>
      <c r="B1167" s="31" t="n">
        <v>2.6783</v>
      </c>
      <c r="C1167" s="69" t="n"/>
      <c r="D1167" s="70">
        <f t="array" ref="D1167">IF(C1167="","",IFERROR(AVERAGE(_xlfn._xlws.FILTER($B$2:$B$2000,(IFERROR(VALUE(MID($A$2:$A$2000,4,2)),0)=MONTH(C1167))*(IFERROR(VALUE(RIGHT($A$2:$A$2000,4)),0)=YEAR(C1167)))),""))</f>
        <v/>
      </c>
      <c r="E1167" s="62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4" t="inlineStr">
        <is>
          <t>11/04/2025</t>
        </is>
      </c>
      <c r="B1168" s="31" t="n">
        <v>2.6843</v>
      </c>
      <c r="C1168" s="69" t="n"/>
      <c r="D1168" s="70">
        <f t="array" ref="D1168">IF(C1168="","",IFERROR(AVERAGE(_xlfn._xlws.FILTER($B$2:$B$2000,(IFERROR(VALUE(MID($A$2:$A$2000,4,2)),0)=MONTH(C1168))*(IFERROR(VALUE(RIGHT($A$2:$A$2000,4)),0)=YEAR(C1168)))),""))</f>
        <v/>
      </c>
      <c r="E1168" s="62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4" t="inlineStr">
        <is>
          <t>17/04/2025</t>
        </is>
      </c>
      <c r="B1169" s="31" t="n">
        <v>2.6531</v>
      </c>
      <c r="C1169" s="69" t="n"/>
      <c r="D1169" s="70">
        <f t="array" ref="D1169">IF(C1169="","",IFERROR(AVERAGE(_xlfn._xlws.FILTER($B$2:$B$2000,(IFERROR(VALUE(MID($A$2:$A$2000,4,2)),0)=MONTH(C1169))*(IFERROR(VALUE(RIGHT($A$2:$A$2000,4)),0)=YEAR(C1169)))),""))</f>
        <v/>
      </c>
      <c r="E1169" s="62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4" t="inlineStr">
        <is>
          <t>25/04/2025</t>
        </is>
      </c>
      <c r="B1170" s="31" t="n">
        <v>2.6472</v>
      </c>
      <c r="C1170" s="69" t="n"/>
      <c r="D1170" s="70">
        <f t="array" ref="D1170">IF(C1170="","",IFERROR(AVERAGE(_xlfn._xlws.FILTER($B$2:$B$2000,(IFERROR(VALUE(MID($A$2:$A$2000,4,2)),0)=MONTH(C1170))*(IFERROR(VALUE(RIGHT($A$2:$A$2000,4)),0)=YEAR(C1170)))),""))</f>
        <v/>
      </c>
      <c r="E1170" s="62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4" t="inlineStr">
        <is>
          <t>02/05/2025</t>
        </is>
      </c>
      <c r="B1171" s="31" t="n">
        <v>2.6705</v>
      </c>
      <c r="C1171" s="69" t="n"/>
      <c r="D1171" s="70">
        <f t="array" ref="D1171">IF(C1171="","",IFERROR(AVERAGE(_xlfn._xlws.FILTER($B$2:$B$2000,(IFERROR(VALUE(MID($A$2:$A$2000,4,2)),0)=MONTH(C1171))*(IFERROR(VALUE(RIGHT($A$2:$A$2000,4)),0)=YEAR(C1171)))),""))</f>
        <v/>
      </c>
      <c r="E1171" s="62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4" t="inlineStr">
        <is>
          <t>09/05/2025</t>
        </is>
      </c>
      <c r="B1172" s="31" t="n">
        <v>2.6756</v>
      </c>
      <c r="C1172" s="69" t="n"/>
      <c r="D1172" s="70">
        <f t="array" ref="D1172">IF(C1172="","",IFERROR(AVERAGE(_xlfn._xlws.FILTER($B$2:$B$2000,(IFERROR(VALUE(MID($A$2:$A$2000,4,2)),0)=MONTH(C1172))*(IFERROR(VALUE(RIGHT($A$2:$A$2000,4)),0)=YEAR(C1172)))),""))</f>
        <v/>
      </c>
      <c r="E1172" s="62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4" t="inlineStr">
        <is>
          <t>16/05/2025</t>
        </is>
      </c>
      <c r="B1173" s="31" t="n">
        <v>2.6602</v>
      </c>
      <c r="C1173" s="69" t="n"/>
      <c r="D1173" s="70">
        <f t="array" ref="D1173">IF(C1173="","",IFERROR(AVERAGE(_xlfn._xlws.FILTER($B$2:$B$2000,(IFERROR(VALUE(MID($A$2:$A$2000,4,2)),0)=MONTH(C1173))*(IFERROR(VALUE(RIGHT($A$2:$A$2000,4)),0)=YEAR(C1173)))),""))</f>
        <v/>
      </c>
      <c r="E1173" s="62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4" t="inlineStr">
        <is>
          <t>23/05/2025</t>
        </is>
      </c>
      <c r="B1174" s="31" t="n">
        <v>2.6386</v>
      </c>
      <c r="C1174" s="69" t="n"/>
      <c r="D1174" s="70">
        <f t="array" ref="D1174">IF(C1174="","",IFERROR(AVERAGE(_xlfn._xlws.FILTER($B$2:$B$2000,(IFERROR(VALUE(MID($A$2:$A$2000,4,2)),0)=MONTH(C1174))*(IFERROR(VALUE(RIGHT($A$2:$A$2000,4)),0)=YEAR(C1174)))),""))</f>
        <v/>
      </c>
      <c r="E1174" s="62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4" t="inlineStr">
        <is>
          <t>30/05/2025</t>
        </is>
      </c>
      <c r="B1175" s="31" t="n">
        <v>2.564</v>
      </c>
      <c r="C1175" s="69" t="n"/>
      <c r="D1175" s="70">
        <f t="array" ref="D1175">IF(C1175="","",IFERROR(AVERAGE(_xlfn._xlws.FILTER($B$2:$B$2000,(IFERROR(VALUE(MID($A$2:$A$2000,4,2)),0)=MONTH(C1175))*(IFERROR(VALUE(RIGHT($A$2:$A$2000,4)),0)=YEAR(C1175)))),""))</f>
        <v/>
      </c>
      <c r="E1175" s="62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4" t="inlineStr">
        <is>
          <t>06/06/2025</t>
        </is>
      </c>
      <c r="B1176" s="31" t="n">
        <v>2.5468</v>
      </c>
      <c r="C1176" s="69" t="n"/>
      <c r="D1176" s="70">
        <f t="array" ref="D1176">IF(C1176="","",IFERROR(AVERAGE(_xlfn._xlws.FILTER($B$2:$B$2000,(IFERROR(VALUE(MID($A$2:$A$2000,4,2)),0)=MONTH(C1176))*(IFERROR(VALUE(RIGHT($A$2:$A$2000,4)),0)=YEAR(C1176)))),""))</f>
        <v/>
      </c>
      <c r="E1176" s="62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4" t="inlineStr">
        <is>
          <t>13/06/2025</t>
        </is>
      </c>
      <c r="B1177" s="31" t="n">
        <v>2.538</v>
      </c>
      <c r="C1177" s="69" t="n"/>
      <c r="D1177" s="70">
        <f t="array" ref="D1177">IF(C1177="","",IFERROR(AVERAGE(_xlfn._xlws.FILTER($B$2:$B$2000,(IFERROR(VALUE(MID($A$2:$A$2000,4,2)),0)=MONTH(C1177))*(IFERROR(VALUE(RIGHT($A$2:$A$2000,4)),0)=YEAR(C1177)))),""))</f>
        <v/>
      </c>
      <c r="E1177" s="62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4" t="inlineStr">
        <is>
          <t>20/06/2025</t>
        </is>
      </c>
      <c r="B1178" s="31" t="n">
        <v>2.5671</v>
      </c>
      <c r="C1178" s="69" t="n"/>
      <c r="D1178" s="70">
        <f t="array" ref="D1178">IF(C1178="","",IFERROR(AVERAGE(_xlfn._xlws.FILTER($B$2:$B$2000,(IFERROR(VALUE(MID($A$2:$A$2000,4,2)),0)=MONTH(C1178))*(IFERROR(VALUE(RIGHT($A$2:$A$2000,4)),0)=YEAR(C1178)))),""))</f>
        <v/>
      </c>
      <c r="E1178" s="62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4" t="inlineStr">
        <is>
          <t>27/06/2025</t>
        </is>
      </c>
      <c r="B1179" s="31" t="n">
        <v>2.6074</v>
      </c>
      <c r="C1179" s="69" t="n"/>
      <c r="D1179" s="70">
        <f t="array" ref="D1179">IF(C1179="","",IFERROR(AVERAGE(_xlfn._xlws.FILTER($B$2:$B$2000,(IFERROR(VALUE(MID($A$2:$A$2000,4,2)),0)=MONTH(C1179))*(IFERROR(VALUE(RIGHT($A$2:$A$2000,4)),0)=YEAR(C1179)))),""))</f>
        <v/>
      </c>
      <c r="E1179" s="62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4" t="inlineStr">
        <is>
          <t>04/07/2025</t>
        </is>
      </c>
      <c r="B1180" s="31" t="n">
        <v>2.6232</v>
      </c>
      <c r="C1180" s="69" t="n"/>
      <c r="D1180" s="70">
        <f t="array" ref="D1180">IF(C1180="","",IFERROR(AVERAGE(_xlfn._xlws.FILTER($B$2:$B$2000,(IFERROR(VALUE(MID($A$2:$A$2000,4,2)),0)=MONTH(C1180))*(IFERROR(VALUE(RIGHT($A$2:$A$2000,4)),0)=YEAR(C1180)))),""))</f>
        <v/>
      </c>
      <c r="E1180" s="62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4" t="inlineStr">
        <is>
          <t>11/07/2025</t>
        </is>
      </c>
      <c r="B1181" s="31" t="n">
        <v>2.5694</v>
      </c>
      <c r="C1181" s="69" t="n"/>
      <c r="D1181" s="70">
        <f t="array" ref="D1181">IF(C1181="","",IFERROR(AVERAGE(_xlfn._xlws.FILTER($B$2:$B$2000,(IFERROR(VALUE(MID($A$2:$A$2000,4,2)),0)=MONTH(C1181))*(IFERROR(VALUE(RIGHT($A$2:$A$2000,4)),0)=YEAR(C1181)))),""))</f>
        <v/>
      </c>
      <c r="E1181" s="62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4" t="inlineStr">
        <is>
          <t>18/07/2025</t>
        </is>
      </c>
      <c r="B1182" s="31" t="n">
        <v>2.5411</v>
      </c>
      <c r="C1182" s="69" t="n"/>
      <c r="D1182" s="70">
        <f t="array" ref="D1182">IF(C1182="","",IFERROR(AVERAGE(_xlfn._xlws.FILTER($B$2:$B$2000,(IFERROR(VALUE(MID($A$2:$A$2000,4,2)),0)=MONTH(C1182))*(IFERROR(VALUE(RIGHT($A$2:$A$2000,4)),0)=YEAR(C1182)))),""))</f>
        <v/>
      </c>
      <c r="E1182" s="62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4" t="inlineStr">
        <is>
          <t>25/07/2025</t>
        </is>
      </c>
      <c r="B1183" s="31" t="n">
        <v>2.5621</v>
      </c>
      <c r="C1183" s="69" t="n"/>
      <c r="D1183" s="70">
        <f t="array" ref="D1183">IF(C1183="","",IFERROR(AVERAGE(_xlfn._xlws.FILTER($B$2:$B$2000,(IFERROR(VALUE(MID($A$2:$A$2000,4,2)),0)=MONTH(C1183))*(IFERROR(VALUE(RIGHT($A$2:$A$2000,4)),0)=YEAR(C1183)))),""))</f>
        <v/>
      </c>
      <c r="E1183" s="62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4" t="inlineStr">
        <is>
          <t>01/08/2025</t>
        </is>
      </c>
      <c r="B1184" s="31" t="n">
        <v>2.6323</v>
      </c>
      <c r="C1184" s="69" t="n"/>
      <c r="D1184" s="70">
        <f t="array" ref="D1184">IF(C1184="","",IFERROR(AVERAGE(_xlfn._xlws.FILTER($B$2:$B$2000,(IFERROR(VALUE(MID($A$2:$A$2000,4,2)),0)=MONTH(C1184))*(IFERROR(VALUE(RIGHT($A$2:$A$2000,4)),0)=YEAR(C1184)))),""))</f>
        <v/>
      </c>
      <c r="E1184" s="62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4" t="inlineStr">
        <is>
          <t>08/08/2025</t>
        </is>
      </c>
      <c r="B1185" s="31" t="n">
        <v>2.638</v>
      </c>
      <c r="C1185" s="69" t="n"/>
      <c r="D1185" s="70">
        <f t="array" ref="D1185">IF(C1185="","",IFERROR(AVERAGE(_xlfn._xlws.FILTER($B$2:$B$2000,(IFERROR(VALUE(MID($A$2:$A$2000,4,2)),0)=MONTH(C1185))*(IFERROR(VALUE(RIGHT($A$2:$A$2000,4)),0)=YEAR(C1185)))),""))</f>
        <v/>
      </c>
      <c r="E1185" s="62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4" t="inlineStr">
        <is>
          <t>15/08/2025</t>
        </is>
      </c>
      <c r="B1186" s="31" t="n">
        <v>2.6636</v>
      </c>
      <c r="C1186" s="69" t="n"/>
      <c r="D1186" s="70">
        <f t="array" ref="D1186">IF(C1186="","",IFERROR(AVERAGE(_xlfn._xlws.FILTER($B$2:$B$2000,(IFERROR(VALUE(MID($A$2:$A$2000,4,2)),0)=MONTH(C1186))*(IFERROR(VALUE(RIGHT($A$2:$A$2000,4)),0)=YEAR(C1186)))),""))</f>
        <v/>
      </c>
      <c r="E1186" s="62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4" t="inlineStr">
        <is>
          <t>22/08/2025</t>
        </is>
      </c>
      <c r="B1187" s="31" t="n">
        <v>2.6915</v>
      </c>
      <c r="C1187" s="69" t="n"/>
      <c r="D1187" s="70">
        <f t="array" ref="D1187">IF(C1187="","",IFERROR(AVERAGE(_xlfn._xlws.FILTER($B$2:$B$2000,(IFERROR(VALUE(MID($A$2:$A$2000,4,2)),0)=MONTH(C1187))*(IFERROR(VALUE(RIGHT($A$2:$A$2000,4)),0)=YEAR(C1187)))),""))</f>
        <v/>
      </c>
      <c r="E1187" s="62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4" t="inlineStr">
        <is>
          <t>29/08/2025</t>
        </is>
      </c>
      <c r="B1188" s="31" t="n">
        <v>2.75</v>
      </c>
      <c r="C1188" s="69" t="n"/>
      <c r="D1188" s="70">
        <f t="array" ref="D1188">IF(C1188="","",IFERROR(AVERAGE(_xlfn._xlws.FILTER($B$2:$B$2000,(IFERROR(VALUE(MID($A$2:$A$2000,4,2)),0)=MONTH(C1188))*(IFERROR(VALUE(RIGHT($A$2:$A$2000,4)),0)=YEAR(C1188)))),""))</f>
        <v/>
      </c>
      <c r="E1188" s="62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4" t="inlineStr">
        <is>
          <t>05/09/2025</t>
        </is>
      </c>
      <c r="B1189" s="31" t="n">
        <v>2.7803</v>
      </c>
      <c r="C1189" s="69" t="n"/>
      <c r="D1189" s="70">
        <f t="array" ref="D1189">IF(C1189="","",IFERROR(AVERAGE(_xlfn._xlws.FILTER($B$2:$B$2000,(IFERROR(VALUE(MID($A$2:$A$2000,4,2)),0)=MONTH(C1189))*(IFERROR(VALUE(RIGHT($A$2:$A$2000,4)),0)=YEAR(C1189)))),""))</f>
        <v/>
      </c>
      <c r="E1189" s="62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4" t="inlineStr">
        <is>
          <t>12/09/2025</t>
        </is>
      </c>
      <c r="B1190" s="31" t="n">
        <v>2.7785</v>
      </c>
      <c r="C1190" s="69" t="n"/>
      <c r="D1190" s="70">
        <f t="array" ref="D1190">IF(C1190="","",IFERROR(AVERAGE(_xlfn._xlws.FILTER($B$2:$B$2000,(IFERROR(VALUE(MID($A$2:$A$2000,4,2)),0)=MONTH(C1190))*(IFERROR(VALUE(RIGHT($A$2:$A$2000,4)),0)=YEAR(C1190)))),""))</f>
        <v/>
      </c>
      <c r="E1190" s="62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4" t="inlineStr">
        <is>
          <t>19/09/2025</t>
        </is>
      </c>
      <c r="B1191" s="31" t="n">
        <v>2.7443</v>
      </c>
      <c r="C1191" s="69" t="n"/>
      <c r="D1191" s="70">
        <f t="array" ref="D1191">IF(C1191="","",IFERROR(AVERAGE(_xlfn._xlws.FILTER($B$2:$B$2000,(IFERROR(VALUE(MID($A$2:$A$2000,4,2)),0)=MONTH(C1191))*(IFERROR(VALUE(RIGHT($A$2:$A$2000,4)),0)=YEAR(C1191)))),""))</f>
        <v/>
      </c>
      <c r="E1191" s="62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4" t="inlineStr">
        <is>
          <t>26/09/2025</t>
        </is>
      </c>
      <c r="B1192" s="31" t="n">
        <v>2.7388</v>
      </c>
      <c r="C1192" s="69" t="n"/>
      <c r="D1192" s="70">
        <f t="array" ref="D1192">IF(C1192="","",IFERROR(AVERAGE(_xlfn._xlws.FILTER($B$2:$B$2000,(IFERROR(VALUE(MID($A$2:$A$2000,4,2)),0)=MONTH(C1192))*(IFERROR(VALUE(RIGHT($A$2:$A$2000,4)),0)=YEAR(C1192)))),""))</f>
        <v/>
      </c>
      <c r="E1192" s="62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4" t="inlineStr">
        <is>
          <t>03/10/2025</t>
        </is>
      </c>
      <c r="B1193" s="31" t="n">
        <v>2.7335</v>
      </c>
      <c r="C1193" s="69" t="n"/>
      <c r="D1193" s="70">
        <f t="array" ref="D1193">IF(C1193="","",IFERROR(AVERAGE(_xlfn._xlws.FILTER($B$2:$B$2000,(IFERROR(VALUE(MID($A$2:$A$2000,4,2)),0)=MONTH(C1193))*(IFERROR(VALUE(RIGHT($A$2:$A$2000,4)),0)=YEAR(C1193)))),""))</f>
        <v/>
      </c>
      <c r="E1193" s="62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4" t="inlineStr">
        <is>
          <t>10/10/2025</t>
        </is>
      </c>
      <c r="B1194" s="31" t="n">
        <v>2.7227</v>
      </c>
      <c r="C1194" s="69" t="n"/>
      <c r="D1194" s="70">
        <f t="array" ref="D1194">IF(C1194="","",IFERROR(AVERAGE(_xlfn._xlws.FILTER($B$2:$B$2000,(IFERROR(VALUE(MID($A$2:$A$2000,4,2)),0)=MONTH(C1194))*(IFERROR(VALUE(RIGHT($A$2:$A$2000,4)),0)=YEAR(C1194)))),""))</f>
        <v/>
      </c>
      <c r="E1194" s="62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4" t="inlineStr">
        <is>
          <t>17/10/2025</t>
        </is>
      </c>
      <c r="B1195" s="31" t="n">
        <v>2.7436</v>
      </c>
      <c r="C1195" s="69" t="n"/>
      <c r="D1195" s="70">
        <f t="array" ref="D1195">IF(C1195="","",IFERROR(AVERAGE(_xlfn._xlws.FILTER($B$2:$B$2000,(IFERROR(VALUE(MID($A$2:$A$2000,4,2)),0)=MONTH(C1195))*(IFERROR(VALUE(RIGHT($A$2:$A$2000,4)),0)=YEAR(C1195)))),""))</f>
        <v/>
      </c>
      <c r="E1195" s="62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4" t="inlineStr">
        <is>
          <t>24/10/2025</t>
        </is>
      </c>
      <c r="B1196" s="31" t="n">
        <v>2.7599</v>
      </c>
      <c r="C1196" s="69" t="n"/>
      <c r="D1196" s="70">
        <f t="array" ref="D1196">IF(C1196="","",IFERROR(AVERAGE(_xlfn._xlws.FILTER($B$2:$B$2000,(IFERROR(VALUE(MID($A$2:$A$2000,4,2)),0)=MONTH(C1196))*(IFERROR(VALUE(RIGHT($A$2:$A$2000,4)),0)=YEAR(C1196)))),""))</f>
        <v/>
      </c>
      <c r="E1196" s="62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4" t="inlineStr">
        <is>
          <t>31/10/2025</t>
        </is>
      </c>
      <c r="B1197" s="31" t="n">
        <v>2.7853</v>
      </c>
      <c r="C1197" s="69" t="n"/>
      <c r="D1197" s="70">
        <f t="array" ref="D1197">IF(C1197="","",IFERROR(AVERAGE(_xlfn._xlws.FILTER($B$2:$B$2000,(IFERROR(VALUE(MID($A$2:$A$2000,4,2)),0)=MONTH(C1197))*(IFERROR(VALUE(RIGHT($A$2:$A$2000,4)),0)=YEAR(C1197)))),""))</f>
        <v/>
      </c>
      <c r="E1197" s="62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4" t="inlineStr">
        <is>
          <t>07/11/2025</t>
        </is>
      </c>
      <c r="B1198" s="31" t="n">
        <v>2.7994</v>
      </c>
      <c r="C1198" s="69" t="n"/>
      <c r="D1198" s="70">
        <f t="array" ref="D1198">IF(C1198="","",IFERROR(AVERAGE(_xlfn._xlws.FILTER($B$2:$B$2000,(IFERROR(VALUE(MID($A$2:$A$2000,4,2)),0)=MONTH(C1198))*(IFERROR(VALUE(RIGHT($A$2:$A$2000,4)),0)=YEAR(C1198)))),""))</f>
        <v/>
      </c>
      <c r="E1198" s="62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4" t="inlineStr">
        <is>
          <t>14/11/2025</t>
        </is>
      </c>
      <c r="B1199" s="31" t="n">
        <v>2.8233</v>
      </c>
      <c r="C1199" s="69" t="n"/>
      <c r="D1199" s="70">
        <f t="array" ref="D1199">IF(C1199="","",IFERROR(AVERAGE(_xlfn._xlws.FILTER($B$2:$B$2000,(IFERROR(VALUE(MID($A$2:$A$2000,4,2)),0)=MONTH(C1199))*(IFERROR(VALUE(RIGHT($A$2:$A$2000,4)),0)=YEAR(C1199)))),""))</f>
        <v/>
      </c>
      <c r="E1199" s="62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4" t="inlineStr">
        <is>
          <t>21/11/2025</t>
        </is>
      </c>
      <c r="B1200" s="31" t="n">
        <v>2.8551</v>
      </c>
      <c r="C1200" s="69" t="n"/>
      <c r="D1200" s="70">
        <f t="array" ref="D1200">IF(C1200="","",IFERROR(AVERAGE(_xlfn._xlws.FILTER($B$2:$B$2000,(IFERROR(VALUE(MID($A$2:$A$2000,4,2)),0)=MONTH(C1200))*(IFERROR(VALUE(RIGHT($A$2:$A$2000,4)),0)=YEAR(C1200)))),""))</f>
        <v/>
      </c>
      <c r="E1200" s="62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4" t="inlineStr">
        <is>
          <t>28/11/2025</t>
        </is>
      </c>
      <c r="B1201" s="31" t="n">
        <v>2.865</v>
      </c>
      <c r="C1201" s="69" t="n"/>
      <c r="D1201" s="70">
        <f t="array" ref="D1201">IF(C1201="","",IFERROR(AVERAGE(_xlfn._xlws.FILTER($B$2:$B$2000,(IFERROR(VALUE(MID($A$2:$A$2000,4,2)),0)=MONTH(C1201))*(IFERROR(VALUE(RIGHT($A$2:$A$2000,4)),0)=YEAR(C1201)))),""))</f>
        <v/>
      </c>
      <c r="E1201" s="62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4" t="inlineStr">
        <is>
          <t>05/12/2025</t>
        </is>
      </c>
      <c r="B1202" s="31" t="n">
        <v>2.8853</v>
      </c>
      <c r="C1202" s="69" t="n"/>
      <c r="D1202" s="70">
        <f t="array" ref="D1202">IF(C1202="","",IFERROR(AVERAGE(_xlfn._xlws.FILTER($B$2:$B$2000,(IFERROR(VALUE(MID($A$2:$A$2000,4,2)),0)=MONTH(C1202))*(IFERROR(VALUE(RIGHT($A$2:$A$2000,4)),0)=YEAR(C1202)))),""))</f>
        <v/>
      </c>
      <c r="E1202" s="62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4" t="inlineStr">
        <is>
          <t>12/12/2025</t>
        </is>
      </c>
      <c r="B1203" s="31" t="n">
        <v>2.9092</v>
      </c>
      <c r="C1203" s="69" t="n"/>
      <c r="D1203" s="70">
        <f t="array" ref="D1203">IF(C1203="","",IFERROR(AVERAGE(_xlfn._xlws.FILTER($B$2:$B$2000,(IFERROR(VALUE(MID($A$2:$A$2000,4,2)),0)=MONTH(C1203))*(IFERROR(VALUE(RIGHT($A$2:$A$2000,4)),0)=YEAR(C1203)))),""))</f>
        <v/>
      </c>
      <c r="E1203" s="62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4" t="inlineStr">
        <is>
          <t>19/12/2025</t>
        </is>
      </c>
      <c r="B1204" s="31" t="n">
        <v>2.9177</v>
      </c>
      <c r="C1204" s="69" t="n"/>
      <c r="D1204" s="70">
        <f t="array" ref="D1204">IF(C1204="","",IFERROR(AVERAGE(_xlfn._xlws.FILTER($B$2:$B$2000,(IFERROR(VALUE(MID($A$2:$A$2000,4,2)),0)=MONTH(C1204))*(IFERROR(VALUE(RIGHT($A$2:$A$2000,4)),0)=YEAR(C1204)))),""))</f>
        <v/>
      </c>
      <c r="E1204" s="62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4" t="inlineStr">
        <is>
          <t>26/12/2025</t>
        </is>
      </c>
      <c r="B1205" s="31" t="n">
        <v>2.9296</v>
      </c>
      <c r="C1205" s="69" t="n"/>
      <c r="D1205" s="70">
        <f t="array" ref="D1205">IF(C1205="","",IFERROR(AVERAGE(_xlfn._xlws.FILTER($B$2:$B$2000,(IFERROR(VALUE(MID($A$2:$A$2000,4,2)),0)=MONTH(C1205))*(IFERROR(VALUE(RIGHT($A$2:$A$2000,4)),0)=YEAR(C1205)))),""))</f>
        <v/>
      </c>
      <c r="E1205" s="62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4" t="inlineStr">
        <is>
          <t>02/01/2026</t>
        </is>
      </c>
      <c r="B1206" s="31" t="n">
        <v>2.9561</v>
      </c>
      <c r="C1206" s="69" t="n"/>
      <c r="D1206" s="70">
        <f t="array" ref="D1206">IF(C1206="","",IFERROR(AVERAGE(_xlfn._xlws.FILTER($B$2:$B$2000,(IFERROR(VALUE(MID($A$2:$A$2000,4,2)),0)=MONTH(C1206))*(IFERROR(VALUE(RIGHT($A$2:$A$2000,4)),0)=YEAR(C1206)))),""))</f>
        <v/>
      </c>
      <c r="E1206" s="62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4" t="inlineStr">
        <is>
          <t>09/01/2026</t>
        </is>
      </c>
      <c r="B1207" s="31" t="n">
        <v>3.0228</v>
      </c>
      <c r="C1207" s="69" t="n"/>
      <c r="D1207" s="70">
        <f t="array" ref="D1207">IF(C1207="","",IFERROR(AVERAGE(_xlfn._xlws.FILTER($B$2:$B$2000,(IFERROR(VALUE(MID($A$2:$A$2000,4,2)),0)=MONTH(C1207))*(IFERROR(VALUE(RIGHT($A$2:$A$2000,4)),0)=YEAR(C1207)))),""))</f>
        <v/>
      </c>
      <c r="E1207" s="62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4" t="inlineStr">
        <is>
          <t>16/01/2026</t>
        </is>
      </c>
      <c r="B1208" s="31" t="n">
        <v>3.0711</v>
      </c>
      <c r="C1208" s="69" t="n"/>
      <c r="D1208" s="70">
        <f t="array" ref="D1208">IF(C1208="","",IFERROR(AVERAGE(_xlfn._xlws.FILTER($B$2:$B$2000,(IFERROR(VALUE(MID($A$2:$A$2000,4,2)),0)=MONTH(C1208))*(IFERROR(VALUE(RIGHT($A$2:$A$2000,4)),0)=YEAR(C1208)))),""))</f>
        <v/>
      </c>
      <c r="E1208" s="62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4" t="inlineStr">
        <is>
          <t>23/01/2026</t>
        </is>
      </c>
      <c r="B1209" s="31" t="n">
        <v>3.0871</v>
      </c>
      <c r="C1209" s="69" t="n"/>
      <c r="D1209" s="70">
        <f t="array" ref="D1209">IF(C1209="","",IFERROR(AVERAGE(_xlfn._xlws.FILTER($B$2:$B$2000,(IFERROR(VALUE(MID($A$2:$A$2000,4,2)),0)=MONTH(C1209))*(IFERROR(VALUE(RIGHT($A$2:$A$2000,4)),0)=YEAR(C1209)))),""))</f>
        <v/>
      </c>
      <c r="E1209" s="62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4" t="inlineStr">
        <is>
          <t>30/01/2026</t>
        </is>
      </c>
      <c r="B1210" s="31" t="n">
        <v>3.0885</v>
      </c>
      <c r="C1210" s="69" t="n"/>
      <c r="D1210" s="70">
        <f t="array" ref="D1210">IF(C1210="","",IFERROR(AVERAGE(_xlfn._xlws.FILTER($B$2:$B$2000,(IFERROR(VALUE(MID($A$2:$A$2000,4,2)),0)=MONTH(C1210))*(IFERROR(VALUE(RIGHT($A$2:$A$2000,4)),0)=YEAR(C1210)))),""))</f>
        <v/>
      </c>
      <c r="E1210" s="62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4" t="inlineStr">
        <is>
          <t>06/02/2026</t>
        </is>
      </c>
      <c r="B1211" s="31" t="n">
        <v>3.0496</v>
      </c>
      <c r="C1211" s="69" t="n"/>
      <c r="D1211" s="70">
        <f t="array" ref="D1211">IF(C1211="","",IFERROR(AVERAGE(_xlfn._xlws.FILTER($B$2:$B$2000,(IFERROR(VALUE(MID($A$2:$A$2000,4,2)),0)=MONTH(C1211))*(IFERROR(VALUE(RIGHT($A$2:$A$2000,4)),0)=YEAR(C1211)))),""))</f>
        <v/>
      </c>
      <c r="E1211" s="62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4" t="inlineStr">
        <is>
          <t>13/02/2026</t>
        </is>
      </c>
      <c r="B1212" s="31" t="n">
        <v>3.0203</v>
      </c>
      <c r="C1212" s="69" t="n"/>
      <c r="D1212" s="70">
        <f t="array" ref="D1212">IF(C1212="","",IFERROR(AVERAGE(_xlfn._xlws.FILTER($B$2:$B$2000,(IFERROR(VALUE(MID($A$2:$A$2000,4,2)),0)=MONTH(C1212))*(IFERROR(VALUE(RIGHT($A$2:$A$2000,4)),0)=YEAR(C1212)))),""))</f>
        <v/>
      </c>
      <c r="E1212" s="62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4" t="inlineStr">
        <is>
          <t>20/02/2026</t>
        </is>
      </c>
      <c r="B1213" s="31" t="n">
        <v>2.9442</v>
      </c>
      <c r="C1213" s="69" t="n"/>
      <c r="D1213" s="70">
        <f t="array" ref="D1213">IF(C1213="","",IFERROR(AVERAGE(_xlfn._xlws.FILTER($B$2:$B$2000,(IFERROR(VALUE(MID($A$2:$A$2000,4,2)),0)=MONTH(C1213))*(IFERROR(VALUE(RIGHT($A$2:$A$2000,4)),0)=YEAR(C1213)))),""))</f>
        <v/>
      </c>
      <c r="E1213" s="62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4" t="inlineStr">
        <is>
          <t>27/02/2026</t>
        </is>
      </c>
      <c r="B1214" s="31" t="n">
        <v>2.8462</v>
      </c>
      <c r="C1214" s="69" t="n"/>
      <c r="D1214" s="70">
        <f t="array" ref="D1214">IF(C1214="","",IFERROR(AVERAGE(_xlfn._xlws.FILTER($B$2:$B$2000,(IFERROR(VALUE(MID($A$2:$A$2000,4,2)),0)=MONTH(C1214))*(IFERROR(VALUE(RIGHT($A$2:$A$2000,4)),0)=YEAR(C1214)))),""))</f>
        <v/>
      </c>
      <c r="E1214" s="62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4" t="inlineStr">
        <is>
          <t>06/03/2026</t>
        </is>
      </c>
      <c r="B1215" s="31" t="n">
        <v>2.9352</v>
      </c>
      <c r="C1215" s="69" t="n"/>
      <c r="D1215" s="70">
        <f t="array" ref="D1215">IF(C1215="","",IFERROR(AVERAGE(_xlfn._xlws.FILTER($B$2:$B$2000,(IFERROR(VALUE(MID($A$2:$A$2000,4,2)),0)=MONTH(C1215))*(IFERROR(VALUE(RIGHT($A$2:$A$2000,4)),0)=YEAR(C1215)))),""))</f>
        <v/>
      </c>
      <c r="E1215" s="62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4" t="inlineStr">
        <is>
          <t>13/03/2026</t>
        </is>
      </c>
      <c r="B1216" s="31" t="n">
        <v>2.9439</v>
      </c>
      <c r="C1216" s="69" t="n"/>
      <c r="D1216" s="70">
        <f t="array" ref="D1216">IF(C1216="","",IFERROR(AVERAGE(_xlfn._xlws.FILTER($B$2:$B$2000,(IFERROR(VALUE(MID($A$2:$A$2000,4,2)),0)=MONTH(C1216))*(IFERROR(VALUE(RIGHT($A$2:$A$2000,4)),0)=YEAR(C1216)))),""))</f>
        <v/>
      </c>
      <c r="E1216" s="62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4" t="inlineStr">
        <is>
          <t>20/03/2026</t>
        </is>
      </c>
      <c r="B1217" s="31" t="n">
        <v>2.9609</v>
      </c>
      <c r="C1217" s="69" t="n"/>
      <c r="D1217" s="70">
        <f t="array" ref="D1217">IF(C1217="","",IFERROR(AVERAGE(_xlfn._xlws.FILTER($B$2:$B$2000,(IFERROR(VALUE(MID($A$2:$A$2000,4,2)),0)=MONTH(C1217))*(IFERROR(VALUE(RIGHT($A$2:$A$2000,4)),0)=YEAR(C1217)))),""))</f>
        <v/>
      </c>
      <c r="E1217" s="62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4" t="inlineStr">
        <is>
          <t>27/03/2026</t>
        </is>
      </c>
      <c r="B1218" s="31" t="n">
        <v>2.9496</v>
      </c>
      <c r="C1218" s="69" t="n"/>
      <c r="D1218" s="70">
        <f t="array" ref="D1218">IF(C1218="","",IFERROR(AVERAGE(_xlfn._xlws.FILTER($B$2:$B$2000,(IFERROR(VALUE(MID($A$2:$A$2000,4,2)),0)=MONTH(C1218))*(IFERROR(VALUE(RIGHT($A$2:$A$2000,4)),0)=YEAR(C1218)))),""))</f>
        <v/>
      </c>
      <c r="E1218" s="62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4" t="inlineStr">
        <is>
          <t>02/04/2026</t>
        </is>
      </c>
      <c r="B1219" s="31" t="n">
        <v>2.8875</v>
      </c>
      <c r="C1219" s="69" t="n"/>
      <c r="D1219" s="70">
        <f t="array" ref="D1219">IF(C1219="","",IFERROR(AVERAGE(_xlfn._xlws.FILTER($B$2:$B$2000,(IFERROR(VALUE(MID($A$2:$A$2000,4,2)),0)=MONTH(C1219))*(IFERROR(VALUE(RIGHT($A$2:$A$2000,4)),0)=YEAR(C1219)))),""))</f>
        <v/>
      </c>
      <c r="E1219" s="62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4" t="inlineStr">
        <is>
          <t>10/04/2026</t>
        </is>
      </c>
      <c r="B1220" s="31" t="n">
        <v>2.7873</v>
      </c>
      <c r="C1220" s="69" t="n"/>
      <c r="D1220" s="70">
        <f t="array" ref="D1220">IF(C1220="","",IFERROR(AVERAGE(_xlfn._xlws.FILTER($B$2:$B$2000,(IFERROR(VALUE(MID($A$2:$A$2000,4,2)),0)=MONTH(C1220))*(IFERROR(VALUE(RIGHT($A$2:$A$2000,4)),0)=YEAR(C1220)))),""))</f>
        <v/>
      </c>
      <c r="E1220" s="62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4" t="inlineStr">
        <is>
          <t>17/04/2026</t>
        </is>
      </c>
      <c r="B1221" s="31" t="n">
        <v>2.592</v>
      </c>
      <c r="C1221" s="69" t="n"/>
      <c r="D1221" s="70">
        <f t="array" ref="D1221">IF(C1221="","",IFERROR(AVERAGE(_xlfn._xlws.FILTER($B$2:$B$2000,(IFERROR(VALUE(MID($A$2:$A$2000,4,2)),0)=MONTH(C1221))*(IFERROR(VALUE(RIGHT($A$2:$A$2000,4)),0)=YEAR(C1221)))),""))</f>
        <v/>
      </c>
      <c r="E1221" s="62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4" t="inlineStr">
        <is>
          <t>24/04/2026</t>
        </is>
      </c>
      <c r="B1222" s="31" t="n">
        <v>2.4512</v>
      </c>
      <c r="C1222" s="69" t="n"/>
      <c r="D1222" s="70">
        <f t="array" ref="D1222">IF(C1222="","",IFERROR(AVERAGE(_xlfn._xlws.FILTER($B$2:$B$2000,(IFERROR(VALUE(MID($A$2:$A$2000,4,2)),0)=MONTH(C1222))*(IFERROR(VALUE(RIGHT($A$2:$A$2000,4)),0)=YEAR(C1222)))),""))</f>
        <v/>
      </c>
      <c r="E1222" s="62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4" t="inlineStr">
        <is>
          <t>30/04/2026</t>
        </is>
      </c>
      <c r="B1223" s="31" t="n">
        <v>2.3158</v>
      </c>
      <c r="C1223" s="69" t="n"/>
      <c r="D1223" s="70">
        <f t="array" ref="D1223">IF(C1223="","",IFERROR(AVERAGE(_xlfn._xlws.FILTER($B$2:$B$2000,(IFERROR(VALUE(MID($A$2:$A$2000,4,2)),0)=MONTH(C1223))*(IFERROR(VALUE(RIGHT($A$2:$A$2000,4)),0)=YEAR(C1223)))),""))</f>
        <v/>
      </c>
      <c r="E1223" s="62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4" t="inlineStr">
        <is>
          <t>08/05/2026</t>
        </is>
      </c>
      <c r="B1224" s="31" t="n">
        <v>2.2704</v>
      </c>
      <c r="C1224" s="69" t="n"/>
      <c r="D1224" s="70">
        <f t="array" ref="D1224">IF(C1224="","",IFERROR(AVERAGE(_xlfn._xlws.FILTER($B$2:$B$2000,(IFERROR(VALUE(MID($A$2:$A$2000,4,2)),0)=MONTH(C1224))*(IFERROR(VALUE(RIGHT($A$2:$A$2000,4)),0)=YEAR(C1224)))),""))</f>
        <v/>
      </c>
      <c r="E1224" s="62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4" t="inlineStr">
        <is>
          <t>15/05/2026</t>
        </is>
      </c>
      <c r="B1225" s="31" t="n">
        <v>2.2209</v>
      </c>
      <c r="C1225" s="69" t="n"/>
      <c r="D1225" s="70">
        <f t="array" ref="D1225">IF(C1225="","",IFERROR(AVERAGE(_xlfn._xlws.FILTER($B$2:$B$2000,(IFERROR(VALUE(MID($A$2:$A$2000,4,2)),0)=MONTH(C1225))*(IFERROR(VALUE(RIGHT($A$2:$A$2000,4)),0)=YEAR(C1225)))),""))</f>
        <v/>
      </c>
      <c r="E1225" s="62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4" t="inlineStr">
        <is>
          <t>22/05/2026</t>
        </is>
      </c>
      <c r="B1226" s="31" t="n">
        <v>2.2492</v>
      </c>
      <c r="C1226" s="69" t="n"/>
      <c r="D1226" s="70">
        <f t="array" ref="D1226">IF(C1226="","",IFERROR(AVERAGE(_xlfn._xlws.FILTER($B$2:$B$2000,(IFERROR(VALUE(MID($A$2:$A$2000,4,2)),0)=MONTH(C1226))*(IFERROR(VALUE(RIGHT($A$2:$A$2000,4)),0)=YEAR(C1226)))),""))</f>
        <v/>
      </c>
      <c r="E1226" s="62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4" t="inlineStr">
        <is>
          <t>29/05/2026</t>
        </is>
      </c>
      <c r="B1227" s="31" t="n">
        <v>2.2315</v>
      </c>
      <c r="C1227" s="69" t="n"/>
      <c r="D1227" s="70">
        <f t="array" ref="D1227">IF(C1227="","",IFERROR(AVERAGE(_xlfn._xlws.FILTER($B$2:$B$2000,(IFERROR(VALUE(MID($A$2:$A$2000,4,2)),0)=MONTH(C1227))*(IFERROR(VALUE(RIGHT($A$2:$A$2000,4)),0)=YEAR(C1227)))),""))</f>
        <v/>
      </c>
      <c r="E1227" s="62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4" t="inlineStr">
        <is>
          <t>05/06/2026</t>
        </is>
      </c>
      <c r="B1228" s="31" t="n">
        <v>2.2166</v>
      </c>
      <c r="C1228" s="69" t="n"/>
      <c r="D1228" s="70">
        <f t="array" ref="D1228">IF(C1228="","",IFERROR(AVERAGE(_xlfn._xlws.FILTER($B$2:$B$2000,(IFERROR(VALUE(MID($A$2:$A$2000,4,2)),0)=MONTH(C1228))*(IFERROR(VALUE(RIGHT($A$2:$A$2000,4)),0)=YEAR(C1228)))),""))</f>
        <v/>
      </c>
      <c r="E1228" s="62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4" t="inlineStr">
        <is>
          <t>12/06/2026</t>
        </is>
      </c>
      <c r="B1229" s="31" t="n">
        <v>2.2247</v>
      </c>
      <c r="C1229" s="69" t="n"/>
      <c r="D1229" s="70">
        <f t="array" ref="D1229">IF(C1229="","",IFERROR(AVERAGE(_xlfn._xlws.FILTER($B$2:$B$2000,(IFERROR(VALUE(MID($A$2:$A$2000,4,2)),0)=MONTH(C1229))*(IFERROR(VALUE(RIGHT($A$2:$A$2000,4)),0)=YEAR(C1229)))),""))</f>
        <v/>
      </c>
      <c r="E1229" s="62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4" t="inlineStr">
        <is>
          <t>19/06/2026</t>
        </is>
      </c>
      <c r="B1230" s="31" t="n">
        <v>2.2429</v>
      </c>
      <c r="C1230" s="69" t="n"/>
      <c r="D1230" s="70">
        <f t="array" ref="D1230">IF(C1230="","",IFERROR(AVERAGE(_xlfn._xlws.FILTER($B$2:$B$2000,(IFERROR(VALUE(MID($A$2:$A$2000,4,2)),0)=MONTH(C1230))*(IFERROR(VALUE(RIGHT($A$2:$A$2000,4)),0)=YEAR(C1230)))),""))</f>
        <v/>
      </c>
      <c r="E1230" s="62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7381"/>
  <sheetViews>
    <sheetView topLeftCell="A7067" zoomScale="85" zoomScaleNormal="85" workbookViewId="0">
      <selection activeCell="D344" sqref="D344:D355"/>
    </sheetView>
  </sheetViews>
  <sheetFormatPr baseColWidth="8" defaultRowHeight="15"/>
  <cols>
    <col width="10.42578125" bestFit="1" customWidth="1" min="1" max="1"/>
    <col width="14.7109375" bestFit="1" customWidth="1" style="3" min="2" max="2"/>
    <col width="12.5703125" bestFit="1" customWidth="1" style="15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t="inlineStr">
        <is>
          <t>Data</t>
        </is>
      </c>
      <c r="B1" s="13" t="inlineStr">
        <is>
          <t>Preço corrigido</t>
        </is>
      </c>
      <c r="C1" s="14" t="inlineStr">
        <is>
          <t>Meses</t>
        </is>
      </c>
      <c r="D1" s="13" t="inlineStr">
        <is>
          <t>Média Corrigida</t>
        </is>
      </c>
      <c r="E1" s="13" t="inlineStr">
        <is>
          <t>Base 100</t>
        </is>
      </c>
      <c r="F1" s="1" t="inlineStr">
        <is>
          <t>Mês</t>
        </is>
      </c>
      <c r="G1" s="1" t="inlineStr">
        <is>
          <t>M.B 100 - Série Total</t>
        </is>
      </c>
      <c r="H1" s="1" t="inlineStr">
        <is>
          <t>B.100 +1 Desv</t>
        </is>
      </c>
      <c r="I1" s="1" t="inlineStr">
        <is>
          <t>B.100 +2 Desv</t>
        </is>
      </c>
      <c r="J1" s="1" t="inlineStr">
        <is>
          <t>B.100 -1 Desv</t>
        </is>
      </c>
      <c r="K1" s="1" t="inlineStr">
        <is>
          <t>B.100 -2 Desv</t>
        </is>
      </c>
      <c r="L1" s="1" t="inlineStr">
        <is>
          <t>Desvio Padrão B.100</t>
        </is>
      </c>
      <c r="M1" s="1">
        <f>"M.B 100 - "&amp;YEAR(TODAY())</f>
        <v/>
      </c>
      <c r="N1" s="1">
        <f>"Média "&amp;YEAR(TODAY())</f>
        <v/>
      </c>
      <c r="O1" s="1" t="inlineStr">
        <is>
          <t>Preço Média</t>
        </is>
      </c>
      <c r="P1" s="16" t="inlineStr">
        <is>
          <t>Desvio Padrão</t>
        </is>
      </c>
      <c r="Q1" s="1" t="inlineStr">
        <is>
          <t>Preço +1 Desv.</t>
        </is>
      </c>
      <c r="R1" s="1" t="inlineStr">
        <is>
          <t>Preço +2 Desv.</t>
        </is>
      </c>
      <c r="S1" s="1" t="inlineStr">
        <is>
          <t>Preço -1 Desv.</t>
        </is>
      </c>
      <c r="T1" s="1" t="inlineStr">
        <is>
          <t>Preço -2 Desv.</t>
        </is>
      </c>
    </row>
    <row r="2">
      <c r="A2" s="4" t="n">
        <v>35634</v>
      </c>
      <c r="B2" s="3" t="n">
        <v>224.5728727825005</v>
      </c>
      <c r="C2" s="15" t="n">
        <v>35612</v>
      </c>
      <c r="D2" s="3" t="n">
        <v>224.993894291279</v>
      </c>
      <c r="F2" s="1" t="inlineStr">
        <is>
          <t>Janeiro</t>
        </is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5" t="n">
        <v>35643</v>
      </c>
      <c r="D3" s="3" t="n">
        <v>222.0731945368539</v>
      </c>
      <c r="F3" s="1" t="inlineStr">
        <is>
          <t>Fevereiro</t>
        </is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5" t="n">
        <v>35674</v>
      </c>
      <c r="D4" s="3" t="n">
        <v>217.8344440602951</v>
      </c>
      <c r="F4" s="1" t="inlineStr">
        <is>
          <t>Março</t>
        </is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5" t="n">
        <v>35704</v>
      </c>
      <c r="D5" s="3" t="n">
        <v>226.6816725958278</v>
      </c>
      <c r="F5" s="1" t="inlineStr">
        <is>
          <t>Abril</t>
        </is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5" t="n">
        <v>35735</v>
      </c>
      <c r="D6" s="3" t="n">
        <v>222.3821103051612</v>
      </c>
      <c r="F6" s="1" t="inlineStr">
        <is>
          <t>Maio</t>
        </is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5" t="n">
        <v>35765</v>
      </c>
      <c r="D7" s="3" t="n">
        <v>223.7306707711315</v>
      </c>
      <c r="F7" s="1" t="inlineStr">
        <is>
          <t>Junho</t>
        </is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5" t="n">
        <v>35796</v>
      </c>
      <c r="D8" s="3" t="n">
        <v>216.323380356378</v>
      </c>
      <c r="E8" t="n">
        <v>100</v>
      </c>
      <c r="F8" s="1" t="inlineStr">
        <is>
          <t>Julho</t>
        </is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5" t="n">
        <v>35827</v>
      </c>
      <c r="D9" s="3" t="n">
        <v>214.7017569921369</v>
      </c>
      <c r="E9" t="n">
        <v>99.2503707359003</v>
      </c>
      <c r="F9" s="1" t="inlineStr">
        <is>
          <t>Agosto</t>
        </is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5" t="n">
        <v>35855</v>
      </c>
      <c r="D10" s="3" t="n">
        <v>217.2186630603115</v>
      </c>
      <c r="E10" t="n">
        <v>100.4138631258714</v>
      </c>
      <c r="F10" s="1" t="inlineStr">
        <is>
          <t>Setembro</t>
        </is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5" t="n">
        <v>35886</v>
      </c>
      <c r="D11" s="3" t="n">
        <v>218.687537295285</v>
      </c>
      <c r="E11" t="n">
        <v>101.092880915143</v>
      </c>
      <c r="F11" s="1" t="inlineStr">
        <is>
          <t>Outubro</t>
        </is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5" t="n">
        <v>35916</v>
      </c>
      <c r="D12" s="3" t="n">
        <v>212.0799851845346</v>
      </c>
      <c r="E12" t="n">
        <v>98.03840196799221</v>
      </c>
      <c r="F12" s="1" t="inlineStr">
        <is>
          <t>Novembro</t>
        </is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5" t="n">
        <v>35947</v>
      </c>
      <c r="D13" s="3" t="n">
        <v>210.7896225869679</v>
      </c>
      <c r="E13" t="n">
        <v>97.44190491092844</v>
      </c>
      <c r="F13" s="1" t="inlineStr">
        <is>
          <t>Dezembro</t>
        </is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5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5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5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5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5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5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5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5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5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5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5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5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5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5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5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5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5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5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5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5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5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5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5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5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5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5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5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5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5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5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5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5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5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5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5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5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5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5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5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5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5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5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5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5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5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5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5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5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5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5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5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5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5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5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5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5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5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5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5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5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5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5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5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5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5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5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5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5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5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5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5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5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5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5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5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5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5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5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5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5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5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5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5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5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5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5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5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5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5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5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5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5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5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5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5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5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5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5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5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5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5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5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5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5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5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5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5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5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5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5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5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5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5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5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5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5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5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5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5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5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5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5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5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5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5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5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5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5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5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5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5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5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5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5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5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5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5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5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5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5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5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5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5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5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5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5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5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5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5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5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5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5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5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5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5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5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5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5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5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5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5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5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5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5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5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5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5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5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5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5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5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5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5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5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5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5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5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5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5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5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5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5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5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5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5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5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5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5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5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5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5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5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5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5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5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5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5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5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5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5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5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5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5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5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5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5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5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5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5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5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5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5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5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5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5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5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5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5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5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5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5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5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5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5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5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5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5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5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5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5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5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5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5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5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5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5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5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5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5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5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5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5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5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5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5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5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5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5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5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5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5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5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5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5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5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5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5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5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5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5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5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5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5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5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5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5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5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5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5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5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5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5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5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5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5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5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5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5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5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5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5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5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5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5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5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5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5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5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5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5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5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5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5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5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5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5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5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5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5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5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5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5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5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5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5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5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5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5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5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5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5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5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5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5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5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5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5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5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5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5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5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5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5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5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5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5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5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5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5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5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5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5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5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5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5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5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5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5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5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5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5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5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8">
        <f>'BOI GORDO'!A322</f>
        <v/>
      </c>
      <c r="B7121" s="25">
        <f>'BOI GORDO'!C322</f>
        <v/>
      </c>
    </row>
    <row r="7122">
      <c r="A7122" s="28">
        <f>'BOI GORDO'!A323</f>
        <v/>
      </c>
      <c r="B7122" s="25">
        <f>'BOI GORDO'!C323</f>
        <v/>
      </c>
    </row>
    <row r="7123">
      <c r="A7123" s="28">
        <f>'BOI GORDO'!A324</f>
        <v/>
      </c>
      <c r="B7123" s="25">
        <f>'BOI GORDO'!C324</f>
        <v/>
      </c>
    </row>
    <row r="7124">
      <c r="A7124" s="28">
        <f>'BOI GORDO'!A325</f>
        <v/>
      </c>
      <c r="B7124" s="25">
        <f>'BOI GORDO'!C325</f>
        <v/>
      </c>
    </row>
    <row r="7125">
      <c r="A7125" s="28">
        <f>'BOI GORDO'!A326</f>
        <v/>
      </c>
      <c r="B7125" s="25">
        <f>'BOI GORDO'!C326</f>
        <v/>
      </c>
    </row>
    <row r="7126">
      <c r="A7126" s="28">
        <f>'BOI GORDO'!A327</f>
        <v/>
      </c>
      <c r="B7126" s="25">
        <f>'BOI GORDO'!C327</f>
        <v/>
      </c>
    </row>
    <row r="7127">
      <c r="A7127" s="28">
        <f>'BOI GORDO'!A328</f>
        <v/>
      </c>
      <c r="B7127" s="25">
        <f>'BOI GORDO'!C328</f>
        <v/>
      </c>
    </row>
    <row r="7128">
      <c r="A7128" s="28">
        <f>'BOI GORDO'!A329</f>
        <v/>
      </c>
      <c r="B7128" s="25">
        <f>'BOI GORDO'!C329</f>
        <v/>
      </c>
    </row>
    <row r="7129">
      <c r="A7129" s="28">
        <f>'BOI GORDO'!A330</f>
        <v/>
      </c>
      <c r="B7129" s="25">
        <f>'BOI GORDO'!C330</f>
        <v/>
      </c>
    </row>
    <row r="7130">
      <c r="A7130" s="28">
        <f>'BOI GORDO'!A331</f>
        <v/>
      </c>
      <c r="B7130" s="25">
        <f>'BOI GORDO'!C331</f>
        <v/>
      </c>
    </row>
    <row r="7131">
      <c r="A7131" s="28">
        <f>'BOI GORDO'!A332</f>
        <v/>
      </c>
      <c r="B7131" s="25">
        <f>'BOI GORDO'!C332</f>
        <v/>
      </c>
    </row>
    <row r="7132">
      <c r="A7132" s="28">
        <f>'BOI GORDO'!A333</f>
        <v/>
      </c>
      <c r="B7132" s="25">
        <f>'BOI GORDO'!C333</f>
        <v/>
      </c>
    </row>
    <row r="7133">
      <c r="A7133" s="28">
        <f>'BOI GORDO'!A334</f>
        <v/>
      </c>
      <c r="B7133" s="25">
        <f>'BOI GORDO'!C334</f>
        <v/>
      </c>
    </row>
    <row r="7134">
      <c r="A7134" s="28">
        <f>'BOI GORDO'!A335</f>
        <v/>
      </c>
      <c r="B7134" s="25">
        <f>'BOI GORDO'!C335</f>
        <v/>
      </c>
    </row>
    <row r="7135">
      <c r="A7135" s="28">
        <f>'BOI GORDO'!A336</f>
        <v/>
      </c>
      <c r="B7135" s="25">
        <f>'BOI GORDO'!C336</f>
        <v/>
      </c>
    </row>
    <row r="7136">
      <c r="A7136" s="28">
        <f>'BOI GORDO'!A337</f>
        <v/>
      </c>
      <c r="B7136" s="25">
        <f>'BOI GORDO'!C337</f>
        <v/>
      </c>
    </row>
    <row r="7137">
      <c r="A7137" s="28">
        <f>'BOI GORDO'!A338</f>
        <v/>
      </c>
      <c r="B7137" s="25">
        <f>'BOI GORDO'!C338</f>
        <v/>
      </c>
    </row>
    <row r="7138">
      <c r="A7138" s="28">
        <f>'BOI GORDO'!A339</f>
        <v/>
      </c>
      <c r="B7138" s="25">
        <f>'BOI GORDO'!C339</f>
        <v/>
      </c>
    </row>
    <row r="7139">
      <c r="A7139" s="28">
        <f>'BOI GORDO'!A340</f>
        <v/>
      </c>
      <c r="B7139" s="25">
        <f>'BOI GORDO'!C340</f>
        <v/>
      </c>
    </row>
    <row r="7140">
      <c r="A7140" s="28">
        <f>'BOI GORDO'!A341</f>
        <v/>
      </c>
      <c r="B7140" s="25">
        <f>'BOI GORDO'!C341</f>
        <v/>
      </c>
    </row>
    <row r="7141">
      <c r="A7141" s="28">
        <f>'BOI GORDO'!A342</f>
        <v/>
      </c>
      <c r="B7141" s="25">
        <f>'BOI GORDO'!C342</f>
        <v/>
      </c>
    </row>
    <row r="7142">
      <c r="A7142" s="28">
        <f>'BOI GORDO'!A343</f>
        <v/>
      </c>
      <c r="B7142" s="25">
        <f>'BOI GORDO'!C343</f>
        <v/>
      </c>
    </row>
    <row r="7143">
      <c r="A7143" s="28">
        <f>'BOI GORDO'!A344</f>
        <v/>
      </c>
      <c r="B7143" s="25">
        <f>'BOI GORDO'!C344</f>
        <v/>
      </c>
    </row>
    <row r="7144">
      <c r="A7144" s="28">
        <f>'BOI GORDO'!A345</f>
        <v/>
      </c>
      <c r="B7144" s="25">
        <f>'BOI GORDO'!C345</f>
        <v/>
      </c>
    </row>
    <row r="7145">
      <c r="A7145" s="28">
        <f>'BOI GORDO'!A346</f>
        <v/>
      </c>
      <c r="B7145" s="25">
        <f>'BOI GORDO'!C346</f>
        <v/>
      </c>
    </row>
    <row r="7146">
      <c r="A7146" s="28">
        <f>'BOI GORDO'!A347</f>
        <v/>
      </c>
      <c r="B7146" s="25">
        <f>'BOI GORDO'!C347</f>
        <v/>
      </c>
    </row>
    <row r="7147">
      <c r="A7147" s="28">
        <f>'BOI GORDO'!A348</f>
        <v/>
      </c>
      <c r="B7147" s="25">
        <f>'BOI GORDO'!C348</f>
        <v/>
      </c>
    </row>
    <row r="7148">
      <c r="A7148" s="28">
        <f>'BOI GORDO'!A349</f>
        <v/>
      </c>
      <c r="B7148" s="25">
        <f>'BOI GORDO'!C349</f>
        <v/>
      </c>
    </row>
    <row r="7149">
      <c r="A7149" s="28">
        <f>'BOI GORDO'!A350</f>
        <v/>
      </c>
      <c r="B7149" s="25">
        <f>'BOI GORDO'!C350</f>
        <v/>
      </c>
    </row>
    <row r="7150">
      <c r="A7150" s="28">
        <f>'BOI GORDO'!A351</f>
        <v/>
      </c>
      <c r="B7150" s="25">
        <f>'BOI GORDO'!C351</f>
        <v/>
      </c>
    </row>
    <row r="7151">
      <c r="A7151" s="28">
        <f>'BOI GORDO'!A352</f>
        <v/>
      </c>
      <c r="B7151" s="25">
        <f>'BOI GORDO'!C352</f>
        <v/>
      </c>
    </row>
    <row r="7152">
      <c r="A7152" s="28">
        <f>'BOI GORDO'!A353</f>
        <v/>
      </c>
      <c r="B7152" s="25">
        <f>'BOI GORDO'!C353</f>
        <v/>
      </c>
    </row>
    <row r="7153">
      <c r="A7153" s="28">
        <f>'BOI GORDO'!A354</f>
        <v/>
      </c>
      <c r="B7153" s="25">
        <f>'BOI GORDO'!C354</f>
        <v/>
      </c>
    </row>
    <row r="7154">
      <c r="A7154" s="28">
        <f>'BOI GORDO'!A355</f>
        <v/>
      </c>
      <c r="B7154" s="25">
        <f>'BOI GORDO'!C355</f>
        <v/>
      </c>
    </row>
    <row r="7155">
      <c r="A7155" s="28">
        <f>'BOI GORDO'!A356</f>
        <v/>
      </c>
      <c r="B7155" s="25">
        <f>'BOI GORDO'!C356</f>
        <v/>
      </c>
    </row>
    <row r="7156">
      <c r="A7156" s="28">
        <f>'BOI GORDO'!A357</f>
        <v/>
      </c>
      <c r="B7156" s="25">
        <f>'BOI GORDO'!C357</f>
        <v/>
      </c>
    </row>
    <row r="7157">
      <c r="A7157" s="28">
        <f>'BOI GORDO'!A358</f>
        <v/>
      </c>
      <c r="B7157" s="25">
        <f>'BOI GORDO'!C358</f>
        <v/>
      </c>
    </row>
    <row r="7158">
      <c r="A7158" s="28">
        <f>'BOI GORDO'!A359</f>
        <v/>
      </c>
      <c r="B7158" s="25">
        <f>'BOI GORDO'!C359</f>
        <v/>
      </c>
    </row>
    <row r="7159">
      <c r="A7159" s="28">
        <f>'BOI GORDO'!A360</f>
        <v/>
      </c>
      <c r="B7159" s="25">
        <f>'BOI GORDO'!C360</f>
        <v/>
      </c>
    </row>
    <row r="7160">
      <c r="A7160" s="28">
        <f>IF('BOI GORDO'!C361&gt;0,'BOI GORDO'!A361,"")</f>
        <v/>
      </c>
      <c r="B7160" s="25">
        <f>IF('BOI GORDO'!C361&gt;0,'BOI GORDO'!C361,"")</f>
        <v/>
      </c>
    </row>
    <row r="7161">
      <c r="A7161" s="28">
        <f>IF('BOI GORDO'!C362&gt;0,'BOI GORDO'!A362,"")</f>
        <v/>
      </c>
      <c r="B7161" s="25">
        <f>IF('BOI GORDO'!C362&gt;0,'BOI GORDO'!C362,"")</f>
        <v/>
      </c>
    </row>
    <row r="7162">
      <c r="A7162" s="28">
        <f>IF('BOI GORDO'!C363&gt;0,'BOI GORDO'!A363,"")</f>
        <v/>
      </c>
      <c r="B7162" s="25">
        <f>IF('BOI GORDO'!C363&gt;0,'BOI GORDO'!C363,"")</f>
        <v/>
      </c>
    </row>
    <row r="7163">
      <c r="A7163" s="28">
        <f>IF('BOI GORDO'!C364&gt;0,'BOI GORDO'!A364,"")</f>
        <v/>
      </c>
      <c r="B7163" s="25">
        <f>IF('BOI GORDO'!C364&gt;0,'BOI GORDO'!C364,"")</f>
        <v/>
      </c>
    </row>
    <row r="7164">
      <c r="A7164" s="28">
        <f>IF('BOI GORDO'!C365&gt;0,'BOI GORDO'!A365,"")</f>
        <v/>
      </c>
      <c r="B7164" s="25">
        <f>IF('BOI GORDO'!C365&gt;0,'BOI GORDO'!C365,"")</f>
        <v/>
      </c>
    </row>
    <row r="7165">
      <c r="A7165" s="28">
        <f>IF('BOI GORDO'!C366&gt;0,'BOI GORDO'!A366,"")</f>
        <v/>
      </c>
      <c r="B7165" s="25">
        <f>IF('BOI GORDO'!C366&gt;0,'BOI GORDO'!C366,"")</f>
        <v/>
      </c>
    </row>
    <row r="7166">
      <c r="A7166" s="28">
        <f>IF('BOI GORDO'!C367&gt;0,'BOI GORDO'!A367,"")</f>
        <v/>
      </c>
      <c r="B7166" s="25">
        <f>IF('BOI GORDO'!C367&gt;0,'BOI GORDO'!C367,"")</f>
        <v/>
      </c>
    </row>
    <row r="7167">
      <c r="A7167" s="28">
        <f>IF('BOI GORDO'!C368&gt;0,'BOI GORDO'!A368,"")</f>
        <v/>
      </c>
      <c r="B7167" s="25">
        <f>IF('BOI GORDO'!C368&gt;0,'BOI GORDO'!C368,"")</f>
        <v/>
      </c>
    </row>
    <row r="7168">
      <c r="A7168" s="28">
        <f>IF('BOI GORDO'!C369&gt;0,'BOI GORDO'!A369,"")</f>
        <v/>
      </c>
      <c r="B7168" s="25">
        <f>IF('BOI GORDO'!C369&gt;0,'BOI GORDO'!C369,"")</f>
        <v/>
      </c>
    </row>
    <row r="7169">
      <c r="A7169" s="28">
        <f>IF('BOI GORDO'!C370&gt;0,'BOI GORDO'!A370,"")</f>
        <v/>
      </c>
      <c r="B7169" s="25">
        <f>IF('BOI GORDO'!C370&gt;0,'BOI GORDO'!C370,"")</f>
        <v/>
      </c>
    </row>
    <row r="7170">
      <c r="A7170" s="28">
        <f>IF('BOI GORDO'!C371&gt;0,'BOI GORDO'!A371,"")</f>
        <v/>
      </c>
      <c r="B7170" s="25">
        <f>IF('BOI GORDO'!C371&gt;0,'BOI GORDO'!C371,"")</f>
        <v/>
      </c>
    </row>
    <row r="7171">
      <c r="A7171" s="28">
        <f>IF('BOI GORDO'!C372&gt;0,'BOI GORDO'!A372,"")</f>
        <v/>
      </c>
      <c r="B7171" s="25">
        <f>IF('BOI GORDO'!C372&gt;0,'BOI GORDO'!C372,"")</f>
        <v/>
      </c>
    </row>
    <row r="7172">
      <c r="A7172" s="28">
        <f>IF('BOI GORDO'!C373&gt;0,'BOI GORDO'!A373,"")</f>
        <v/>
      </c>
      <c r="B7172" s="25">
        <f>IF('BOI GORDO'!C373&gt;0,'BOI GORDO'!C373,"")</f>
        <v/>
      </c>
    </row>
    <row r="7173">
      <c r="A7173" s="28">
        <f>IF('BOI GORDO'!C374&gt;0,'BOI GORDO'!A374,"")</f>
        <v/>
      </c>
      <c r="B7173" s="25">
        <f>IF('BOI GORDO'!C374&gt;0,'BOI GORDO'!C374,"")</f>
        <v/>
      </c>
    </row>
    <row r="7174">
      <c r="A7174" s="28">
        <f>IF('BOI GORDO'!C375&gt;0,'BOI GORDO'!A375,"")</f>
        <v/>
      </c>
      <c r="B7174" s="25">
        <f>IF('BOI GORDO'!C375&gt;0,'BOI GORDO'!C375,"")</f>
        <v/>
      </c>
    </row>
    <row r="7175">
      <c r="A7175" s="28">
        <f>IF('BOI GORDO'!C376&gt;0,'BOI GORDO'!A376,"")</f>
        <v/>
      </c>
      <c r="B7175" s="25">
        <f>IF('BOI GORDO'!C376&gt;0,'BOI GORDO'!C376,"")</f>
        <v/>
      </c>
    </row>
    <row r="7176">
      <c r="A7176" s="28">
        <f>IF('BOI GORDO'!C377&gt;0,'BOI GORDO'!A377,"")</f>
        <v/>
      </c>
      <c r="B7176" s="25">
        <f>IF('BOI GORDO'!C377&gt;0,'BOI GORDO'!C377,"")</f>
        <v/>
      </c>
    </row>
    <row r="7177">
      <c r="A7177" s="28">
        <f>IF('BOI GORDO'!C378&gt;0,'BOI GORDO'!A378,"")</f>
        <v/>
      </c>
      <c r="B7177" s="25">
        <f>IF('BOI GORDO'!C378&gt;0,'BOI GORDO'!C378,"")</f>
        <v/>
      </c>
    </row>
    <row r="7178">
      <c r="A7178" s="28">
        <f>IF('BOI GORDO'!C379&gt;0,'BOI GORDO'!A379,"")</f>
        <v/>
      </c>
      <c r="B7178" s="25">
        <f>IF('BOI GORDO'!C379&gt;0,'BOI GORDO'!C379,"")</f>
        <v/>
      </c>
    </row>
    <row r="7179">
      <c r="A7179" s="28">
        <f>IF('BOI GORDO'!C380&gt;0,'BOI GORDO'!A380,"")</f>
        <v/>
      </c>
      <c r="B7179" s="25">
        <f>IF('BOI GORDO'!C380&gt;0,'BOI GORDO'!C380,"")</f>
        <v/>
      </c>
    </row>
    <row r="7180">
      <c r="A7180" s="28">
        <f>IF('BOI GORDO'!C381&gt;0,'BOI GORDO'!A381,"")</f>
        <v/>
      </c>
      <c r="B7180" s="25">
        <f>IF('BOI GORDO'!C381&gt;0,'BOI GORDO'!C381,"")</f>
        <v/>
      </c>
    </row>
    <row r="7181">
      <c r="A7181" s="28">
        <f>IF('BOI GORDO'!C382&gt;0,'BOI GORDO'!A382,"")</f>
        <v/>
      </c>
      <c r="B7181" s="25">
        <f>IF('BOI GORDO'!C382&gt;0,'BOI GORDO'!C382,"")</f>
        <v/>
      </c>
    </row>
    <row r="7182">
      <c r="A7182" s="28">
        <f>IF('BOI GORDO'!C383&gt;0,'BOI GORDO'!A383,"")</f>
        <v/>
      </c>
      <c r="B7182" s="25">
        <f>IF('BOI GORDO'!C383&gt;0,'BOI GORDO'!C383,"")</f>
        <v/>
      </c>
    </row>
    <row r="7183">
      <c r="A7183" s="28">
        <f>IF('BOI GORDO'!C384&gt;0,'BOI GORDO'!A384,"")</f>
        <v/>
      </c>
      <c r="B7183" s="25">
        <f>IF('BOI GORDO'!C384&gt;0,'BOI GORDO'!C384,"")</f>
        <v/>
      </c>
    </row>
    <row r="7184">
      <c r="A7184" s="28">
        <f>IF('BOI GORDO'!C385&gt;0,'BOI GORDO'!A385,"")</f>
        <v/>
      </c>
      <c r="B7184" s="25">
        <f>IF('BOI GORDO'!C385&gt;0,'BOI GORDO'!C385,"")</f>
        <v/>
      </c>
    </row>
    <row r="7185">
      <c r="A7185" s="28">
        <f>IF('BOI GORDO'!C386&gt;0,'BOI GORDO'!A386,"")</f>
        <v/>
      </c>
      <c r="B7185" s="25">
        <f>IF('BOI GORDO'!C386&gt;0,'BOI GORDO'!C386,"")</f>
        <v/>
      </c>
    </row>
    <row r="7186">
      <c r="A7186" s="28">
        <f>IF('BOI GORDO'!C387&gt;0,'BOI GORDO'!A387,"")</f>
        <v/>
      </c>
      <c r="B7186" s="25">
        <f>IF('BOI GORDO'!C387&gt;0,'BOI GORDO'!C387,"")</f>
        <v/>
      </c>
    </row>
    <row r="7187">
      <c r="A7187" s="28">
        <f>IF('BOI GORDO'!C388&gt;0,'BOI GORDO'!A388,"")</f>
        <v/>
      </c>
      <c r="B7187" s="25">
        <f>IF('BOI GORDO'!C388&gt;0,'BOI GORDO'!C388,"")</f>
        <v/>
      </c>
    </row>
    <row r="7188">
      <c r="A7188" s="28">
        <f>IF('BOI GORDO'!C389&gt;0,'BOI GORDO'!A389,"")</f>
        <v/>
      </c>
      <c r="B7188" s="25">
        <f>IF('BOI GORDO'!C389&gt;0,'BOI GORDO'!C389,"")</f>
        <v/>
      </c>
    </row>
    <row r="7189">
      <c r="A7189" s="28">
        <f>IF('BOI GORDO'!C390&gt;0,'BOI GORDO'!A390,"")</f>
        <v/>
      </c>
      <c r="B7189" s="25">
        <f>IF('BOI GORDO'!C390&gt;0,'BOI GORDO'!C390,"")</f>
        <v/>
      </c>
    </row>
    <row r="7190">
      <c r="A7190" s="28">
        <f>IF('BOI GORDO'!C391&gt;0,'BOI GORDO'!A391,"")</f>
        <v/>
      </c>
      <c r="B7190" s="25">
        <f>IF('BOI GORDO'!C391&gt;0,'BOI GORDO'!C391,"")</f>
        <v/>
      </c>
    </row>
    <row r="7191">
      <c r="A7191" s="28">
        <f>IF('BOI GORDO'!C392&gt;0,'BOI GORDO'!A392,"")</f>
        <v/>
      </c>
      <c r="B7191" s="25">
        <f>IF('BOI GORDO'!C392&gt;0,'BOI GORDO'!C392,"")</f>
        <v/>
      </c>
    </row>
    <row r="7192">
      <c r="A7192" s="28">
        <f>IF('BOI GORDO'!C393&gt;0,'BOI GORDO'!A393,"")</f>
        <v/>
      </c>
      <c r="B7192" s="25">
        <f>IF('BOI GORDO'!C393&gt;0,'BOI GORDO'!C393,"")</f>
        <v/>
      </c>
    </row>
    <row r="7193">
      <c r="A7193" s="28">
        <f>IF('BOI GORDO'!C394&gt;0,'BOI GORDO'!A394,"")</f>
        <v/>
      </c>
      <c r="B7193" s="25">
        <f>IF('BOI GORDO'!C394&gt;0,'BOI GORDO'!C394,"")</f>
        <v/>
      </c>
    </row>
    <row r="7194">
      <c r="A7194" s="28">
        <f>IF('BOI GORDO'!C395&gt;0,'BOI GORDO'!A395,"")</f>
        <v/>
      </c>
      <c r="B7194" s="25">
        <f>IF('BOI GORDO'!C395&gt;0,'BOI GORDO'!C395,"")</f>
        <v/>
      </c>
    </row>
    <row r="7195">
      <c r="A7195" s="28">
        <f>IF('BOI GORDO'!C396&gt;0,'BOI GORDO'!A396,"")</f>
        <v/>
      </c>
      <c r="B7195" s="25">
        <f>IF('BOI GORDO'!C396&gt;0,'BOI GORDO'!C396,"")</f>
        <v/>
      </c>
    </row>
    <row r="7196">
      <c r="A7196" s="28">
        <f>IF('BOI GORDO'!C397&gt;0,'BOI GORDO'!A397,"")</f>
        <v/>
      </c>
      <c r="B7196" s="25">
        <f>IF('BOI GORDO'!C397&gt;0,'BOI GORDO'!C397,"")</f>
        <v/>
      </c>
    </row>
    <row r="7197">
      <c r="A7197" s="28">
        <f>IF('BOI GORDO'!C398&gt;0,'BOI GORDO'!A398,"")</f>
        <v/>
      </c>
      <c r="B7197" s="25">
        <f>IF('BOI GORDO'!C398&gt;0,'BOI GORDO'!C398,"")</f>
        <v/>
      </c>
    </row>
    <row r="7198">
      <c r="A7198" s="28">
        <f>IF('BOI GORDO'!C399&gt;0,'BOI GORDO'!A399,"")</f>
        <v/>
      </c>
      <c r="B7198" s="25">
        <f>IF('BOI GORDO'!C399&gt;0,'BOI GORDO'!C399,"")</f>
        <v/>
      </c>
    </row>
    <row r="7199">
      <c r="A7199" s="28">
        <f>IF('BOI GORDO'!C400&gt;0,'BOI GORDO'!A400,"")</f>
        <v/>
      </c>
      <c r="B7199" s="25">
        <f>IF('BOI GORDO'!C400&gt;0,'BOI GORDO'!C400,"")</f>
        <v/>
      </c>
    </row>
    <row r="7200">
      <c r="A7200" s="28">
        <f>IF('BOI GORDO'!C401&gt;0,'BOI GORDO'!A401,"")</f>
        <v/>
      </c>
      <c r="B7200" s="25">
        <f>IF('BOI GORDO'!C401&gt;0,'BOI GORDO'!C401,"")</f>
        <v/>
      </c>
    </row>
    <row r="7201">
      <c r="A7201" s="28">
        <f>IF('BOI GORDO'!C402&gt;0,'BOI GORDO'!A402,"")</f>
        <v/>
      </c>
      <c r="B7201" s="25">
        <f>IF('BOI GORDO'!C402&gt;0,'BOI GORDO'!C402,"")</f>
        <v/>
      </c>
    </row>
    <row r="7202">
      <c r="A7202" s="28">
        <f>IF('BOI GORDO'!C403&gt;0,'BOI GORDO'!A403,"")</f>
        <v/>
      </c>
      <c r="B7202" s="25">
        <f>IF('BOI GORDO'!C403&gt;0,'BOI GORDO'!C403,"")</f>
        <v/>
      </c>
    </row>
    <row r="7203">
      <c r="A7203" s="28">
        <f>IF('BOI GORDO'!C404&gt;0,'BOI GORDO'!A404,"")</f>
        <v/>
      </c>
      <c r="B7203" s="25">
        <f>IF('BOI GORDO'!C404&gt;0,'BOI GORDO'!C404,"")</f>
        <v/>
      </c>
    </row>
    <row r="7204">
      <c r="A7204" s="28">
        <f>IF('BOI GORDO'!C405&gt;0,'BOI GORDO'!A405,"")</f>
        <v/>
      </c>
      <c r="B7204" s="25">
        <f>IF('BOI GORDO'!C405&gt;0,'BOI GORDO'!C405,"")</f>
        <v/>
      </c>
    </row>
    <row r="7205">
      <c r="A7205" s="28">
        <f>IF('BOI GORDO'!C406&gt;0,'BOI GORDO'!A406,"")</f>
        <v/>
      </c>
      <c r="B7205" s="25">
        <f>IF('BOI GORDO'!C406&gt;0,'BOI GORDO'!C406,"")</f>
        <v/>
      </c>
    </row>
    <row r="7206">
      <c r="A7206" s="28">
        <f>IF('BOI GORDO'!C407&gt;0,'BOI GORDO'!A407,"")</f>
        <v/>
      </c>
      <c r="B7206" s="25">
        <f>IF('BOI GORDO'!C407&gt;0,'BOI GORDO'!C407,"")</f>
        <v/>
      </c>
    </row>
    <row r="7207">
      <c r="A7207" s="28">
        <f>IF('BOI GORDO'!C408&gt;0,'BOI GORDO'!A408,"")</f>
        <v/>
      </c>
      <c r="B7207" s="25">
        <f>IF('BOI GORDO'!C408&gt;0,'BOI GORDO'!C408,"")</f>
        <v/>
      </c>
    </row>
    <row r="7208">
      <c r="A7208" s="28">
        <f>IF('BOI GORDO'!C409&gt;0,'BOI GORDO'!A409,"")</f>
        <v/>
      </c>
      <c r="B7208" s="25">
        <f>IF('BOI GORDO'!C409&gt;0,'BOI GORDO'!C409,"")</f>
        <v/>
      </c>
    </row>
    <row r="7209">
      <c r="A7209" s="28">
        <f>IF('BOI GORDO'!C410&gt;0,'BOI GORDO'!A410,"")</f>
        <v/>
      </c>
      <c r="B7209" s="25">
        <f>IF('BOI GORDO'!C410&gt;0,'BOI GORDO'!C410,"")</f>
        <v/>
      </c>
    </row>
    <row r="7210">
      <c r="A7210" s="28">
        <f>IF('BOI GORDO'!C411&gt;0,'BOI GORDO'!A411,"")</f>
        <v/>
      </c>
      <c r="B7210" s="25">
        <f>IF('BOI GORDO'!C411&gt;0,'BOI GORDO'!C411,"")</f>
        <v/>
      </c>
    </row>
    <row r="7211">
      <c r="A7211" s="28">
        <f>IF('BOI GORDO'!C412&gt;0,'BOI GORDO'!A412,"")</f>
        <v/>
      </c>
      <c r="B7211" s="25">
        <f>IF('BOI GORDO'!C412&gt;0,'BOI GORDO'!C412,"")</f>
        <v/>
      </c>
    </row>
    <row r="7212">
      <c r="A7212" s="28">
        <f>IF('BOI GORDO'!C413&gt;0,'BOI GORDO'!A413,"")</f>
        <v/>
      </c>
      <c r="B7212" s="25">
        <f>IF('BOI GORDO'!C413&gt;0,'BOI GORDO'!C413,"")</f>
        <v/>
      </c>
    </row>
    <row r="7213">
      <c r="A7213" s="28">
        <f>IF('BOI GORDO'!C414&gt;0,'BOI GORDO'!A414,"")</f>
        <v/>
      </c>
      <c r="B7213" s="25">
        <f>IF('BOI GORDO'!C414&gt;0,'BOI GORDO'!C414,"")</f>
        <v/>
      </c>
    </row>
    <row r="7214">
      <c r="A7214" s="28">
        <f>IF('BOI GORDO'!C415&gt;0,'BOI GORDO'!A415,"")</f>
        <v/>
      </c>
      <c r="B7214" s="25">
        <f>IF('BOI GORDO'!C415&gt;0,'BOI GORDO'!C415,"")</f>
        <v/>
      </c>
    </row>
    <row r="7215">
      <c r="A7215" s="28">
        <f>IF('BOI GORDO'!C416&gt;0,'BOI GORDO'!A416,"")</f>
        <v/>
      </c>
      <c r="B7215" s="25">
        <f>IF('BOI GORDO'!C416&gt;0,'BOI GORDO'!C416,"")</f>
        <v/>
      </c>
    </row>
    <row r="7216">
      <c r="A7216" s="28">
        <f>IF('BOI GORDO'!C417&gt;0,'BOI GORDO'!A417,"")</f>
        <v/>
      </c>
      <c r="B7216" s="25">
        <f>IF('BOI GORDO'!C417&gt;0,'BOI GORDO'!C417,"")</f>
        <v/>
      </c>
    </row>
    <row r="7217">
      <c r="A7217" s="28">
        <f>IF('BOI GORDO'!C418&gt;0,'BOI GORDO'!A418,"")</f>
        <v/>
      </c>
      <c r="B7217" s="25">
        <f>IF('BOI GORDO'!C418&gt;0,'BOI GORDO'!C418,"")</f>
        <v/>
      </c>
    </row>
    <row r="7218">
      <c r="A7218" s="28">
        <f>IF('BOI GORDO'!C419&gt;0,'BOI GORDO'!A419,"")</f>
        <v/>
      </c>
      <c r="B7218" s="25">
        <f>IF('BOI GORDO'!C419&gt;0,'BOI GORDO'!C419,"")</f>
        <v/>
      </c>
    </row>
    <row r="7219">
      <c r="A7219" s="28">
        <f>IF('BOI GORDO'!C420&gt;0,'BOI GORDO'!A420,"")</f>
        <v/>
      </c>
      <c r="B7219" s="25">
        <f>IF('BOI GORDO'!C420&gt;0,'BOI GORDO'!C420,"")</f>
        <v/>
      </c>
    </row>
    <row r="7220">
      <c r="A7220" s="28">
        <f>IF('BOI GORDO'!C421&gt;0,'BOI GORDO'!A421,"")</f>
        <v/>
      </c>
      <c r="B7220" s="25">
        <f>IF('BOI GORDO'!C421&gt;0,'BOI GORDO'!C421,"")</f>
        <v/>
      </c>
    </row>
    <row r="7221">
      <c r="A7221" s="28">
        <f>IF('BOI GORDO'!C422&gt;0,'BOI GORDO'!A422,"")</f>
        <v/>
      </c>
      <c r="B7221" s="25">
        <f>IF('BOI GORDO'!C422&gt;0,'BOI GORDO'!C422,"")</f>
        <v/>
      </c>
    </row>
    <row r="7222">
      <c r="A7222" s="28">
        <f>IF('BOI GORDO'!C423&gt;0,'BOI GORDO'!A423,"")</f>
        <v/>
      </c>
      <c r="B7222" s="25">
        <f>IF('BOI GORDO'!C423&gt;0,'BOI GORDO'!C423,"")</f>
        <v/>
      </c>
    </row>
    <row r="7223">
      <c r="A7223" s="28">
        <f>IF('BOI GORDO'!C424&gt;0,'BOI GORDO'!A424,"")</f>
        <v/>
      </c>
      <c r="B7223" s="25">
        <f>IF('BOI GORDO'!C424&gt;0,'BOI GORDO'!C424,"")</f>
        <v/>
      </c>
    </row>
    <row r="7224">
      <c r="A7224" s="28">
        <f>IF('BOI GORDO'!C425&gt;0,'BOI GORDO'!A425,"")</f>
        <v/>
      </c>
      <c r="B7224" s="25">
        <f>IF('BOI GORDO'!C425&gt;0,'BOI GORDO'!C425,"")</f>
        <v/>
      </c>
    </row>
    <row r="7225">
      <c r="A7225" s="28">
        <f>IF('BOI GORDO'!C426&gt;0,'BOI GORDO'!A426,"")</f>
        <v/>
      </c>
      <c r="B7225" s="25">
        <f>IF('BOI GORDO'!C426&gt;0,'BOI GORDO'!C426,"")</f>
        <v/>
      </c>
    </row>
    <row r="7226">
      <c r="A7226" s="28">
        <f>IF('BOI GORDO'!C427&gt;0,'BOI GORDO'!A427,"")</f>
        <v/>
      </c>
      <c r="B7226" s="25">
        <f>IF('BOI GORDO'!C427&gt;0,'BOI GORDO'!C427,"")</f>
        <v/>
      </c>
    </row>
    <row r="7227">
      <c r="A7227" s="28">
        <f>IF('BOI GORDO'!C428&gt;0,'BOI GORDO'!A428,"")</f>
        <v/>
      </c>
      <c r="B7227" s="25">
        <f>IF('BOI GORDO'!C428&gt;0,'BOI GORDO'!C428,"")</f>
        <v/>
      </c>
    </row>
    <row r="7228">
      <c r="A7228" s="28">
        <f>IF('BOI GORDO'!C429&gt;0,'BOI GORDO'!A429,"")</f>
        <v/>
      </c>
      <c r="B7228" s="25">
        <f>IF('BOI GORDO'!C429&gt;0,'BOI GORDO'!C429,"")</f>
        <v/>
      </c>
    </row>
    <row r="7229">
      <c r="A7229" s="28">
        <f>IF('BOI GORDO'!C430&gt;0,'BOI GORDO'!A430,"")</f>
        <v/>
      </c>
      <c r="B7229" s="25">
        <f>IF('BOI GORDO'!C430&gt;0,'BOI GORDO'!C430,"")</f>
        <v/>
      </c>
    </row>
    <row r="7230">
      <c r="A7230" s="28">
        <f>IF('BOI GORDO'!C431&gt;0,'BOI GORDO'!A431,"")</f>
        <v/>
      </c>
      <c r="B7230" s="25">
        <f>IF('BOI GORDO'!C431&gt;0,'BOI GORDO'!C431,"")</f>
        <v/>
      </c>
    </row>
    <row r="7231">
      <c r="A7231" s="28">
        <f>IF('BOI GORDO'!C432&gt;0,'BOI GORDO'!A432,"")</f>
        <v/>
      </c>
      <c r="B7231" s="25">
        <f>IF('BOI GORDO'!C432&gt;0,'BOI GORDO'!C432,"")</f>
        <v/>
      </c>
    </row>
    <row r="7232">
      <c r="A7232" s="28">
        <f>IF('BOI GORDO'!C433&gt;0,'BOI GORDO'!A433,"")</f>
        <v/>
      </c>
      <c r="B7232" s="25">
        <f>IF('BOI GORDO'!C433&gt;0,'BOI GORDO'!C433,"")</f>
        <v/>
      </c>
    </row>
    <row r="7233">
      <c r="A7233" s="28">
        <f>IF('BOI GORDO'!C434&gt;0,'BOI GORDO'!A434,"")</f>
        <v/>
      </c>
      <c r="B7233" s="25">
        <f>IF('BOI GORDO'!C434&gt;0,'BOI GORDO'!C434,"")</f>
        <v/>
      </c>
    </row>
    <row r="7234">
      <c r="A7234" s="28">
        <f>IF('BOI GORDO'!C435&gt;0,'BOI GORDO'!A435,"")</f>
        <v/>
      </c>
      <c r="B7234" s="25">
        <f>IF('BOI GORDO'!C435&gt;0,'BOI GORDO'!C435,"")</f>
        <v/>
      </c>
    </row>
    <row r="7235">
      <c r="A7235" s="28">
        <f>IF('BOI GORDO'!C436&gt;0,'BOI GORDO'!A436,"")</f>
        <v/>
      </c>
      <c r="B7235" s="25">
        <f>IF('BOI GORDO'!C436&gt;0,'BOI GORDO'!C436,"")</f>
        <v/>
      </c>
    </row>
    <row r="7236">
      <c r="A7236" s="28">
        <f>IF('BOI GORDO'!C437&gt;0,'BOI GORDO'!A437,"")</f>
        <v/>
      </c>
      <c r="B7236" s="25">
        <f>IF('BOI GORDO'!C437&gt;0,'BOI GORDO'!C437,"")</f>
        <v/>
      </c>
    </row>
    <row r="7237">
      <c r="A7237" s="28">
        <f>IF('BOI GORDO'!C438&gt;0,'BOI GORDO'!A438,"")</f>
        <v/>
      </c>
      <c r="B7237" s="25">
        <f>IF('BOI GORDO'!C438&gt;0,'BOI GORDO'!C438,"")</f>
        <v/>
      </c>
    </row>
    <row r="7238">
      <c r="A7238" s="28">
        <f>IF('BOI GORDO'!C439&gt;0,'BOI GORDO'!A439,"")</f>
        <v/>
      </c>
      <c r="B7238" s="25">
        <f>IF('BOI GORDO'!C439&gt;0,'BOI GORDO'!C439,"")</f>
        <v/>
      </c>
    </row>
    <row r="7239">
      <c r="A7239" s="28">
        <f>IF('BOI GORDO'!C440&gt;0,'BOI GORDO'!A440,"")</f>
        <v/>
      </c>
      <c r="B7239" s="25">
        <f>IF('BOI GORDO'!C440&gt;0,'BOI GORDO'!C440,"")</f>
        <v/>
      </c>
    </row>
    <row r="7240">
      <c r="A7240" s="28">
        <f>IF('BOI GORDO'!C441&gt;0,'BOI GORDO'!A441,"")</f>
        <v/>
      </c>
      <c r="B7240" s="25">
        <f>IF('BOI GORDO'!C441&gt;0,'BOI GORDO'!C441,"")</f>
        <v/>
      </c>
    </row>
    <row r="7241">
      <c r="A7241" s="28">
        <f>IF('BOI GORDO'!C442&gt;0,'BOI GORDO'!A442,"")</f>
        <v/>
      </c>
      <c r="B7241" s="25">
        <f>IF('BOI GORDO'!C442&gt;0,'BOI GORDO'!C442,"")</f>
        <v/>
      </c>
    </row>
    <row r="7242">
      <c r="A7242" s="28">
        <f>IF('BOI GORDO'!C443&gt;0,'BOI GORDO'!A443,"")</f>
        <v/>
      </c>
      <c r="B7242" s="25">
        <f>IF('BOI GORDO'!C443&gt;0,'BOI GORDO'!C443,"")</f>
        <v/>
      </c>
    </row>
    <row r="7243">
      <c r="A7243" s="28">
        <f>IF('BOI GORDO'!C444&gt;0,'BOI GORDO'!A444,"")</f>
        <v/>
      </c>
      <c r="B7243" s="25">
        <f>IF('BOI GORDO'!C444&gt;0,'BOI GORDO'!C444,"")</f>
        <v/>
      </c>
    </row>
    <row r="7244">
      <c r="A7244" s="28">
        <f>IF('BOI GORDO'!C445&gt;0,'BOI GORDO'!A445,"")</f>
        <v/>
      </c>
      <c r="B7244" s="25">
        <f>IF('BOI GORDO'!C445&gt;0,'BOI GORDO'!C445,"")</f>
        <v/>
      </c>
    </row>
    <row r="7245">
      <c r="A7245" s="28">
        <f>IF('BOI GORDO'!C446&gt;0,'BOI GORDO'!A446,"")</f>
        <v/>
      </c>
      <c r="B7245" s="25">
        <f>IF('BOI GORDO'!C446&gt;0,'BOI GORDO'!C446,"")</f>
        <v/>
      </c>
    </row>
    <row r="7246">
      <c r="A7246" s="28">
        <f>IF('BOI GORDO'!C447&gt;0,'BOI GORDO'!A447,"")</f>
        <v/>
      </c>
      <c r="B7246" s="25">
        <f>IF('BOI GORDO'!C447&gt;0,'BOI GORDO'!C447,"")</f>
        <v/>
      </c>
    </row>
    <row r="7247">
      <c r="A7247" s="28">
        <f>IF('BOI GORDO'!C448&gt;0,'BOI GORDO'!A448,"")</f>
        <v/>
      </c>
      <c r="B7247" s="25">
        <f>IF('BOI GORDO'!C448&gt;0,'BOI GORDO'!C448,"")</f>
        <v/>
      </c>
    </row>
    <row r="7248">
      <c r="A7248" s="28">
        <f>IF('BOI GORDO'!C449&gt;0,'BOI GORDO'!A449,"")</f>
        <v/>
      </c>
      <c r="B7248" s="25">
        <f>IF('BOI GORDO'!C449&gt;0,'BOI GORDO'!C449,"")</f>
        <v/>
      </c>
    </row>
    <row r="7249">
      <c r="A7249" s="28">
        <f>IF('BOI GORDO'!C450&gt;0,'BOI GORDO'!A450,"")</f>
        <v/>
      </c>
      <c r="B7249" s="25">
        <f>IF('BOI GORDO'!C450&gt;0,'BOI GORDO'!C450,"")</f>
        <v/>
      </c>
    </row>
    <row r="7250">
      <c r="A7250" s="28">
        <f>IF('BOI GORDO'!C451&gt;0,'BOI GORDO'!A451,"")</f>
        <v/>
      </c>
      <c r="B7250" s="25">
        <f>IF('BOI GORDO'!C451&gt;0,'BOI GORDO'!C451,"")</f>
        <v/>
      </c>
    </row>
    <row r="7251">
      <c r="A7251" s="28">
        <f>IF('BOI GORDO'!C452&gt;0,'BOI GORDO'!A452,"")</f>
        <v/>
      </c>
      <c r="B7251" s="25">
        <f>IF('BOI GORDO'!C452&gt;0,'BOI GORDO'!C452,"")</f>
        <v/>
      </c>
    </row>
    <row r="7252">
      <c r="A7252" s="28">
        <f>IF('BOI GORDO'!C453&gt;0,'BOI GORDO'!A453,"")</f>
        <v/>
      </c>
      <c r="B7252" s="25">
        <f>IF('BOI GORDO'!C453&gt;0,'BOI GORDO'!C453,"")</f>
        <v/>
      </c>
    </row>
    <row r="7253">
      <c r="A7253" s="28">
        <f>IF('BOI GORDO'!C454&gt;0,'BOI GORDO'!A454,"")</f>
        <v/>
      </c>
      <c r="B7253" s="25">
        <f>IF('BOI GORDO'!C454&gt;0,'BOI GORDO'!C454,"")</f>
        <v/>
      </c>
    </row>
    <row r="7254">
      <c r="A7254" s="28">
        <f>IF('BOI GORDO'!C455&gt;0,'BOI GORDO'!A455,"")</f>
        <v/>
      </c>
      <c r="B7254" s="25">
        <f>IF('BOI GORDO'!C455&gt;0,'BOI GORDO'!C455,"")</f>
        <v/>
      </c>
    </row>
    <row r="7255">
      <c r="A7255" s="28">
        <f>IF('BOI GORDO'!C456&gt;0,'BOI GORDO'!A456,"")</f>
        <v/>
      </c>
      <c r="B7255" s="25">
        <f>IF('BOI GORDO'!C456&gt;0,'BOI GORDO'!C456,"")</f>
        <v/>
      </c>
    </row>
    <row r="7256">
      <c r="A7256" s="28">
        <f>IF('BOI GORDO'!C457&gt;0,'BOI GORDO'!A457,"")</f>
        <v/>
      </c>
      <c r="B7256" s="25">
        <f>IF('BOI GORDO'!C457&gt;0,'BOI GORDO'!C457,"")</f>
        <v/>
      </c>
    </row>
    <row r="7257">
      <c r="A7257" s="28">
        <f>IF('BOI GORDO'!C458&gt;0,'BOI GORDO'!A458,"")</f>
        <v/>
      </c>
      <c r="B7257" s="25">
        <f>IF('BOI GORDO'!C458&gt;0,'BOI GORDO'!C458,"")</f>
        <v/>
      </c>
    </row>
    <row r="7258">
      <c r="A7258" s="28">
        <f>IF('BOI GORDO'!C459&gt;0,'BOI GORDO'!A459,"")</f>
        <v/>
      </c>
      <c r="B7258" s="25">
        <f>IF('BOI GORDO'!C459&gt;0,'BOI GORDO'!C459,"")</f>
        <v/>
      </c>
    </row>
    <row r="7259">
      <c r="A7259" s="28">
        <f>IF('BOI GORDO'!C460&gt;0,'BOI GORDO'!A460,"")</f>
        <v/>
      </c>
      <c r="B7259" s="25">
        <f>IF('BOI GORDO'!C460&gt;0,'BOI GORDO'!C460,"")</f>
        <v/>
      </c>
    </row>
    <row r="7260">
      <c r="A7260" s="28">
        <f>IF('BOI GORDO'!C461&gt;0,'BOI GORDO'!A461,"")</f>
        <v/>
      </c>
      <c r="B7260" s="25">
        <f>IF('BOI GORDO'!C461&gt;0,'BOI GORDO'!C461,"")</f>
        <v/>
      </c>
    </row>
    <row r="7261">
      <c r="A7261" s="28">
        <f>IF('BOI GORDO'!C462&gt;0,'BOI GORDO'!A462,"")</f>
        <v/>
      </c>
      <c r="B7261" s="25">
        <f>IF('BOI GORDO'!C462&gt;0,'BOI GORDO'!C462,"")</f>
        <v/>
      </c>
    </row>
    <row r="7262">
      <c r="A7262" s="28">
        <f>IF('BOI GORDO'!C463&gt;0,'BOI GORDO'!A463,"")</f>
        <v/>
      </c>
      <c r="B7262" s="25">
        <f>IF('BOI GORDO'!C463&gt;0,'BOI GORDO'!C463,"")</f>
        <v/>
      </c>
    </row>
    <row r="7263">
      <c r="A7263" s="28">
        <f>IF('BOI GORDO'!C464&gt;0,'BOI GORDO'!A464,"")</f>
        <v/>
      </c>
      <c r="B7263" s="25">
        <f>IF('BOI GORDO'!C464&gt;0,'BOI GORDO'!C464,"")</f>
        <v/>
      </c>
    </row>
    <row r="7264">
      <c r="A7264" s="28">
        <f>IF('BOI GORDO'!C465&gt;0,'BOI GORDO'!A465,"")</f>
        <v/>
      </c>
      <c r="B7264" s="25">
        <f>IF('BOI GORDO'!C465&gt;0,'BOI GORDO'!C465,"")</f>
        <v/>
      </c>
    </row>
    <row r="7265">
      <c r="A7265" s="28">
        <f>IF('BOI GORDO'!C466&gt;0,'BOI GORDO'!A466,"")</f>
        <v/>
      </c>
      <c r="B7265" s="25">
        <f>IF('BOI GORDO'!C466&gt;0,'BOI GORDO'!C466,"")</f>
        <v/>
      </c>
    </row>
    <row r="7266">
      <c r="A7266" s="28">
        <f>IF('BOI GORDO'!C467&gt;0,'BOI GORDO'!A467,"")</f>
        <v/>
      </c>
      <c r="B7266" s="25">
        <f>IF('BOI GORDO'!C467&gt;0,'BOI GORDO'!C467,"")</f>
        <v/>
      </c>
    </row>
    <row r="7267">
      <c r="A7267" s="28">
        <f>IF('BOI GORDO'!C468&gt;0,'BOI GORDO'!A468,"")</f>
        <v/>
      </c>
      <c r="B7267" s="25">
        <f>IF('BOI GORDO'!C468&gt;0,'BOI GORDO'!C468,"")</f>
        <v/>
      </c>
    </row>
    <row r="7268">
      <c r="A7268" s="28">
        <f>IF('BOI GORDO'!C469&gt;0,'BOI GORDO'!A469,"")</f>
        <v/>
      </c>
      <c r="B7268" s="25">
        <f>IF('BOI GORDO'!C469&gt;0,'BOI GORDO'!C469,"")</f>
        <v/>
      </c>
    </row>
    <row r="7269">
      <c r="A7269" s="28">
        <f>IF('BOI GORDO'!C470&gt;0,'BOI GORDO'!A470,"")</f>
        <v/>
      </c>
      <c r="B7269" s="25">
        <f>IF('BOI GORDO'!C470&gt;0,'BOI GORDO'!C470,"")</f>
        <v/>
      </c>
    </row>
    <row r="7270">
      <c r="A7270" s="28">
        <f>IF('BOI GORDO'!C471&gt;0,'BOI GORDO'!A471,"")</f>
        <v/>
      </c>
      <c r="B7270" s="25">
        <f>IF('BOI GORDO'!C471&gt;0,'BOI GORDO'!C471,"")</f>
        <v/>
      </c>
    </row>
    <row r="7271">
      <c r="A7271" s="28">
        <f>IF('BOI GORDO'!C472&gt;0,'BOI GORDO'!A472,"")</f>
        <v/>
      </c>
      <c r="B7271" s="25">
        <f>IF('BOI GORDO'!C472&gt;0,'BOI GORDO'!C472,"")</f>
        <v/>
      </c>
    </row>
    <row r="7272">
      <c r="A7272" s="28">
        <f>IF('BOI GORDO'!C473&gt;0,'BOI GORDO'!A473,"")</f>
        <v/>
      </c>
      <c r="B7272" s="25">
        <f>IF('BOI GORDO'!C473&gt;0,'BOI GORDO'!C473,"")</f>
        <v/>
      </c>
    </row>
    <row r="7273">
      <c r="A7273" s="28">
        <f>IF('BOI GORDO'!C474&gt;0,'BOI GORDO'!A474,"")</f>
        <v/>
      </c>
      <c r="B7273" s="25">
        <f>IF('BOI GORDO'!C474&gt;0,'BOI GORDO'!C474,"")</f>
        <v/>
      </c>
    </row>
    <row r="7274">
      <c r="A7274" s="28">
        <f>IF('BOI GORDO'!C475&gt;0,'BOI GORDO'!A475,"")</f>
        <v/>
      </c>
      <c r="B7274" s="25">
        <f>IF('BOI GORDO'!C475&gt;0,'BOI GORDO'!C475,"")</f>
        <v/>
      </c>
    </row>
    <row r="7275">
      <c r="A7275" s="28">
        <f>IF('BOI GORDO'!C476&gt;0,'BOI GORDO'!A476,"")</f>
        <v/>
      </c>
      <c r="B7275" s="25">
        <f>IF('BOI GORDO'!C476&gt;0,'BOI GORDO'!C476,"")</f>
        <v/>
      </c>
    </row>
    <row r="7276">
      <c r="A7276" s="28">
        <f>IF('BOI GORDO'!C477&gt;0,'BOI GORDO'!A477,"")</f>
        <v/>
      </c>
      <c r="B7276" s="25">
        <f>IF('BOI GORDO'!C477&gt;0,'BOI GORDO'!C477,"")</f>
        <v/>
      </c>
    </row>
    <row r="7277">
      <c r="A7277" s="28">
        <f>IF('BOI GORDO'!C478&gt;0,'BOI GORDO'!A478,"")</f>
        <v/>
      </c>
      <c r="B7277" s="25">
        <f>IF('BOI GORDO'!C478&gt;0,'BOI GORDO'!C478,"")</f>
        <v/>
      </c>
    </row>
    <row r="7278">
      <c r="A7278" s="28">
        <f>IF('BOI GORDO'!C479&gt;0,'BOI GORDO'!A479,"")</f>
        <v/>
      </c>
      <c r="B7278" s="25">
        <f>IF('BOI GORDO'!C479&gt;0,'BOI GORDO'!C479,"")</f>
        <v/>
      </c>
    </row>
    <row r="7279">
      <c r="A7279" s="28">
        <f>IF('BOI GORDO'!C480&gt;0,'BOI GORDO'!A480,"")</f>
        <v/>
      </c>
      <c r="B7279" s="25">
        <f>IF('BOI GORDO'!C480&gt;0,'BOI GORDO'!C480,"")</f>
        <v/>
      </c>
    </row>
    <row r="7280">
      <c r="A7280" s="28">
        <f>IF('BOI GORDO'!C481&gt;0,'BOI GORDO'!A481,"")</f>
        <v/>
      </c>
      <c r="B7280" s="25">
        <f>IF('BOI GORDO'!C481&gt;0,'BOI GORDO'!C481,"")</f>
        <v/>
      </c>
    </row>
    <row r="7281">
      <c r="A7281" s="28">
        <f>IF('BOI GORDO'!C482&gt;0,'BOI GORDO'!A482,"")</f>
        <v/>
      </c>
      <c r="B7281" s="25">
        <f>IF('BOI GORDO'!C482&gt;0,'BOI GORDO'!C482,"")</f>
        <v/>
      </c>
    </row>
    <row r="7282">
      <c r="A7282" s="28">
        <f>IF('BOI GORDO'!C483&gt;0,'BOI GORDO'!A483,"")</f>
        <v/>
      </c>
      <c r="B7282" s="25">
        <f>IF('BOI GORDO'!C483&gt;0,'BOI GORDO'!C483,"")</f>
        <v/>
      </c>
    </row>
    <row r="7283">
      <c r="A7283" s="28">
        <f>IF('BOI GORDO'!C484&gt;0,'BOI GORDO'!A484,"")</f>
        <v/>
      </c>
      <c r="B7283" s="25">
        <f>IF('BOI GORDO'!C484&gt;0,'BOI GORDO'!C484,"")</f>
        <v/>
      </c>
    </row>
    <row r="7284">
      <c r="A7284" s="28">
        <f>IF('BOI GORDO'!C485&gt;0,'BOI GORDO'!A485,"")</f>
        <v/>
      </c>
      <c r="B7284" s="25">
        <f>IF('BOI GORDO'!C485&gt;0,'BOI GORDO'!C485,"")</f>
        <v/>
      </c>
    </row>
    <row r="7285">
      <c r="A7285" s="28">
        <f>IF('BOI GORDO'!C486&gt;0,'BOI GORDO'!A486,"")</f>
        <v/>
      </c>
      <c r="B7285" s="25">
        <f>IF('BOI GORDO'!C486&gt;0,'BOI GORDO'!C486,"")</f>
        <v/>
      </c>
    </row>
    <row r="7286">
      <c r="A7286" s="28">
        <f>IF('BOI GORDO'!C487&gt;0,'BOI GORDO'!A487,"")</f>
        <v/>
      </c>
      <c r="B7286" s="25">
        <f>IF('BOI GORDO'!C487&gt;0,'BOI GORDO'!C487,"")</f>
        <v/>
      </c>
    </row>
    <row r="7287">
      <c r="A7287" s="28">
        <f>IF('BOI GORDO'!C488&gt;0,'BOI GORDO'!A488,"")</f>
        <v/>
      </c>
      <c r="B7287" s="25">
        <f>IF('BOI GORDO'!C488&gt;0,'BOI GORDO'!C488,"")</f>
        <v/>
      </c>
    </row>
    <row r="7288">
      <c r="A7288" s="28">
        <f>IF('BOI GORDO'!C489&gt;0,'BOI GORDO'!A489,"")</f>
        <v/>
      </c>
      <c r="B7288" s="25">
        <f>IF('BOI GORDO'!C489&gt;0,'BOI GORDO'!C489,"")</f>
        <v/>
      </c>
    </row>
    <row r="7289">
      <c r="A7289" s="28">
        <f>IF('BOI GORDO'!C490&gt;0,'BOI GORDO'!A490,"")</f>
        <v/>
      </c>
      <c r="B7289" s="25">
        <f>IF('BOI GORDO'!C490&gt;0,'BOI GORDO'!C490,"")</f>
        <v/>
      </c>
    </row>
    <row r="7290">
      <c r="A7290" s="28">
        <f>IF('BOI GORDO'!C491&gt;0,'BOI GORDO'!A491,"")</f>
        <v/>
      </c>
      <c r="B7290" s="25">
        <f>IF('BOI GORDO'!C491&gt;0,'BOI GORDO'!C491,"")</f>
        <v/>
      </c>
    </row>
    <row r="7291">
      <c r="A7291" s="28">
        <f>IF('BOI GORDO'!C492&gt;0,'BOI GORDO'!A492,"")</f>
        <v/>
      </c>
      <c r="B7291" s="25">
        <f>IF('BOI GORDO'!C492&gt;0,'BOI GORDO'!C492,"")</f>
        <v/>
      </c>
    </row>
    <row r="7292">
      <c r="A7292" s="28">
        <f>IF('BOI GORDO'!C493&gt;0,'BOI GORDO'!A493,"")</f>
        <v/>
      </c>
      <c r="B7292" s="25">
        <f>IF('BOI GORDO'!C493&gt;0,'BOI GORDO'!C493,"")</f>
        <v/>
      </c>
    </row>
    <row r="7293">
      <c r="A7293" s="28">
        <f>IF('BOI GORDO'!C494&gt;0,'BOI GORDO'!A494,"")</f>
        <v/>
      </c>
      <c r="B7293" s="25">
        <f>IF('BOI GORDO'!C494&gt;0,'BOI GORDO'!C494,"")</f>
        <v/>
      </c>
    </row>
    <row r="7294">
      <c r="A7294" s="28">
        <f>IF('BOI GORDO'!C495&gt;0,'BOI GORDO'!A495,"")</f>
        <v/>
      </c>
      <c r="B7294" s="25">
        <f>IF('BOI GORDO'!C495&gt;0,'BOI GORDO'!C495,"")</f>
        <v/>
      </c>
    </row>
    <row r="7295">
      <c r="A7295" s="28">
        <f>IF('BOI GORDO'!C496&gt;0,'BOI GORDO'!A496,"")</f>
        <v/>
      </c>
      <c r="B7295" s="25">
        <f>IF('BOI GORDO'!C496&gt;0,'BOI GORDO'!C496,"")</f>
        <v/>
      </c>
    </row>
    <row r="7296">
      <c r="A7296" s="28">
        <f>IF('BOI GORDO'!C497&gt;0,'BOI GORDO'!A497,"")</f>
        <v/>
      </c>
      <c r="B7296" s="25">
        <f>IF('BOI GORDO'!C497&gt;0,'BOI GORDO'!C497,"")</f>
        <v/>
      </c>
    </row>
    <row r="7297">
      <c r="A7297" s="28">
        <f>IF('BOI GORDO'!C498&gt;0,'BOI GORDO'!A498,"")</f>
        <v/>
      </c>
      <c r="B7297" s="25">
        <f>IF('BOI GORDO'!C498&gt;0,'BOI GORDO'!C498,"")</f>
        <v/>
      </c>
    </row>
    <row r="7298">
      <c r="A7298" s="28">
        <f>IF('BOI GORDO'!C499&gt;0,'BOI GORDO'!A499,"")</f>
        <v/>
      </c>
      <c r="B7298" s="25">
        <f>IF('BOI GORDO'!C499&gt;0,'BOI GORDO'!C499,"")</f>
        <v/>
      </c>
    </row>
    <row r="7299">
      <c r="A7299" s="28">
        <f>IF('BOI GORDO'!C500&gt;0,'BOI GORDO'!A500,"")</f>
        <v/>
      </c>
      <c r="B7299" s="25">
        <f>IF('BOI GORDO'!C500&gt;0,'BOI GORDO'!C500,"")</f>
        <v/>
      </c>
    </row>
    <row r="7300">
      <c r="A7300" s="28">
        <f>IF('BOI GORDO'!C501&gt;0,'BOI GORDO'!A501,"")</f>
        <v/>
      </c>
      <c r="B7300" s="25">
        <f>IF('BOI GORDO'!C501&gt;0,'BOI GORDO'!C501,"")</f>
        <v/>
      </c>
    </row>
    <row r="7301">
      <c r="A7301" s="28">
        <f>IF('BOI GORDO'!C502&gt;0,'BOI GORDO'!A502,"")</f>
        <v/>
      </c>
      <c r="B7301" s="25">
        <f>IF('BOI GORDO'!C502&gt;0,'BOI GORDO'!C502,"")</f>
        <v/>
      </c>
    </row>
    <row r="7302">
      <c r="A7302" s="28">
        <f>IF('BOI GORDO'!C503&gt;0,'BOI GORDO'!A503,"")</f>
        <v/>
      </c>
      <c r="B7302" s="25">
        <f>IF('BOI GORDO'!C503&gt;0,'BOI GORDO'!C503,"")</f>
        <v/>
      </c>
    </row>
    <row r="7303">
      <c r="A7303" s="28">
        <f>IF('BOI GORDO'!C504&gt;0,'BOI GORDO'!A504,"")</f>
        <v/>
      </c>
      <c r="B7303" s="25">
        <f>IF('BOI GORDO'!C504&gt;0,'BOI GORDO'!C504,"")</f>
        <v/>
      </c>
    </row>
    <row r="7304">
      <c r="A7304" s="28">
        <f>IF('BOI GORDO'!C505&gt;0,'BOI GORDO'!A505,"")</f>
        <v/>
      </c>
      <c r="B7304" s="25">
        <f>IF('BOI GORDO'!C505&gt;0,'BOI GORDO'!C505,"")</f>
        <v/>
      </c>
    </row>
    <row r="7305">
      <c r="A7305" s="28">
        <f>IF('BOI GORDO'!C506&gt;0,'BOI GORDO'!A506,"")</f>
        <v/>
      </c>
      <c r="B7305" s="25">
        <f>IF('BOI GORDO'!C506&gt;0,'BOI GORDO'!C506,"")</f>
        <v/>
      </c>
    </row>
    <row r="7306">
      <c r="A7306" s="28">
        <f>IF('BOI GORDO'!C507&gt;0,'BOI GORDO'!A507,"")</f>
        <v/>
      </c>
      <c r="B7306" s="25">
        <f>IF('BOI GORDO'!C507&gt;0,'BOI GORDO'!C507,"")</f>
        <v/>
      </c>
    </row>
    <row r="7307">
      <c r="A7307" s="28">
        <f>IF('BOI GORDO'!C508&gt;0,'BOI GORDO'!A508,"")</f>
        <v/>
      </c>
      <c r="B7307" s="25">
        <f>IF('BOI GORDO'!C508&gt;0,'BOI GORDO'!C508,"")</f>
        <v/>
      </c>
    </row>
    <row r="7308">
      <c r="A7308" s="28">
        <f>IF('BOI GORDO'!C509&gt;0,'BOI GORDO'!A509,"")</f>
        <v/>
      </c>
      <c r="B7308" s="25">
        <f>IF('BOI GORDO'!C509&gt;0,'BOI GORDO'!C509,"")</f>
        <v/>
      </c>
    </row>
    <row r="7309">
      <c r="A7309" s="28">
        <f>IF('BOI GORDO'!C510&gt;0,'BOI GORDO'!A510,"")</f>
        <v/>
      </c>
      <c r="B7309" s="25">
        <f>IF('BOI GORDO'!C510&gt;0,'BOI GORDO'!C510,"")</f>
        <v/>
      </c>
    </row>
    <row r="7310">
      <c r="A7310" s="28">
        <f>IF('BOI GORDO'!C511&gt;0,'BOI GORDO'!A511,"")</f>
        <v/>
      </c>
      <c r="B7310" s="25">
        <f>IF('BOI GORDO'!C511&gt;0,'BOI GORDO'!C511,"")</f>
        <v/>
      </c>
    </row>
    <row r="7311">
      <c r="A7311" s="28">
        <f>IF('BOI GORDO'!C512&gt;0,'BOI GORDO'!A512,"")</f>
        <v/>
      </c>
      <c r="B7311" s="25">
        <f>IF('BOI GORDO'!C512&gt;0,'BOI GORDO'!C512,"")</f>
        <v/>
      </c>
    </row>
    <row r="7312">
      <c r="A7312" s="28">
        <f>IF('BOI GORDO'!C513&gt;0,'BOI GORDO'!A513,"")</f>
        <v/>
      </c>
      <c r="B7312" s="25">
        <f>IF('BOI GORDO'!C513&gt;0,'BOI GORDO'!C513,"")</f>
        <v/>
      </c>
    </row>
    <row r="7313">
      <c r="A7313" s="28">
        <f>IF('BOI GORDO'!C514&gt;0,'BOI GORDO'!A514,"")</f>
        <v/>
      </c>
      <c r="B7313" s="25">
        <f>IF('BOI GORDO'!C514&gt;0,'BOI GORDO'!C514,"")</f>
        <v/>
      </c>
    </row>
    <row r="7314">
      <c r="A7314" s="28">
        <f>IF('BOI GORDO'!C515&gt;0,'BOI GORDO'!A515,"")</f>
        <v/>
      </c>
      <c r="B7314" s="25">
        <f>IF('BOI GORDO'!C515&gt;0,'BOI GORDO'!C515,"")</f>
        <v/>
      </c>
    </row>
    <row r="7315">
      <c r="A7315" s="28">
        <f>IF('BOI GORDO'!C516&gt;0,'BOI GORDO'!A516,"")</f>
        <v/>
      </c>
      <c r="B7315" s="25">
        <f>IF('BOI GORDO'!C516&gt;0,'BOI GORDO'!C516,"")</f>
        <v/>
      </c>
    </row>
    <row r="7316">
      <c r="A7316" s="28">
        <f>IF('BOI GORDO'!C517&gt;0,'BOI GORDO'!A517,"")</f>
        <v/>
      </c>
      <c r="B7316" s="25">
        <f>IF('BOI GORDO'!C517&gt;0,'BOI GORDO'!C517,"")</f>
        <v/>
      </c>
    </row>
    <row r="7317">
      <c r="A7317" s="28">
        <f>IF('BOI GORDO'!C518&gt;0,'BOI GORDO'!A518,"")</f>
        <v/>
      </c>
      <c r="B7317" s="25">
        <f>IF('BOI GORDO'!C518&gt;0,'BOI GORDO'!C518,"")</f>
        <v/>
      </c>
    </row>
    <row r="7318">
      <c r="A7318" s="28">
        <f>IF('BOI GORDO'!C519&gt;0,'BOI GORDO'!A519,"")</f>
        <v/>
      </c>
      <c r="B7318" s="25">
        <f>IF('BOI GORDO'!C519&gt;0,'BOI GORDO'!C519,"")</f>
        <v/>
      </c>
    </row>
    <row r="7319">
      <c r="A7319" s="28">
        <f>IF('BOI GORDO'!C520&gt;0,'BOI GORDO'!A520,"")</f>
        <v/>
      </c>
      <c r="B7319" s="25">
        <f>IF('BOI GORDO'!C520&gt;0,'BOI GORDO'!C520,"")</f>
        <v/>
      </c>
    </row>
    <row r="7320">
      <c r="A7320" s="28">
        <f>IF('BOI GORDO'!C521&gt;0,'BOI GORDO'!A521,"")</f>
        <v/>
      </c>
      <c r="B7320" s="25">
        <f>IF('BOI GORDO'!C521&gt;0,'BOI GORDO'!C521,"")</f>
        <v/>
      </c>
    </row>
    <row r="7321">
      <c r="A7321" s="28">
        <f>IF('BOI GORDO'!C522&gt;0,'BOI GORDO'!A522,"")</f>
        <v/>
      </c>
      <c r="B7321" s="25">
        <f>IF('BOI GORDO'!C522&gt;0,'BOI GORDO'!C522,"")</f>
        <v/>
      </c>
    </row>
    <row r="7322">
      <c r="A7322" s="28">
        <f>IF('BOI GORDO'!C523&gt;0,'BOI GORDO'!A523,"")</f>
        <v/>
      </c>
      <c r="B7322" s="25">
        <f>IF('BOI GORDO'!C523&gt;0,'BOI GORDO'!C523,"")</f>
        <v/>
      </c>
    </row>
    <row r="7323">
      <c r="A7323" s="28">
        <f>IF('BOI GORDO'!C524&gt;0,'BOI GORDO'!A524,"")</f>
        <v/>
      </c>
      <c r="B7323" s="25">
        <f>IF('BOI GORDO'!C524&gt;0,'BOI GORDO'!C524,"")</f>
        <v/>
      </c>
    </row>
    <row r="7324">
      <c r="A7324" s="28">
        <f>IF('BOI GORDO'!C525&gt;0,'BOI GORDO'!A525,"")</f>
        <v/>
      </c>
      <c r="B7324" s="25">
        <f>IF('BOI GORDO'!C525&gt;0,'BOI GORDO'!C525,"")</f>
        <v/>
      </c>
    </row>
    <row r="7325">
      <c r="A7325" s="28">
        <f>IF('BOI GORDO'!C526&gt;0,'BOI GORDO'!A526,"")</f>
        <v/>
      </c>
      <c r="B7325" s="25">
        <f>IF('BOI GORDO'!C526&gt;0,'BOI GORDO'!C526,"")</f>
        <v/>
      </c>
    </row>
    <row r="7326">
      <c r="A7326" s="28">
        <f>IF('BOI GORDO'!C527&gt;0,'BOI GORDO'!A527,"")</f>
        <v/>
      </c>
      <c r="B7326" s="25">
        <f>IF('BOI GORDO'!C527&gt;0,'BOI GORDO'!C527,"")</f>
        <v/>
      </c>
    </row>
    <row r="7327">
      <c r="A7327" s="28">
        <f>IF('BOI GORDO'!C528&gt;0,'BOI GORDO'!A528,"")</f>
        <v/>
      </c>
      <c r="B7327" s="25">
        <f>IF('BOI GORDO'!C528&gt;0,'BOI GORDO'!C528,"")</f>
        <v/>
      </c>
    </row>
    <row r="7328">
      <c r="A7328" s="28">
        <f>IF('BOI GORDO'!C529&gt;0,'BOI GORDO'!A529,"")</f>
        <v/>
      </c>
      <c r="B7328" s="25">
        <f>IF('BOI GORDO'!C529&gt;0,'BOI GORDO'!C529,"")</f>
        <v/>
      </c>
    </row>
    <row r="7329">
      <c r="A7329" s="28">
        <f>IF('BOI GORDO'!C530&gt;0,'BOI GORDO'!A530,"")</f>
        <v/>
      </c>
      <c r="B7329" s="25">
        <f>IF('BOI GORDO'!C530&gt;0,'BOI GORDO'!C530,"")</f>
        <v/>
      </c>
    </row>
    <row r="7330">
      <c r="A7330" s="28">
        <f>IF('BOI GORDO'!C531&gt;0,'BOI GORDO'!A531,"")</f>
        <v/>
      </c>
      <c r="B7330" s="25">
        <f>IF('BOI GORDO'!C531&gt;0,'BOI GORDO'!C531,"")</f>
        <v/>
      </c>
    </row>
    <row r="7331">
      <c r="A7331" s="28">
        <f>IF('BOI GORDO'!C532&gt;0,'BOI GORDO'!A532,"")</f>
        <v/>
      </c>
      <c r="B7331" s="25">
        <f>IF('BOI GORDO'!C532&gt;0,'BOI GORDO'!C532,"")</f>
        <v/>
      </c>
    </row>
    <row r="7332">
      <c r="A7332" s="28">
        <f>IF('BOI GORDO'!C533&gt;0,'BOI GORDO'!A533,"")</f>
        <v/>
      </c>
      <c r="B7332" s="25">
        <f>IF('BOI GORDO'!C533&gt;0,'BOI GORDO'!C533,"")</f>
        <v/>
      </c>
    </row>
    <row r="7333">
      <c r="A7333" s="28">
        <f>IF('BOI GORDO'!C534&gt;0,'BOI GORDO'!A534,"")</f>
        <v/>
      </c>
      <c r="B7333" s="25">
        <f>IF('BOI GORDO'!C534&gt;0,'BOI GORDO'!C534,"")</f>
        <v/>
      </c>
    </row>
    <row r="7334">
      <c r="A7334" s="28">
        <f>IF('BOI GORDO'!C535&gt;0,'BOI GORDO'!A535,"")</f>
        <v/>
      </c>
      <c r="B7334" s="25">
        <f>IF('BOI GORDO'!C535&gt;0,'BOI GORDO'!C535,"")</f>
        <v/>
      </c>
    </row>
    <row r="7335">
      <c r="A7335" s="28">
        <f>IF('BOI GORDO'!C536&gt;0,'BOI GORDO'!A536,"")</f>
        <v/>
      </c>
      <c r="B7335" s="25">
        <f>IF('BOI GORDO'!C536&gt;0,'BOI GORDO'!C536,"")</f>
        <v/>
      </c>
    </row>
    <row r="7336">
      <c r="A7336" s="28">
        <f>IF('BOI GORDO'!C537&gt;0,'BOI GORDO'!A537,"")</f>
        <v/>
      </c>
      <c r="B7336" s="25">
        <f>IF('BOI GORDO'!C537&gt;0,'BOI GORDO'!C537,"")</f>
        <v/>
      </c>
    </row>
    <row r="7337">
      <c r="A7337" s="28">
        <f>IF('BOI GORDO'!C538&gt;0,'BOI GORDO'!A538,"")</f>
        <v/>
      </c>
      <c r="B7337" s="25">
        <f>IF('BOI GORDO'!C538&gt;0,'BOI GORDO'!C538,"")</f>
        <v/>
      </c>
    </row>
    <row r="7338">
      <c r="A7338" s="28">
        <f>IF('BOI GORDO'!C539&gt;0,'BOI GORDO'!A539,"")</f>
        <v/>
      </c>
      <c r="B7338" s="25">
        <f>IF('BOI GORDO'!C539&gt;0,'BOI GORDO'!C539,"")</f>
        <v/>
      </c>
    </row>
    <row r="7339">
      <c r="A7339" s="28">
        <f>IF('BOI GORDO'!C540&gt;0,'BOI GORDO'!A540,"")</f>
        <v/>
      </c>
      <c r="B7339" s="25">
        <f>IF('BOI GORDO'!C540&gt;0,'BOI GORDO'!C540,"")</f>
        <v/>
      </c>
    </row>
    <row r="7340">
      <c r="A7340" s="28">
        <f>IF('BOI GORDO'!C541&gt;0,'BOI GORDO'!A541,"")</f>
        <v/>
      </c>
      <c r="B7340" s="25">
        <f>IF('BOI GORDO'!C541&gt;0,'BOI GORDO'!C541,"")</f>
        <v/>
      </c>
    </row>
    <row r="7341">
      <c r="A7341" s="28">
        <f>IF('BOI GORDO'!C542&gt;0,'BOI GORDO'!A542,"")</f>
        <v/>
      </c>
      <c r="B7341" s="25">
        <f>IF('BOI GORDO'!C542&gt;0,'BOI GORDO'!C542,"")</f>
        <v/>
      </c>
    </row>
    <row r="7342">
      <c r="A7342" s="28">
        <f>IF('BOI GORDO'!C543&gt;0,'BOI GORDO'!A543,"")</f>
        <v/>
      </c>
      <c r="B7342" s="25">
        <f>IF('BOI GORDO'!C543&gt;0,'BOI GORDO'!C543,"")</f>
        <v/>
      </c>
    </row>
    <row r="7343">
      <c r="A7343" s="28">
        <f>IF('BOI GORDO'!C544&gt;0,'BOI GORDO'!A544,"")</f>
        <v/>
      </c>
      <c r="B7343" s="25">
        <f>IF('BOI GORDO'!C544&gt;0,'BOI GORDO'!C544,"")</f>
        <v/>
      </c>
    </row>
    <row r="7344">
      <c r="A7344" s="28">
        <f>IF('BOI GORDO'!C545&gt;0,'BOI GORDO'!A545,"")</f>
        <v/>
      </c>
      <c r="B7344" s="25">
        <f>IF('BOI GORDO'!C545&gt;0,'BOI GORDO'!C545,"")</f>
        <v/>
      </c>
    </row>
    <row r="7345">
      <c r="A7345" s="28">
        <f>IF('BOI GORDO'!C546&gt;0,'BOI GORDO'!A546,"")</f>
        <v/>
      </c>
      <c r="B7345" s="25">
        <f>IF('BOI GORDO'!C546&gt;0,'BOI GORDO'!C546,"")</f>
        <v/>
      </c>
    </row>
    <row r="7346">
      <c r="A7346" s="28">
        <f>IF('BOI GORDO'!C547&gt;0,'BOI GORDO'!A547,"")</f>
        <v/>
      </c>
      <c r="B7346" s="25">
        <f>IF('BOI GORDO'!C547&gt;0,'BOI GORDO'!C547,"")</f>
        <v/>
      </c>
    </row>
    <row r="7347">
      <c r="A7347" s="28">
        <f>IF('BOI GORDO'!C548&gt;0,'BOI GORDO'!A548,"")</f>
        <v/>
      </c>
      <c r="B7347" s="25">
        <f>IF('BOI GORDO'!C548&gt;0,'BOI GORDO'!C548,"")</f>
        <v/>
      </c>
    </row>
    <row r="7348">
      <c r="A7348" s="28">
        <f>IF('BOI GORDO'!C549&gt;0,'BOI GORDO'!A549,"")</f>
        <v/>
      </c>
      <c r="B7348" s="25">
        <f>IF('BOI GORDO'!C549&gt;0,'BOI GORDO'!C549,"")</f>
        <v/>
      </c>
    </row>
    <row r="7349">
      <c r="A7349" s="28">
        <f>IF('BOI GORDO'!C550&gt;0,'BOI GORDO'!A550,"")</f>
        <v/>
      </c>
      <c r="B7349" s="25">
        <f>IF('BOI GORDO'!C550&gt;0,'BOI GORDO'!C550,"")</f>
        <v/>
      </c>
    </row>
    <row r="7350">
      <c r="A7350" s="28">
        <f>IF('BOI GORDO'!C551&gt;0,'BOI GORDO'!A551,"")</f>
        <v/>
      </c>
      <c r="B7350" s="25">
        <f>IF('BOI GORDO'!C551&gt;0,'BOI GORDO'!C551,"")</f>
        <v/>
      </c>
    </row>
    <row r="7351">
      <c r="A7351" s="28">
        <f>IF('BOI GORDO'!C552&gt;0,'BOI GORDO'!A552,"")</f>
        <v/>
      </c>
      <c r="B7351" s="25">
        <f>IF('BOI GORDO'!C552&gt;0,'BOI GORDO'!C552,"")</f>
        <v/>
      </c>
    </row>
    <row r="7352">
      <c r="A7352" s="28">
        <f>IF('BOI GORDO'!C553&gt;0,'BOI GORDO'!A553,"")</f>
        <v/>
      </c>
      <c r="B7352" s="25">
        <f>IF('BOI GORDO'!C553&gt;0,'BOI GORDO'!C553,"")</f>
        <v/>
      </c>
    </row>
    <row r="7353">
      <c r="A7353" s="28">
        <f>IF('BOI GORDO'!C554&gt;0,'BOI GORDO'!A554,"")</f>
        <v/>
      </c>
      <c r="B7353" s="25">
        <f>IF('BOI GORDO'!C554&gt;0,'BOI GORDO'!C554,"")</f>
        <v/>
      </c>
    </row>
    <row r="7354">
      <c r="A7354" s="28">
        <f>IF('BOI GORDO'!C555&gt;0,'BOI GORDO'!A555,"")</f>
        <v/>
      </c>
      <c r="B7354" s="25">
        <f>IF('BOI GORDO'!C555&gt;0,'BOI GORDO'!C555,"")</f>
        <v/>
      </c>
    </row>
    <row r="7355">
      <c r="A7355" s="28">
        <f>IF('BOI GORDO'!C556&gt;0,'BOI GORDO'!A556,"")</f>
        <v/>
      </c>
      <c r="B7355" s="25">
        <f>IF('BOI GORDO'!C556&gt;0,'BOI GORDO'!C556,"")</f>
        <v/>
      </c>
    </row>
    <row r="7356">
      <c r="A7356" s="28">
        <f>IF('BOI GORDO'!C557&gt;0,'BOI GORDO'!A557,"")</f>
        <v/>
      </c>
      <c r="B7356" s="25">
        <f>IF('BOI GORDO'!C557&gt;0,'BOI GORDO'!C557,"")</f>
        <v/>
      </c>
    </row>
    <row r="7357">
      <c r="A7357" s="28">
        <f>IF('BOI GORDO'!C558&gt;0,'BOI GORDO'!A558,"")</f>
        <v/>
      </c>
      <c r="B7357" s="25">
        <f>IF('BOI GORDO'!C558&gt;0,'BOI GORDO'!C558,"")</f>
        <v/>
      </c>
    </row>
    <row r="7358">
      <c r="A7358" s="28">
        <f>IF('BOI GORDO'!C559&gt;0,'BOI GORDO'!A559,"")</f>
        <v/>
      </c>
      <c r="B7358" s="25">
        <f>IF('BOI GORDO'!C559&gt;0,'BOI GORDO'!C559,"")</f>
        <v/>
      </c>
    </row>
    <row r="7359">
      <c r="A7359" s="28">
        <f>IF('BOI GORDO'!C560&gt;0,'BOI GORDO'!A560,"")</f>
        <v/>
      </c>
      <c r="B7359" s="25">
        <f>IF('BOI GORDO'!C560&gt;0,'BOI GORDO'!C560,"")</f>
        <v/>
      </c>
    </row>
    <row r="7360">
      <c r="A7360" s="28">
        <f>IF('BOI GORDO'!C561&gt;0,'BOI GORDO'!A561,"")</f>
        <v/>
      </c>
      <c r="B7360" s="25">
        <f>IF('BOI GORDO'!C561&gt;0,'BOI GORDO'!C561,"")</f>
        <v/>
      </c>
    </row>
    <row r="7361">
      <c r="A7361" s="28">
        <f>IF('BOI GORDO'!C562&gt;0,'BOI GORDO'!A562,"")</f>
        <v/>
      </c>
      <c r="B7361" s="25">
        <f>IF('BOI GORDO'!C562&gt;0,'BOI GORDO'!C562,"")</f>
        <v/>
      </c>
    </row>
    <row r="7362">
      <c r="A7362" s="28">
        <f>IF('BOI GORDO'!C563&gt;0,'BOI GORDO'!A563,"")</f>
        <v/>
      </c>
      <c r="B7362" s="25">
        <f>IF('BOI GORDO'!C563&gt;0,'BOI GORDO'!C563,"")</f>
        <v/>
      </c>
    </row>
    <row r="7363">
      <c r="A7363" s="28">
        <f>IF('BOI GORDO'!C564&gt;0,'BOI GORDO'!A564,"")</f>
        <v/>
      </c>
      <c r="B7363" s="25">
        <f>IF('BOI GORDO'!C564&gt;0,'BOI GORDO'!C564,"")</f>
        <v/>
      </c>
    </row>
    <row r="7364">
      <c r="A7364" s="28">
        <f>IF('BOI GORDO'!C565&gt;0,'BOI GORDO'!A565,"")</f>
        <v/>
      </c>
      <c r="B7364" s="25">
        <f>IF('BOI GORDO'!C565&gt;0,'BOI GORDO'!C565,"")</f>
        <v/>
      </c>
    </row>
    <row r="7365">
      <c r="A7365" s="28">
        <f>IF('BOI GORDO'!C566&gt;0,'BOI GORDO'!A566,"")</f>
        <v/>
      </c>
      <c r="B7365" s="25">
        <f>IF('BOI GORDO'!C566&gt;0,'BOI GORDO'!C566,"")</f>
        <v/>
      </c>
    </row>
    <row r="7366">
      <c r="A7366" s="28">
        <f>IF('BOI GORDO'!C567&gt;0,'BOI GORDO'!A567,"")</f>
        <v/>
      </c>
      <c r="B7366" s="25">
        <f>IF('BOI GORDO'!C567&gt;0,'BOI GORDO'!C567,"")</f>
        <v/>
      </c>
    </row>
    <row r="7367">
      <c r="A7367" s="28">
        <f>IF('BOI GORDO'!C568&gt;0,'BOI GORDO'!A568,"")</f>
        <v/>
      </c>
      <c r="B7367" s="25">
        <f>IF('BOI GORDO'!C568&gt;0,'BOI GORDO'!C568,"")</f>
        <v/>
      </c>
    </row>
    <row r="7368">
      <c r="A7368" s="28">
        <f>IF('BOI GORDO'!C569&gt;0,'BOI GORDO'!A569,"")</f>
        <v/>
      </c>
      <c r="B7368" s="25">
        <f>IF('BOI GORDO'!C569&gt;0,'BOI GORDO'!C569,"")</f>
        <v/>
      </c>
    </row>
    <row r="7369">
      <c r="A7369" s="28">
        <f>IF('BOI GORDO'!C570&gt;0,'BOI GORDO'!A570,"")</f>
        <v/>
      </c>
      <c r="B7369" s="25">
        <f>IF('BOI GORDO'!C570&gt;0,'BOI GORDO'!C570,"")</f>
        <v/>
      </c>
    </row>
    <row r="7370">
      <c r="A7370" s="28">
        <f>IF('BOI GORDO'!C571&gt;0,'BOI GORDO'!A571,"")</f>
        <v/>
      </c>
      <c r="B7370" s="25">
        <f>IF('BOI GORDO'!C571&gt;0,'BOI GORDO'!C571,"")</f>
        <v/>
      </c>
    </row>
    <row r="7371">
      <c r="A7371" s="28">
        <f>IF('BOI GORDO'!C572&gt;0,'BOI GORDO'!A572,"")</f>
        <v/>
      </c>
      <c r="B7371" s="25">
        <f>IF('BOI GORDO'!C572&gt;0,'BOI GORDO'!C572,"")</f>
        <v/>
      </c>
    </row>
    <row r="7372">
      <c r="A7372" s="28">
        <f>IF('BOI GORDO'!C573&gt;0,'BOI GORDO'!A573,"")</f>
        <v/>
      </c>
      <c r="B7372" s="25">
        <f>IF('BOI GORDO'!C573&gt;0,'BOI GORDO'!C573,"")</f>
        <v/>
      </c>
    </row>
    <row r="7373">
      <c r="A7373" s="28">
        <f>IF('BOI GORDO'!C574&gt;0,'BOI GORDO'!A574,"")</f>
        <v/>
      </c>
      <c r="B7373" s="25">
        <f>IF('BOI GORDO'!C574&gt;0,'BOI GORDO'!C574,"")</f>
        <v/>
      </c>
    </row>
    <row r="7374">
      <c r="A7374" s="28">
        <f>IF('BOI GORDO'!C575&gt;0,'BOI GORDO'!A575,"")</f>
        <v/>
      </c>
      <c r="B7374" s="25">
        <f>IF('BOI GORDO'!C575&gt;0,'BOI GORDO'!C575,"")</f>
        <v/>
      </c>
    </row>
    <row r="7375">
      <c r="A7375" s="28">
        <f>IF('BOI GORDO'!C576&gt;0,'BOI GORDO'!A576,"")</f>
        <v/>
      </c>
      <c r="B7375" s="25">
        <f>IF('BOI GORDO'!C576&gt;0,'BOI GORDO'!C576,"")</f>
        <v/>
      </c>
    </row>
    <row r="7376">
      <c r="A7376" s="28">
        <f>IF('BOI GORDO'!C577&gt;0,'BOI GORDO'!A577,"")</f>
        <v/>
      </c>
      <c r="B7376" s="25">
        <f>IF('BOI GORDO'!C577&gt;0,'BOI GORDO'!C577,"")</f>
        <v/>
      </c>
    </row>
    <row r="7377">
      <c r="A7377" s="28">
        <f>IF('BOI GORDO'!C578&gt;0,'BOI GORDO'!A578,"")</f>
        <v/>
      </c>
      <c r="B7377" s="25">
        <f>IF('BOI GORDO'!C578&gt;0,'BOI GORDO'!C578,"")</f>
        <v/>
      </c>
    </row>
    <row r="7378">
      <c r="A7378" s="28">
        <f>IF('BOI GORDO'!C579&gt;0,'BOI GORDO'!A579,"")</f>
        <v/>
      </c>
      <c r="B7378" s="25">
        <f>IF('BOI GORDO'!C579&gt;0,'BOI GORDO'!C579,"")</f>
        <v/>
      </c>
    </row>
    <row r="7379">
      <c r="A7379" s="28">
        <f>IF('BOI GORDO'!C580&gt;0,'BOI GORDO'!A580,"")</f>
        <v/>
      </c>
      <c r="B7379" s="25">
        <f>IF('BOI GORDO'!C580&gt;0,'BOI GORDO'!C580,"")</f>
        <v/>
      </c>
    </row>
    <row r="7380">
      <c r="A7380" s="28">
        <f>IF('BOI GORDO'!C581&gt;0,'BOI GORDO'!A581,"")</f>
        <v/>
      </c>
      <c r="B7380" s="25">
        <f>IF('BOI GORDO'!C581&gt;0,'BOI GORDO'!C581,"")</f>
        <v/>
      </c>
    </row>
    <row r="7381">
      <c r="A7381" s="28">
        <f>IF('BOI GORDO'!C582&gt;0,'BOI GORDO'!A582,"")</f>
        <v/>
      </c>
      <c r="B7381" s="25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5571"/>
  <sheetViews>
    <sheetView topLeftCell="A10" workbookViewId="0">
      <selection activeCell="E25" sqref="E25"/>
    </sheetView>
  </sheetViews>
  <sheetFormatPr baseColWidth="8" defaultRowHeight="15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t="inlineStr">
        <is>
          <t>Data</t>
        </is>
      </c>
      <c r="B1" s="13" t="inlineStr">
        <is>
          <t>Preço corrigido IGP-M (base dez/25)</t>
        </is>
      </c>
      <c r="C1" s="14" t="inlineStr">
        <is>
          <t>Meses</t>
        </is>
      </c>
      <c r="D1" s="13" t="inlineStr">
        <is>
          <t>Média Corrigida</t>
        </is>
      </c>
      <c r="E1" s="13" t="inlineStr">
        <is>
          <t>Base 100</t>
        </is>
      </c>
      <c r="F1" s="1" t="inlineStr">
        <is>
          <t>Mês</t>
        </is>
      </c>
      <c r="G1" s="1" t="inlineStr">
        <is>
          <t>M.B 100 - Série Total</t>
        </is>
      </c>
      <c r="H1" s="1" t="inlineStr">
        <is>
          <t>B.100 +1 Desv</t>
        </is>
      </c>
      <c r="I1" s="1" t="inlineStr">
        <is>
          <t>B.100 +2 Desv</t>
        </is>
      </c>
      <c r="J1" s="1" t="inlineStr">
        <is>
          <t>B.100 -1 Desv</t>
        </is>
      </c>
      <c r="K1" s="1" t="inlineStr">
        <is>
          <t>B.100 -2 Desv</t>
        </is>
      </c>
      <c r="L1" s="1" t="inlineStr">
        <is>
          <t>Desvio Padrão B.100</t>
        </is>
      </c>
      <c r="M1" s="1">
        <f>"M.B 100 - Safra "&amp;IF(MONTH(TODAY())&gt;=7,YEAR(TODAY()),YEAR(TODAY())-1)&amp;"/"&amp;RIGHT(IF(MONTH(TODAY())&gt;=7,YEAR(TODAY())+1,YEAR(TODAY())),2)</f>
        <v/>
      </c>
      <c r="N1" s="1">
        <f>"Média Safra "&amp;IF(MONTH(TODAY())&gt;=7,YEAR(TODAY()),YEAR(TODAY())-1)&amp;"/"&amp;RIGHT(IF(MONTH(TODAY())&gt;=7,YEAR(TODAY())+1,YEAR(TODAY())),2)</f>
        <v/>
      </c>
      <c r="O1" s="1" t="inlineStr">
        <is>
          <t>Preço Média</t>
        </is>
      </c>
      <c r="P1" s="16" t="inlineStr">
        <is>
          <t>Desvio Padrão</t>
        </is>
      </c>
      <c r="Q1" s="1" t="inlineStr">
        <is>
          <t>Preço +1 Desv.</t>
        </is>
      </c>
      <c r="R1" s="1" t="inlineStr">
        <is>
          <t>Preço +2 Desv.</t>
        </is>
      </c>
      <c r="S1" s="1" t="inlineStr">
        <is>
          <t>Preço -1 Desv.</t>
        </is>
      </c>
      <c r="T1" s="1" t="inlineStr">
        <is>
          <t>Preço -2 Desv.</t>
        </is>
      </c>
      <c r="U1" s="38" t="inlineStr">
        <is>
          <t>M.B 100 El Niño</t>
        </is>
      </c>
      <c r="V1" s="38" t="inlineStr">
        <is>
          <t>B.100 +1 Desv EN</t>
        </is>
      </c>
      <c r="W1" s="38" t="inlineStr">
        <is>
          <t>B.100 +2 Desv EN</t>
        </is>
      </c>
      <c r="X1" s="38" t="inlineStr">
        <is>
          <t>B.100 -1 Desv EN</t>
        </is>
      </c>
      <c r="Y1" s="38" t="inlineStr">
        <is>
          <t>B.100 -2 Desv EN</t>
        </is>
      </c>
      <c r="Z1" s="38" t="inlineStr">
        <is>
          <t>Desv. Padrão B.100 EN</t>
        </is>
      </c>
      <c r="AA1" s="38" t="inlineStr">
        <is>
          <t>Preço Média El Niño</t>
        </is>
      </c>
      <c r="AB1" s="38" t="inlineStr">
        <is>
          <t>Desv. Padrão EN</t>
        </is>
      </c>
      <c r="AC1" s="38" t="inlineStr">
        <is>
          <t>Preço +1 Desv EN</t>
        </is>
      </c>
      <c r="AD1" s="38" t="inlineStr">
        <is>
          <t>Preço +2 Desv EN</t>
        </is>
      </c>
      <c r="AE1" s="38" t="inlineStr">
        <is>
          <t>Preço -1 Desv EN</t>
        </is>
      </c>
      <c r="AF1" s="38" t="inlineStr">
        <is>
          <t>Preço -2 Desv EN</t>
        </is>
      </c>
      <c r="AG1" s="39" t="inlineStr">
        <is>
          <t>M.B 100 La Niña</t>
        </is>
      </c>
      <c r="AH1" s="39" t="inlineStr">
        <is>
          <t>B.100 +1 Desv LN</t>
        </is>
      </c>
      <c r="AI1" s="39" t="inlineStr">
        <is>
          <t>B.100 +2 Desv LN</t>
        </is>
      </c>
      <c r="AJ1" s="39" t="inlineStr">
        <is>
          <t>B.100 -1 Desv LN</t>
        </is>
      </c>
      <c r="AK1" s="39" t="inlineStr">
        <is>
          <t>B.100 -2 Desv LN</t>
        </is>
      </c>
      <c r="AL1" s="39" t="inlineStr">
        <is>
          <t>Desv. Padrão B.100 LN</t>
        </is>
      </c>
      <c r="AM1" s="39" t="inlineStr">
        <is>
          <t>Preço Média La Niña</t>
        </is>
      </c>
      <c r="AN1" s="39" t="inlineStr">
        <is>
          <t>Desv. Padrão LN</t>
        </is>
      </c>
      <c r="AO1" s="39" t="inlineStr">
        <is>
          <t>Preço +1 Desv LN</t>
        </is>
      </c>
      <c r="AP1" s="39" t="inlineStr">
        <is>
          <t>Preço +2 Desv LN</t>
        </is>
      </c>
      <c r="AQ1" s="39" t="inlineStr">
        <is>
          <t>Preço -1 Desv LN</t>
        </is>
      </c>
      <c r="AR1" s="39" t="inlineStr">
        <is>
          <t>Preço -2 Desv LN</t>
        </is>
      </c>
    </row>
    <row r="2">
      <c r="A2" s="4" t="inlineStr">
        <is>
          <t>02/08/2004</t>
        </is>
      </c>
      <c r="B2" s="31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F2" t="inlineStr">
        <is>
          <t>Janeiro</t>
        </is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4" t="inlineStr">
        <is>
          <t>03/08/2004</t>
        </is>
      </c>
      <c r="B3" s="31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F3" t="inlineStr">
        <is>
          <t>Fevereiro</t>
        </is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4" t="inlineStr">
        <is>
          <t>04/08/2004</t>
        </is>
      </c>
      <c r="B4" s="31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F4" t="inlineStr">
        <is>
          <t>Março</t>
        </is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4" t="inlineStr">
        <is>
          <t>05/08/2004</t>
        </is>
      </c>
      <c r="B5" s="31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F5" t="inlineStr">
        <is>
          <t>Abril</t>
        </is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4" t="inlineStr">
        <is>
          <t>06/08/2004</t>
        </is>
      </c>
      <c r="B6" s="31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F6" t="inlineStr">
        <is>
          <t>Maio</t>
        </is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4" t="inlineStr">
        <is>
          <t>09/08/2004</t>
        </is>
      </c>
      <c r="B7" s="31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F7" t="inlineStr">
        <is>
          <t>Junho</t>
        </is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4" t="inlineStr">
        <is>
          <t>10/08/2004</t>
        </is>
      </c>
      <c r="B8" s="31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F8" t="inlineStr">
        <is>
          <t>Julho</t>
        </is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4" t="inlineStr">
        <is>
          <t>11/08/2004</t>
        </is>
      </c>
      <c r="B9" s="31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F9" t="inlineStr">
        <is>
          <t>Agosto</t>
        </is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4" t="inlineStr">
        <is>
          <t>12/08/2004</t>
        </is>
      </c>
      <c r="B10" s="31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F10" t="inlineStr">
        <is>
          <t>Setembro</t>
        </is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4" t="inlineStr">
        <is>
          <t>13/08/2004</t>
        </is>
      </c>
      <c r="B11" s="31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F11" t="inlineStr">
        <is>
          <t>Outubro</t>
        </is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4" t="inlineStr">
        <is>
          <t>16/08/2004</t>
        </is>
      </c>
      <c r="B12" s="31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F12" t="inlineStr">
        <is>
          <t>Novembro</t>
        </is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4" t="inlineStr">
        <is>
          <t>17/08/2004</t>
        </is>
      </c>
      <c r="B13" s="31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F13" t="inlineStr">
        <is>
          <t>Dezembro</t>
        </is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4" t="inlineStr">
        <is>
          <t>18/08/2004</t>
        </is>
      </c>
      <c r="B14" s="31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4" t="inlineStr">
        <is>
          <t>19/08/2004</t>
        </is>
      </c>
      <c r="B15" s="31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  <c r="U15" s="32" t="inlineStr">
        <is>
          <t>Classificação Safras - ENSO</t>
        </is>
      </c>
    </row>
    <row r="16">
      <c r="A16" s="4" t="inlineStr">
        <is>
          <t>20/08/2004</t>
        </is>
      </c>
      <c r="B16" s="31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  <c r="U16" s="32" t="inlineStr">
        <is>
          <t>Safra</t>
        </is>
      </c>
      <c r="V16" s="32" t="inlineStr">
        <is>
          <t>Fenômeno</t>
        </is>
      </c>
    </row>
    <row r="17">
      <c r="A17" s="4" t="inlineStr">
        <is>
          <t>23/08/2004</t>
        </is>
      </c>
      <c r="B17" s="31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  <c r="U17" t="inlineStr">
        <is>
          <t>2004/05</t>
        </is>
      </c>
      <c r="V17" s="40" t="inlineStr">
        <is>
          <t>El Niño</t>
        </is>
      </c>
    </row>
    <row r="18">
      <c r="A18" s="4" t="inlineStr">
        <is>
          <t>24/08/2004</t>
        </is>
      </c>
      <c r="B18" s="31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  <c r="U18" t="inlineStr">
        <is>
          <t>2005/06</t>
        </is>
      </c>
      <c r="V18" s="41" t="inlineStr">
        <is>
          <t>La Niña</t>
        </is>
      </c>
    </row>
    <row r="19">
      <c r="A19" s="4" t="inlineStr">
        <is>
          <t>25/08/2004</t>
        </is>
      </c>
      <c r="B19" s="31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  <c r="U19" t="inlineStr">
        <is>
          <t>2006/07</t>
        </is>
      </c>
      <c r="V19" s="40" t="inlineStr">
        <is>
          <t>El Niño</t>
        </is>
      </c>
    </row>
    <row r="20">
      <c r="A20" s="4" t="inlineStr">
        <is>
          <t>26/08/2004</t>
        </is>
      </c>
      <c r="B20" s="31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  <c r="U20" t="inlineStr">
        <is>
          <t>2007/08</t>
        </is>
      </c>
      <c r="V20" s="41" t="inlineStr">
        <is>
          <t>La Niña</t>
        </is>
      </c>
    </row>
    <row r="21">
      <c r="A21" s="4" t="inlineStr">
        <is>
          <t>27/08/2004</t>
        </is>
      </c>
      <c r="B21" s="31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  <c r="U21" t="inlineStr">
        <is>
          <t>2008/09</t>
        </is>
      </c>
      <c r="V21" s="41" t="inlineStr">
        <is>
          <t>La Niña</t>
        </is>
      </c>
    </row>
    <row r="22">
      <c r="A22" s="4" t="inlineStr">
        <is>
          <t>30/08/2004</t>
        </is>
      </c>
      <c r="B22" s="31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  <c r="U22" t="inlineStr">
        <is>
          <t>2009/10</t>
        </is>
      </c>
      <c r="V22" s="40" t="inlineStr">
        <is>
          <t>El Niño</t>
        </is>
      </c>
    </row>
    <row r="23">
      <c r="A23" s="4" t="inlineStr">
        <is>
          <t>31/08/2004</t>
        </is>
      </c>
      <c r="B23" s="31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  <c r="U23" t="inlineStr">
        <is>
          <t>2010/11</t>
        </is>
      </c>
      <c r="V23" s="41" t="inlineStr">
        <is>
          <t>La Niña</t>
        </is>
      </c>
    </row>
    <row r="24">
      <c r="A24" s="4" t="inlineStr">
        <is>
          <t>01/09/2004</t>
        </is>
      </c>
      <c r="B24" s="31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  <c r="U24" t="inlineStr">
        <is>
          <t>2011/12</t>
        </is>
      </c>
      <c r="V24" s="41" t="inlineStr">
        <is>
          <t>La Niña</t>
        </is>
      </c>
    </row>
    <row r="25">
      <c r="A25" s="4" t="inlineStr">
        <is>
          <t>02/09/2004</t>
        </is>
      </c>
      <c r="B25" s="31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  <c r="U25" t="inlineStr">
        <is>
          <t>2012/13</t>
        </is>
      </c>
      <c r="V25" s="41" t="inlineStr">
        <is>
          <t>La Niña</t>
        </is>
      </c>
    </row>
    <row r="26">
      <c r="A26" s="4" t="inlineStr">
        <is>
          <t>03/09/2004</t>
        </is>
      </c>
      <c r="B26" s="31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  <c r="U26" t="inlineStr">
        <is>
          <t>2013/14</t>
        </is>
      </c>
      <c r="V26" s="41" t="inlineStr">
        <is>
          <t>La Niña</t>
        </is>
      </c>
    </row>
    <row r="27">
      <c r="A27" s="4" t="inlineStr">
        <is>
          <t>06/09/2004</t>
        </is>
      </c>
      <c r="B27" s="31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  <c r="U27" t="inlineStr">
        <is>
          <t>2014/15</t>
        </is>
      </c>
      <c r="V27" s="40" t="inlineStr">
        <is>
          <t>El Niño</t>
        </is>
      </c>
    </row>
    <row r="28">
      <c r="A28" s="4" t="inlineStr">
        <is>
          <t>09/09/2004</t>
        </is>
      </c>
      <c r="B28" s="31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  <c r="U28" t="inlineStr">
        <is>
          <t>2015/16</t>
        </is>
      </c>
      <c r="V28" s="40" t="inlineStr">
        <is>
          <t>El Niño</t>
        </is>
      </c>
    </row>
    <row r="29">
      <c r="A29" s="4" t="inlineStr">
        <is>
          <t>10/09/2004</t>
        </is>
      </c>
      <c r="B29" s="31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  <c r="U29" t="inlineStr">
        <is>
          <t>2016/17</t>
        </is>
      </c>
      <c r="V29" s="41" t="inlineStr">
        <is>
          <t>La Niña</t>
        </is>
      </c>
    </row>
    <row r="30">
      <c r="A30" s="4" t="inlineStr">
        <is>
          <t>13/09/2004</t>
        </is>
      </c>
      <c r="B30" s="31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  <c r="U30" t="inlineStr">
        <is>
          <t>2017/18</t>
        </is>
      </c>
      <c r="V30" s="41" t="inlineStr">
        <is>
          <t>La Niña</t>
        </is>
      </c>
    </row>
    <row r="31">
      <c r="A31" s="4" t="inlineStr">
        <is>
          <t>14/09/2004</t>
        </is>
      </c>
      <c r="B31" s="31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  <c r="U31" t="inlineStr">
        <is>
          <t>2018/19</t>
        </is>
      </c>
      <c r="V31" s="40" t="inlineStr">
        <is>
          <t>El Niño</t>
        </is>
      </c>
    </row>
    <row r="32">
      <c r="A32" s="4" t="inlineStr">
        <is>
          <t>15/09/2004</t>
        </is>
      </c>
      <c r="B32" s="31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  <c r="U32" t="inlineStr">
        <is>
          <t>2019/20</t>
        </is>
      </c>
      <c r="V32" s="41" t="inlineStr">
        <is>
          <t>La Niña</t>
        </is>
      </c>
    </row>
    <row r="33">
      <c r="A33" s="4" t="inlineStr">
        <is>
          <t>16/09/2004</t>
        </is>
      </c>
      <c r="B33" s="31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  <c r="U33" t="inlineStr">
        <is>
          <t>2020/21</t>
        </is>
      </c>
      <c r="V33" s="41" t="inlineStr">
        <is>
          <t>La Niña</t>
        </is>
      </c>
    </row>
    <row r="34">
      <c r="A34" s="4" t="inlineStr">
        <is>
          <t>17/09/2004</t>
        </is>
      </c>
      <c r="B34" s="31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  <c r="U34" t="inlineStr">
        <is>
          <t>2021/22</t>
        </is>
      </c>
      <c r="V34" s="41" t="inlineStr">
        <is>
          <t>La Niña</t>
        </is>
      </c>
    </row>
    <row r="35">
      <c r="A35" s="4" t="inlineStr">
        <is>
          <t>20/09/2004</t>
        </is>
      </c>
      <c r="B35" s="31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  <c r="U35" t="inlineStr">
        <is>
          <t>2022/23</t>
        </is>
      </c>
      <c r="V35" s="41" t="inlineStr">
        <is>
          <t>La Niña</t>
        </is>
      </c>
    </row>
    <row r="36">
      <c r="A36" s="4" t="inlineStr">
        <is>
          <t>21/09/2004</t>
        </is>
      </c>
      <c r="B36" s="31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  <c r="U36" t="inlineStr">
        <is>
          <t>2023/24</t>
        </is>
      </c>
      <c r="V36" s="40" t="inlineStr">
        <is>
          <t>El Niño</t>
        </is>
      </c>
    </row>
    <row r="37">
      <c r="A37" s="4" t="inlineStr">
        <is>
          <t>22/09/2004</t>
        </is>
      </c>
      <c r="B37" s="31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  <c r="U37" t="inlineStr">
        <is>
          <t>2024/25</t>
        </is>
      </c>
      <c r="V37" s="41" t="inlineStr">
        <is>
          <t>La Niña</t>
        </is>
      </c>
    </row>
    <row r="38">
      <c r="A38" s="4" t="inlineStr">
        <is>
          <t>23/09/2004</t>
        </is>
      </c>
      <c r="B38" s="31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  <c r="U38" t="inlineStr">
        <is>
          <t>2025/26</t>
        </is>
      </c>
      <c r="V38" s="41" t="inlineStr">
        <is>
          <t>La Niña</t>
        </is>
      </c>
    </row>
    <row r="39">
      <c r="A39" s="4" t="inlineStr">
        <is>
          <t>24/09/2004</t>
        </is>
      </c>
      <c r="B39" s="31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  <c r="U39" t="inlineStr">
        <is>
          <t>2026/27</t>
        </is>
      </c>
      <c r="V39" s="40" t="inlineStr">
        <is>
          <t>El Niño</t>
        </is>
      </c>
    </row>
    <row r="40">
      <c r="A40" s="4" t="inlineStr">
        <is>
          <t>27/09/2004</t>
        </is>
      </c>
      <c r="B40" s="31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4" t="inlineStr">
        <is>
          <t>28/09/2004</t>
        </is>
      </c>
      <c r="B41" s="31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4" t="inlineStr">
        <is>
          <t>29/09/2004</t>
        </is>
      </c>
      <c r="B42" s="31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4" t="inlineStr">
        <is>
          <t>30/09/2004</t>
        </is>
      </c>
      <c r="B43" s="31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4" t="inlineStr">
        <is>
          <t>01/10/2004</t>
        </is>
      </c>
      <c r="B44" s="31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4" t="inlineStr">
        <is>
          <t>04/10/2004</t>
        </is>
      </c>
      <c r="B45" s="31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4" t="inlineStr">
        <is>
          <t>05/10/2004</t>
        </is>
      </c>
      <c r="B46" s="31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4" t="inlineStr">
        <is>
          <t>06/10/2004</t>
        </is>
      </c>
      <c r="B47" s="31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4" t="inlineStr">
        <is>
          <t>07/10/2004</t>
        </is>
      </c>
      <c r="B48" s="31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4" t="inlineStr">
        <is>
          <t>08/10/2004</t>
        </is>
      </c>
      <c r="B49" s="31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4" t="inlineStr">
        <is>
          <t>11/10/2004</t>
        </is>
      </c>
      <c r="B50" s="31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4" t="inlineStr">
        <is>
          <t>13/10/2004</t>
        </is>
      </c>
      <c r="B51" s="31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4" t="inlineStr">
        <is>
          <t>14/10/2004</t>
        </is>
      </c>
      <c r="B52" s="31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4" t="inlineStr">
        <is>
          <t>15/10/2004</t>
        </is>
      </c>
      <c r="B53" s="31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4" t="inlineStr">
        <is>
          <t>18/10/2004</t>
        </is>
      </c>
      <c r="B54" s="31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4" t="inlineStr">
        <is>
          <t>19/10/2004</t>
        </is>
      </c>
      <c r="B55" s="31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4" t="inlineStr">
        <is>
          <t>20/10/2004</t>
        </is>
      </c>
      <c r="B56" s="31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4" t="inlineStr">
        <is>
          <t>21/10/2004</t>
        </is>
      </c>
      <c r="B57" s="31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4" t="inlineStr">
        <is>
          <t>22/10/2004</t>
        </is>
      </c>
      <c r="B58" s="31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4" t="inlineStr">
        <is>
          <t>25/10/2004</t>
        </is>
      </c>
      <c r="B59" s="31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4" t="inlineStr">
        <is>
          <t>26/10/2004</t>
        </is>
      </c>
      <c r="B60" s="31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4" t="inlineStr">
        <is>
          <t>27/10/2004</t>
        </is>
      </c>
      <c r="B61" s="31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4" t="inlineStr">
        <is>
          <t>28/10/2004</t>
        </is>
      </c>
      <c r="B62" s="31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4" t="inlineStr">
        <is>
          <t>29/10/2004</t>
        </is>
      </c>
      <c r="B63" s="31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4" t="inlineStr">
        <is>
          <t>01/11/2004</t>
        </is>
      </c>
      <c r="B64" s="31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4" t="inlineStr">
        <is>
          <t>03/11/2004</t>
        </is>
      </c>
      <c r="B65" s="31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4" t="inlineStr">
        <is>
          <t>04/11/2004</t>
        </is>
      </c>
      <c r="B66" s="31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4" t="inlineStr">
        <is>
          <t>05/11/2004</t>
        </is>
      </c>
      <c r="B67" s="31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4" t="inlineStr">
        <is>
          <t>08/11/2004</t>
        </is>
      </c>
      <c r="B68" s="31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4" t="inlineStr">
        <is>
          <t>09/11/2004</t>
        </is>
      </c>
      <c r="B69" s="31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4" t="inlineStr">
        <is>
          <t>10/11/2004</t>
        </is>
      </c>
      <c r="B70" s="31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4" t="inlineStr">
        <is>
          <t>11/11/2004</t>
        </is>
      </c>
      <c r="B71" s="31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4" t="inlineStr">
        <is>
          <t>12/11/2004</t>
        </is>
      </c>
      <c r="B72" s="31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4" t="inlineStr">
        <is>
          <t>16/11/2004</t>
        </is>
      </c>
      <c r="B73" s="31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4" t="inlineStr">
        <is>
          <t>17/11/2004</t>
        </is>
      </c>
      <c r="B74" s="31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4" t="inlineStr">
        <is>
          <t>18/11/2004</t>
        </is>
      </c>
      <c r="B75" s="31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4" t="inlineStr">
        <is>
          <t>19/11/2004</t>
        </is>
      </c>
      <c r="B76" s="31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4" t="inlineStr">
        <is>
          <t>22/11/2004</t>
        </is>
      </c>
      <c r="B77" s="31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4" t="inlineStr">
        <is>
          <t>23/11/2004</t>
        </is>
      </c>
      <c r="B78" s="31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4" t="inlineStr">
        <is>
          <t>24/11/2004</t>
        </is>
      </c>
      <c r="B79" s="31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4" t="inlineStr">
        <is>
          <t>25/11/2004</t>
        </is>
      </c>
      <c r="B80" s="31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4" t="inlineStr">
        <is>
          <t>26/11/2004</t>
        </is>
      </c>
      <c r="B81" s="31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4" t="inlineStr">
        <is>
          <t>29/11/2004</t>
        </is>
      </c>
      <c r="B82" s="31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4" t="inlineStr">
        <is>
          <t>30/11/2004</t>
        </is>
      </c>
      <c r="B83" s="31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4" t="inlineStr">
        <is>
          <t>01/12/2004</t>
        </is>
      </c>
      <c r="B84" s="31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4" t="inlineStr">
        <is>
          <t>02/12/2004</t>
        </is>
      </c>
      <c r="B85" s="31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4" t="inlineStr">
        <is>
          <t>03/12/2004</t>
        </is>
      </c>
      <c r="B86" s="31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4" t="inlineStr">
        <is>
          <t>06/12/2004</t>
        </is>
      </c>
      <c r="B87" s="31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4" t="inlineStr">
        <is>
          <t>07/12/2004</t>
        </is>
      </c>
      <c r="B88" s="31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4" t="inlineStr">
        <is>
          <t>08/12/2004</t>
        </is>
      </c>
      <c r="B89" s="31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4" t="inlineStr">
        <is>
          <t>09/12/2004</t>
        </is>
      </c>
      <c r="B90" s="31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4" t="inlineStr">
        <is>
          <t>10/12/2004</t>
        </is>
      </c>
      <c r="B91" s="31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4" t="inlineStr">
        <is>
          <t>13/12/2004</t>
        </is>
      </c>
      <c r="B92" s="31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4" t="inlineStr">
        <is>
          <t>14/12/2004</t>
        </is>
      </c>
      <c r="B93" s="31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4" t="inlineStr">
        <is>
          <t>15/12/2004</t>
        </is>
      </c>
      <c r="B94" s="31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4" t="inlineStr">
        <is>
          <t>16/12/2004</t>
        </is>
      </c>
      <c r="B95" s="31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4" t="inlineStr">
        <is>
          <t>17/12/2004</t>
        </is>
      </c>
      <c r="B96" s="31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4" t="inlineStr">
        <is>
          <t>20/12/2004</t>
        </is>
      </c>
      <c r="B97" s="31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4" t="inlineStr">
        <is>
          <t>21/12/2004</t>
        </is>
      </c>
      <c r="B98" s="31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4" t="inlineStr">
        <is>
          <t>22/12/2004</t>
        </is>
      </c>
      <c r="B99" s="31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4" t="inlineStr">
        <is>
          <t>23/12/2004</t>
        </is>
      </c>
      <c r="B100" s="31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4" t="inlineStr">
        <is>
          <t>27/12/2004</t>
        </is>
      </c>
      <c r="B101" s="31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4" t="inlineStr">
        <is>
          <t>28/12/2004</t>
        </is>
      </c>
      <c r="B102" s="31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4" t="inlineStr">
        <is>
          <t>29/12/2004</t>
        </is>
      </c>
      <c r="B103" s="31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4" t="inlineStr">
        <is>
          <t>30/12/2004</t>
        </is>
      </c>
      <c r="B104" s="31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4" t="inlineStr">
        <is>
          <t>03/01/2005</t>
        </is>
      </c>
      <c r="B105" s="31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4" t="inlineStr">
        <is>
          <t>04/01/2005</t>
        </is>
      </c>
      <c r="B106" s="31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4" t="inlineStr">
        <is>
          <t>05/01/2005</t>
        </is>
      </c>
      <c r="B107" s="31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4" t="inlineStr">
        <is>
          <t>06/01/2005</t>
        </is>
      </c>
      <c r="B108" s="31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4" t="inlineStr">
        <is>
          <t>07/01/2005</t>
        </is>
      </c>
      <c r="B109" s="31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4" t="inlineStr">
        <is>
          <t>10/01/2005</t>
        </is>
      </c>
      <c r="B110" s="31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4" t="inlineStr">
        <is>
          <t>11/01/2005</t>
        </is>
      </c>
      <c r="B111" s="31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4" t="inlineStr">
        <is>
          <t>12/01/2005</t>
        </is>
      </c>
      <c r="B112" s="31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4" t="inlineStr">
        <is>
          <t>13/01/2005</t>
        </is>
      </c>
      <c r="B113" s="31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4" t="inlineStr">
        <is>
          <t>14/01/2005</t>
        </is>
      </c>
      <c r="B114" s="31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4" t="inlineStr">
        <is>
          <t>17/01/2005</t>
        </is>
      </c>
      <c r="B115" s="31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4" t="inlineStr">
        <is>
          <t>18/01/2005</t>
        </is>
      </c>
      <c r="B116" s="31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4" t="inlineStr">
        <is>
          <t>19/01/2005</t>
        </is>
      </c>
      <c r="B117" s="31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4" t="inlineStr">
        <is>
          <t>20/01/2005</t>
        </is>
      </c>
      <c r="B118" s="31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4" t="inlineStr">
        <is>
          <t>21/01/2005</t>
        </is>
      </c>
      <c r="B119" s="31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4" t="inlineStr">
        <is>
          <t>24/01/2005</t>
        </is>
      </c>
      <c r="B120" s="31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4" t="inlineStr">
        <is>
          <t>25/01/2005</t>
        </is>
      </c>
      <c r="B121" s="31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4" t="inlineStr">
        <is>
          <t>26/01/2005</t>
        </is>
      </c>
      <c r="B122" s="31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4" t="inlineStr">
        <is>
          <t>27/01/2005</t>
        </is>
      </c>
      <c r="B123" s="31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4" t="inlineStr">
        <is>
          <t>28/01/2005</t>
        </is>
      </c>
      <c r="B124" s="31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4" t="inlineStr">
        <is>
          <t>31/01/2005</t>
        </is>
      </c>
      <c r="B125" s="31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4" t="inlineStr">
        <is>
          <t>01/02/2005</t>
        </is>
      </c>
      <c r="B126" s="31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4" t="inlineStr">
        <is>
          <t>02/02/2005</t>
        </is>
      </c>
      <c r="B127" s="31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4" t="inlineStr">
        <is>
          <t>03/02/2005</t>
        </is>
      </c>
      <c r="B128" s="31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4" t="inlineStr">
        <is>
          <t>04/02/2005</t>
        </is>
      </c>
      <c r="B129" s="31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4" t="inlineStr">
        <is>
          <t>09/02/2005</t>
        </is>
      </c>
      <c r="B130" s="31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4" t="inlineStr">
        <is>
          <t>10/02/2005</t>
        </is>
      </c>
      <c r="B131" s="31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4" t="inlineStr">
        <is>
          <t>11/02/2005</t>
        </is>
      </c>
      <c r="B132" s="31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4" t="inlineStr">
        <is>
          <t>14/02/2005</t>
        </is>
      </c>
      <c r="B133" s="31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4" t="inlineStr">
        <is>
          <t>15/02/2005</t>
        </is>
      </c>
      <c r="B134" s="31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4" t="inlineStr">
        <is>
          <t>16/02/2005</t>
        </is>
      </c>
      <c r="B135" s="31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4" t="inlineStr">
        <is>
          <t>17/02/2005</t>
        </is>
      </c>
      <c r="B136" s="31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4" t="inlineStr">
        <is>
          <t>18/02/2005</t>
        </is>
      </c>
      <c r="B137" s="31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4" t="inlineStr">
        <is>
          <t>21/02/2005</t>
        </is>
      </c>
      <c r="B138" s="31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4" t="inlineStr">
        <is>
          <t>22/02/2005</t>
        </is>
      </c>
      <c r="B139" s="31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4" t="inlineStr">
        <is>
          <t>23/02/2005</t>
        </is>
      </c>
      <c r="B140" s="31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4" t="inlineStr">
        <is>
          <t>24/02/2005</t>
        </is>
      </c>
      <c r="B141" s="31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4" t="inlineStr">
        <is>
          <t>25/02/2005</t>
        </is>
      </c>
      <c r="B142" s="31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4" t="inlineStr">
        <is>
          <t>28/02/2005</t>
        </is>
      </c>
      <c r="B143" s="31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4" t="inlineStr">
        <is>
          <t>01/03/2005</t>
        </is>
      </c>
      <c r="B144" s="31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4" t="inlineStr">
        <is>
          <t>02/03/2005</t>
        </is>
      </c>
      <c r="B145" s="31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4" t="inlineStr">
        <is>
          <t>03/03/2005</t>
        </is>
      </c>
      <c r="B146" s="31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4" t="inlineStr">
        <is>
          <t>04/03/2005</t>
        </is>
      </c>
      <c r="B147" s="31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4" t="inlineStr">
        <is>
          <t>07/03/2005</t>
        </is>
      </c>
      <c r="B148" s="31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4" t="inlineStr">
        <is>
          <t>08/03/2005</t>
        </is>
      </c>
      <c r="B149" s="31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4" t="inlineStr">
        <is>
          <t>09/03/2005</t>
        </is>
      </c>
      <c r="B150" s="31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4" t="inlineStr">
        <is>
          <t>10/03/2005</t>
        </is>
      </c>
      <c r="B151" s="31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4" t="inlineStr">
        <is>
          <t>11/03/2005</t>
        </is>
      </c>
      <c r="B152" s="31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4" t="inlineStr">
        <is>
          <t>14/03/2005</t>
        </is>
      </c>
      <c r="B153" s="31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4" t="inlineStr">
        <is>
          <t>15/03/2005</t>
        </is>
      </c>
      <c r="B154" s="31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4" t="inlineStr">
        <is>
          <t>16/03/2005</t>
        </is>
      </c>
      <c r="B155" s="31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4" t="inlineStr">
        <is>
          <t>17/03/2005</t>
        </is>
      </c>
      <c r="B156" s="31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4" t="inlineStr">
        <is>
          <t>18/03/2005</t>
        </is>
      </c>
      <c r="B157" s="31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4" t="inlineStr">
        <is>
          <t>21/03/2005</t>
        </is>
      </c>
      <c r="B158" s="31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4" t="inlineStr">
        <is>
          <t>22/03/2005</t>
        </is>
      </c>
      <c r="B159" s="31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4" t="inlineStr">
        <is>
          <t>23/03/2005</t>
        </is>
      </c>
      <c r="B160" s="31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4" t="inlineStr">
        <is>
          <t>24/03/2005</t>
        </is>
      </c>
      <c r="B161" s="31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4" t="inlineStr">
        <is>
          <t>28/03/2005</t>
        </is>
      </c>
      <c r="B162" s="31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4" t="inlineStr">
        <is>
          <t>29/03/2005</t>
        </is>
      </c>
      <c r="B163" s="31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4" t="inlineStr">
        <is>
          <t>30/03/2005</t>
        </is>
      </c>
      <c r="B164" s="31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4" t="inlineStr">
        <is>
          <t>31/03/2005</t>
        </is>
      </c>
      <c r="B165" s="31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4" t="inlineStr">
        <is>
          <t>01/04/2005</t>
        </is>
      </c>
      <c r="B166" s="31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4" t="inlineStr">
        <is>
          <t>04/04/2005</t>
        </is>
      </c>
      <c r="B167" s="31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4" t="inlineStr">
        <is>
          <t>05/04/2005</t>
        </is>
      </c>
      <c r="B168" s="31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4" t="inlineStr">
        <is>
          <t>06/04/2005</t>
        </is>
      </c>
      <c r="B169" s="31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4" t="inlineStr">
        <is>
          <t>07/04/2005</t>
        </is>
      </c>
      <c r="B170" s="31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4" t="inlineStr">
        <is>
          <t>08/04/2005</t>
        </is>
      </c>
      <c r="B171" s="31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4" t="inlineStr">
        <is>
          <t>11/04/2005</t>
        </is>
      </c>
      <c r="B172" s="31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4" t="inlineStr">
        <is>
          <t>12/04/2005</t>
        </is>
      </c>
      <c r="B173" s="31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4" t="inlineStr">
        <is>
          <t>13/04/2005</t>
        </is>
      </c>
      <c r="B174" s="31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4" t="inlineStr">
        <is>
          <t>14/04/2005</t>
        </is>
      </c>
      <c r="B175" s="31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4" t="inlineStr">
        <is>
          <t>15/04/2005</t>
        </is>
      </c>
      <c r="B176" s="31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4" t="inlineStr">
        <is>
          <t>18/04/2005</t>
        </is>
      </c>
      <c r="B177" s="31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4" t="inlineStr">
        <is>
          <t>19/04/2005</t>
        </is>
      </c>
      <c r="B178" s="31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4" t="inlineStr">
        <is>
          <t>20/04/2005</t>
        </is>
      </c>
      <c r="B179" s="31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4" t="inlineStr">
        <is>
          <t>22/04/2005</t>
        </is>
      </c>
      <c r="B180" s="31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4" t="inlineStr">
        <is>
          <t>25/04/2005</t>
        </is>
      </c>
      <c r="B181" s="31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4" t="inlineStr">
        <is>
          <t>26/04/2005</t>
        </is>
      </c>
      <c r="B182" s="31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4" t="inlineStr">
        <is>
          <t>27/04/2005</t>
        </is>
      </c>
      <c r="B183" s="31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4" t="inlineStr">
        <is>
          <t>28/04/2005</t>
        </is>
      </c>
      <c r="B184" s="31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4" t="inlineStr">
        <is>
          <t>29/04/2005</t>
        </is>
      </c>
      <c r="B185" s="31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4" t="inlineStr">
        <is>
          <t>02/05/2005</t>
        </is>
      </c>
      <c r="B186" s="31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4" t="inlineStr">
        <is>
          <t>03/05/2005</t>
        </is>
      </c>
      <c r="B187" s="31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4" t="inlineStr">
        <is>
          <t>04/05/2005</t>
        </is>
      </c>
      <c r="B188" s="31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4" t="inlineStr">
        <is>
          <t>05/05/2005</t>
        </is>
      </c>
      <c r="B189" s="31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4" t="inlineStr">
        <is>
          <t>06/05/2005</t>
        </is>
      </c>
      <c r="B190" s="31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4" t="inlineStr">
        <is>
          <t>09/05/2005</t>
        </is>
      </c>
      <c r="B191" s="31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4" t="inlineStr">
        <is>
          <t>10/05/2005</t>
        </is>
      </c>
      <c r="B192" s="31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4" t="inlineStr">
        <is>
          <t>11/05/2005</t>
        </is>
      </c>
      <c r="B193" s="31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4" t="inlineStr">
        <is>
          <t>12/05/2005</t>
        </is>
      </c>
      <c r="B194" s="31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4" t="inlineStr">
        <is>
          <t>13/05/2005</t>
        </is>
      </c>
      <c r="B195" s="31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4" t="inlineStr">
        <is>
          <t>16/05/2005</t>
        </is>
      </c>
      <c r="B196" s="31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4" t="inlineStr">
        <is>
          <t>17/05/2005</t>
        </is>
      </c>
      <c r="B197" s="31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4" t="inlineStr">
        <is>
          <t>18/05/2005</t>
        </is>
      </c>
      <c r="B198" s="31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4" t="inlineStr">
        <is>
          <t>19/05/2005</t>
        </is>
      </c>
      <c r="B199" s="31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4" t="inlineStr">
        <is>
          <t>20/05/2005</t>
        </is>
      </c>
      <c r="B200" s="31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4" t="inlineStr">
        <is>
          <t>23/05/2005</t>
        </is>
      </c>
      <c r="B201" s="31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4" t="inlineStr">
        <is>
          <t>24/05/2005</t>
        </is>
      </c>
      <c r="B202" s="31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4" t="inlineStr">
        <is>
          <t>25/05/2005</t>
        </is>
      </c>
      <c r="B203" s="31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4" t="inlineStr">
        <is>
          <t>27/05/2005</t>
        </is>
      </c>
      <c r="B204" s="31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4" t="inlineStr">
        <is>
          <t>30/05/2005</t>
        </is>
      </c>
      <c r="B205" s="31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4" t="inlineStr">
        <is>
          <t>31/05/2005</t>
        </is>
      </c>
      <c r="B206" s="31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4" t="inlineStr">
        <is>
          <t>01/06/2005</t>
        </is>
      </c>
      <c r="B207" s="31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4" t="inlineStr">
        <is>
          <t>02/06/2005</t>
        </is>
      </c>
      <c r="B208" s="31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4" t="inlineStr">
        <is>
          <t>03/06/2005</t>
        </is>
      </c>
      <c r="B209" s="31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4" t="inlineStr">
        <is>
          <t>06/06/2005</t>
        </is>
      </c>
      <c r="B210" s="31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4" t="inlineStr">
        <is>
          <t>07/06/2005</t>
        </is>
      </c>
      <c r="B211" s="31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4" t="inlineStr">
        <is>
          <t>08/06/2005</t>
        </is>
      </c>
      <c r="B212" s="31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4" t="inlineStr">
        <is>
          <t>09/06/2005</t>
        </is>
      </c>
      <c r="B213" s="31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4" t="inlineStr">
        <is>
          <t>10/06/2005</t>
        </is>
      </c>
      <c r="B214" s="31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4" t="inlineStr">
        <is>
          <t>13/06/2005</t>
        </is>
      </c>
      <c r="B215" s="31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4" t="inlineStr">
        <is>
          <t>14/06/2005</t>
        </is>
      </c>
      <c r="B216" s="31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4" t="inlineStr">
        <is>
          <t>15/06/2005</t>
        </is>
      </c>
      <c r="B217" s="31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4" t="inlineStr">
        <is>
          <t>16/06/2005</t>
        </is>
      </c>
      <c r="B218" s="31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4" t="inlineStr">
        <is>
          <t>17/06/2005</t>
        </is>
      </c>
      <c r="B219" s="31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4" t="inlineStr">
        <is>
          <t>20/06/2005</t>
        </is>
      </c>
      <c r="B220" s="31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4" t="inlineStr">
        <is>
          <t>21/06/2005</t>
        </is>
      </c>
      <c r="B221" s="31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4" t="inlineStr">
        <is>
          <t>22/06/2005</t>
        </is>
      </c>
      <c r="B222" s="31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4" t="inlineStr">
        <is>
          <t>23/06/2005</t>
        </is>
      </c>
      <c r="B223" s="31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4" t="inlineStr">
        <is>
          <t>24/06/2005</t>
        </is>
      </c>
      <c r="B224" s="31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4" t="inlineStr">
        <is>
          <t>27/06/2005</t>
        </is>
      </c>
      <c r="B225" s="31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4" t="inlineStr">
        <is>
          <t>28/06/2005</t>
        </is>
      </c>
      <c r="B226" s="31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4" t="inlineStr">
        <is>
          <t>29/06/2005</t>
        </is>
      </c>
      <c r="B227" s="31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4" t="inlineStr">
        <is>
          <t>30/06/2005</t>
        </is>
      </c>
      <c r="B228" s="31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4" t="inlineStr">
        <is>
          <t>01/07/2005</t>
        </is>
      </c>
      <c r="B229" s="31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4" t="inlineStr">
        <is>
          <t>04/07/2005</t>
        </is>
      </c>
      <c r="B230" s="31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4" t="inlineStr">
        <is>
          <t>05/07/2005</t>
        </is>
      </c>
      <c r="B231" s="31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4" t="inlineStr">
        <is>
          <t>06/07/2005</t>
        </is>
      </c>
      <c r="B232" s="31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4" t="inlineStr">
        <is>
          <t>07/07/2005</t>
        </is>
      </c>
      <c r="B233" s="31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4" t="inlineStr">
        <is>
          <t>08/07/2005</t>
        </is>
      </c>
      <c r="B234" s="31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4" t="inlineStr">
        <is>
          <t>11/07/2005</t>
        </is>
      </c>
      <c r="B235" s="31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4" t="inlineStr">
        <is>
          <t>12/07/2005</t>
        </is>
      </c>
      <c r="B236" s="31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4" t="inlineStr">
        <is>
          <t>13/07/2005</t>
        </is>
      </c>
      <c r="B237" s="31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4" t="inlineStr">
        <is>
          <t>14/07/2005</t>
        </is>
      </c>
      <c r="B238" s="31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4" t="inlineStr">
        <is>
          <t>15/07/2005</t>
        </is>
      </c>
      <c r="B239" s="31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4" t="inlineStr">
        <is>
          <t>18/07/2005</t>
        </is>
      </c>
      <c r="B240" s="31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4" t="inlineStr">
        <is>
          <t>19/07/2005</t>
        </is>
      </c>
      <c r="B241" s="31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4" t="inlineStr">
        <is>
          <t>20/07/2005</t>
        </is>
      </c>
      <c r="B242" s="31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4" t="inlineStr">
        <is>
          <t>21/07/2005</t>
        </is>
      </c>
      <c r="B243" s="31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4" t="inlineStr">
        <is>
          <t>22/07/2005</t>
        </is>
      </c>
      <c r="B244" s="31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4" t="inlineStr">
        <is>
          <t>25/07/2005</t>
        </is>
      </c>
      <c r="B245" s="31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4" t="inlineStr">
        <is>
          <t>26/07/2005</t>
        </is>
      </c>
      <c r="B246" s="31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4" t="inlineStr">
        <is>
          <t>27/07/2005</t>
        </is>
      </c>
      <c r="B247" s="31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4" t="inlineStr">
        <is>
          <t>28/07/2005</t>
        </is>
      </c>
      <c r="B248" s="31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4" t="inlineStr">
        <is>
          <t>29/07/2005</t>
        </is>
      </c>
      <c r="B249" s="31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4" t="inlineStr">
        <is>
          <t>01/08/2005</t>
        </is>
      </c>
      <c r="B250" s="31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4" t="inlineStr">
        <is>
          <t>02/08/2005</t>
        </is>
      </c>
      <c r="B251" s="31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4" t="inlineStr">
        <is>
          <t>03/08/2005</t>
        </is>
      </c>
      <c r="B252" s="31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4" t="inlineStr">
        <is>
          <t>04/08/2005</t>
        </is>
      </c>
      <c r="B253" s="31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4" t="inlineStr">
        <is>
          <t>05/08/2005</t>
        </is>
      </c>
      <c r="B254" s="31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4" t="inlineStr">
        <is>
          <t>08/08/2005</t>
        </is>
      </c>
      <c r="B255" s="31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4" t="inlineStr">
        <is>
          <t>09/08/2005</t>
        </is>
      </c>
      <c r="B256" s="31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4" t="inlineStr">
        <is>
          <t>10/08/2005</t>
        </is>
      </c>
      <c r="B257" s="31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4" t="inlineStr">
        <is>
          <t>11/08/2005</t>
        </is>
      </c>
      <c r="B258" s="31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4" t="inlineStr">
        <is>
          <t>12/08/2005</t>
        </is>
      </c>
      <c r="B259" s="31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4" t="inlineStr">
        <is>
          <t>15/08/2005</t>
        </is>
      </c>
      <c r="B260" s="31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4" t="inlineStr">
        <is>
          <t>16/08/2005</t>
        </is>
      </c>
      <c r="B261" s="31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4" t="inlineStr">
        <is>
          <t>17/08/2005</t>
        </is>
      </c>
      <c r="B262" s="31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4" t="inlineStr">
        <is>
          <t>18/08/2005</t>
        </is>
      </c>
      <c r="B263" s="31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4" t="inlineStr">
        <is>
          <t>19/08/2005</t>
        </is>
      </c>
      <c r="B264" s="31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4" t="inlineStr">
        <is>
          <t>22/08/2005</t>
        </is>
      </c>
      <c r="B265" s="31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IFERROR(AVERAGE(_xlfn._xlws.FILTER($B$2:$B$9999,(IFERROR(VALUE(MID($A$2:$A$9999,4,2)),0)=MONTH(C265))*(IFERROR(VALUE(RIGHT($A$2:$A$9999,4)),0)=YEAR(C265)))),IFERROR(LOOKUP(2,1/(ISNUMBER(CCMN26!#REF!)),CCMN26!#REF!),""))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4" t="inlineStr">
        <is>
          <t>23/08/2005</t>
        </is>
      </c>
      <c r="B266" s="31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IFERROR(AVERAGE(_xlfn._xlws.FILTER($B$2:$B$9999,(IFERROR(VALUE(MID($A$2:$A$9999,4,2)),0)=MONTH(C266))*(IFERROR(VALUE(RIGHT($A$2:$A$9999,4)),0)=YEAR(C266)))),IFERROR((LOOKUP(2,1/(ISNUMBER(CCMN26!#REF!)),CCMN26!#REF!)+LOOKUP(2,1/(ISNUMBER(CCMU26!#REF!)),CCMU26!#REF!))/2,""))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4" t="inlineStr">
        <is>
          <t>24/08/2005</t>
        </is>
      </c>
      <c r="B267" s="31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IFERROR(AVERAGE(_xlfn._xlws.FILTER($B$2:$B$9999,(IFERROR(VALUE(MID($A$2:$A$9999,4,2)),0)=MONTH(C267))*(IFERROR(VALUE(RIGHT($A$2:$A$9999,4)),0)=YEAR(C267)))),IFERROR(LOOKUP(2,1/(ISNUMBER(CCMU26!#REF!)),CCMU26!#REF!),""))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4" t="inlineStr">
        <is>
          <t>25/08/2005</t>
        </is>
      </c>
      <c r="B268" s="31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IFERROR(AVERAGE(_xlfn._xlws.FILTER($B$2:$B$9999,(IFERROR(VALUE(MID($A$2:$A$9999,4,2)),0)=MONTH(C268))*(IFERROR(VALUE(RIGHT($A$2:$A$9999,4)),0)=YEAR(C268)))),IFERROR((LOOKUP(2,1/(ISNUMBER(CCMU26!#REF!)),CCMU26!#REF!)+LOOKUP(2,1/(ISNUMBER(CCMX26!#REF!)),CCMX26!#REF!))/2,""))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4" t="inlineStr">
        <is>
          <t>26/08/2005</t>
        </is>
      </c>
      <c r="B269" s="31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IFERROR(AVERAGE(_xlfn._xlws.FILTER($B$2:$B$9999,(IFERROR(VALUE(MID($A$2:$A$9999,4,2)),0)=MONTH(C269))*(IFERROR(VALUE(RIGHT($A$2:$A$9999,4)),0)=YEAR(C269)))),IFERROR(LOOKUP(2,1/(ISNUMBER(CCMX26!#REF!)),CCMX26!#REF!),""))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4" t="inlineStr">
        <is>
          <t>29/08/2005</t>
        </is>
      </c>
      <c r="B270" s="31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IFERROR(AVERAGE(_xlfn._xlws.FILTER($B$2:$B$9999,(IFERROR(VALUE(MID($A$2:$A$9999,4,2)),0)=MONTH(C270))*(IFERROR(VALUE(RIGHT($A$2:$A$9999,4)),0)=YEAR(C270)))),IFERROR((LOOKUP(2,1/(ISNUMBER(CCMX26!#REF!)),CCMX26!#REF!)+LOOKUP(2,1/(ISNUMBER(CCMF27!#REF!)),CCMF27!#REF!))/2,""))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4" t="inlineStr">
        <is>
          <t>30/08/2005</t>
        </is>
      </c>
      <c r="B271" s="31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IFERROR(AVERAGE(_xlfn._xlws.FILTER($B$2:$B$9999,(IFERROR(VALUE(MID($A$2:$A$9999,4,2)),0)=MONTH(C271))*(IFERROR(VALUE(RIGHT($A$2:$A$9999,4)),0)=YEAR(C271)))),IFERROR(LOOKUP(2,1/(ISNUMBER(CCMF27!#REF!)),CCMF27!#REF!),""))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4" t="inlineStr">
        <is>
          <t>31/08/2005</t>
        </is>
      </c>
      <c r="B272" s="31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IFERROR(AVERAGE(_xlfn._xlws.FILTER($B$2:$B$9999,(IFERROR(VALUE(MID($A$2:$A$9999,4,2)),0)=MONTH(C272))*(IFERROR(VALUE(RIGHT($A$2:$A$9999,4)),0)=YEAR(C272)))),IFERROR((LOOKUP(2,1/(ISNUMBER(CCMF27!#REF!)),CCMF27!#REF!)+LOOKUP(2,1/(ISNUMBER(CCMH27!#REF!)),CCMH27!#REF!))/2,""))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4" t="inlineStr">
        <is>
          <t>01/09/2005</t>
        </is>
      </c>
      <c r="B273" s="31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IFERROR(AVERAGE(_xlfn._xlws.FILTER($B$2:$B$9999,(IFERROR(VALUE(MID($A$2:$A$9999,4,2)),0)=MONTH(C273))*(IFERROR(VALUE(RIGHT($A$2:$A$9999,4)),0)=YEAR(C273)))),IFERROR(LOOKUP(2,1/(ISNUMBER(CCMH27!#REF!)),CCMH27!#REF!),""))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4" t="inlineStr">
        <is>
          <t>02/09/2005</t>
        </is>
      </c>
      <c r="B274" s="31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IFERROR(AVERAGE(_xlfn._xlws.FILTER($B$2:$B$9999,(IFERROR(VALUE(MID($A$2:$A$9999,4,2)),0)=MONTH(C274))*(IFERROR(VALUE(RIGHT($A$2:$A$9999,4)),0)=YEAR(C274)))),IFERROR((LOOKUP(2,1/(ISNUMBER(CCMH27!#REF!)),CCMH27!#REF!)+LOOKUP(2,1/(ISNUMBER(CCMK27!#REF!)),CCMK27!#REF!))/2,""))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4" t="inlineStr">
        <is>
          <t>05/09/2005</t>
        </is>
      </c>
      <c r="B275" s="31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IFERROR(AVERAGE(_xlfn._xlws.FILTER($B$2:$B$9999,(IFERROR(VALUE(MID($A$2:$A$9999,4,2)),0)=MONTH(C275))*(IFERROR(VALUE(RIGHT($A$2:$A$9999,4)),0)=YEAR(C275)))),IFERROR(LOOKUP(2,1/(ISNUMBER(CCMK27!#REF!)),CCMK27!#REF!),""))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4" t="inlineStr">
        <is>
          <t>06/09/2005</t>
        </is>
      </c>
      <c r="B276" s="31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IFERROR(AVERAGE(_xlfn._xlws.FILTER($B$2:$B$9999,(IFERROR(VALUE(MID($A$2:$A$9999,4,2)),0)=MONTH(C276))*(IFERROR(VALUE(RIGHT($A$2:$A$9999,4)),0)=YEAR(C276)))),IFERROR((LOOKUP(2,1/(ISNUMBER(CCMK27!#REF!)),CCMK27!#REF!)+LOOKUP(2,1/(ISNUMBER(CCMN27!#REF!)),CCMN27!#REF!))/2,""))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4" t="inlineStr">
        <is>
          <t>08/09/2005</t>
        </is>
      </c>
      <c r="B277" s="31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IFERROR(AVERAGE(_xlfn._xlws.FILTER($B$2:$B$9999,(IFERROR(VALUE(MID($A$2:$A$9999,4,2)),0)=MONTH(C277))*(IFERROR(VALUE(RIGHT($A$2:$A$9999,4)),0)=YEAR(C277)))),IFERROR(LOOKUP(2,1/(ISNUMBER(CCMN27!#REF!)),CCMN27!#REF!),""))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4" t="inlineStr">
        <is>
          <t>09/09/2005</t>
        </is>
      </c>
      <c r="B278" s="31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IFERROR(AVERAGE(_xlfn._xlws.FILTER($B$2:$B$9999,(IFERROR(VALUE(MID($A$2:$A$9999,4,2)),0)=MONTH(C278))*(IFERROR(VALUE(RIGHT($A$2:$A$9999,4)),0)=YEAR(C278)))),IFERROR((LOOKUP(2,1/(ISNUMBER(CCMN27!#REF!)),CCMN27!#REF!)+LOOKUP(2,1/(ISNUMBER(CCMU27!#REF!)),CCMU27!#REF!))/2,""))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4" t="inlineStr">
        <is>
          <t>12/09/2005</t>
        </is>
      </c>
      <c r="B279" s="31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IFERROR(AVERAGE(_xlfn._xlws.FILTER($B$2:$B$9999,(IFERROR(VALUE(MID($A$2:$A$9999,4,2)),0)=MONTH(C279))*(IFERROR(VALUE(RIGHT($A$2:$A$9999,4)),0)=YEAR(C279)))),IFERROR(LOOKUP(2,1/(ISNUMBER(CCMU27!#REF!)),CCMU27!#REF!),""))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4" t="inlineStr">
        <is>
          <t>13/09/2005</t>
        </is>
      </c>
      <c r="B280" s="31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IFERROR(AVERAGE(_xlfn._xlws.FILTER($B$2:$B$9999,(IFERROR(VALUE(MID($A$2:$A$9999,4,2)),0)=MONTH(C280))*(IFERROR(VALUE(RIGHT($A$2:$A$9999,4)),0)=YEAR(C280)))),IFERROR((LOOKUP(2,1/(ISNUMBER(CCMU27!#REF!)),CCMU27!#REF!)+LOOKUP(2,1/(ISNUMBER(CCMX27!#REF!)),CCMX27!#REF!))/2,""))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4" t="inlineStr">
        <is>
          <t>14/09/2005</t>
        </is>
      </c>
      <c r="B281" s="31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IFERROR(AVERAGE(_xlfn._xlws.FILTER($B$2:$B$9999,(IFERROR(VALUE(MID($A$2:$A$9999,4,2)),0)=MONTH(C281))*(IFERROR(VALUE(RIGHT($A$2:$A$9999,4)),0)=YEAR(C281)))),IFERROR(LOOKUP(2,1/(ISNUMBER(CCMX27!#REF!)),CCMX27!#REF!),""))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4" t="inlineStr">
        <is>
          <t>15/09/2005</t>
        </is>
      </c>
      <c r="B282" s="31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4" t="inlineStr">
        <is>
          <t>16/09/2005</t>
        </is>
      </c>
      <c r="B283" s="31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4" t="inlineStr">
        <is>
          <t>19/09/2005</t>
        </is>
      </c>
      <c r="B284" s="31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4" t="inlineStr">
        <is>
          <t>20/09/2005</t>
        </is>
      </c>
      <c r="B285" s="31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4" t="inlineStr">
        <is>
          <t>21/09/2005</t>
        </is>
      </c>
      <c r="B286" s="31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4" t="inlineStr">
        <is>
          <t>22/09/2005</t>
        </is>
      </c>
      <c r="B287" s="31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4" t="inlineStr">
        <is>
          <t>23/09/2005</t>
        </is>
      </c>
      <c r="B288" s="31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4" t="inlineStr">
        <is>
          <t>26/09/2005</t>
        </is>
      </c>
      <c r="B289" s="31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4" t="inlineStr">
        <is>
          <t>27/09/2005</t>
        </is>
      </c>
      <c r="B290" s="31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4" t="inlineStr">
        <is>
          <t>28/09/2005</t>
        </is>
      </c>
      <c r="B291" s="31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4" t="inlineStr">
        <is>
          <t>29/09/2005</t>
        </is>
      </c>
      <c r="B292" s="31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4" t="inlineStr">
        <is>
          <t>30/09/2005</t>
        </is>
      </c>
      <c r="B293" s="31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4" t="inlineStr">
        <is>
          <t>03/10/2005</t>
        </is>
      </c>
      <c r="B294" s="31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4" t="inlineStr">
        <is>
          <t>04/10/2005</t>
        </is>
      </c>
      <c r="B295" s="31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4" t="inlineStr">
        <is>
          <t>05/10/2005</t>
        </is>
      </c>
      <c r="B296" s="31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4" t="inlineStr">
        <is>
          <t>06/10/2005</t>
        </is>
      </c>
      <c r="B297" s="31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4" t="inlineStr">
        <is>
          <t>07/10/2005</t>
        </is>
      </c>
      <c r="B298" s="31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4" t="inlineStr">
        <is>
          <t>10/10/2005</t>
        </is>
      </c>
      <c r="B299" s="31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4" t="inlineStr">
        <is>
          <t>11/10/2005</t>
        </is>
      </c>
      <c r="B300" s="31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4" t="inlineStr">
        <is>
          <t>13/10/2005</t>
        </is>
      </c>
      <c r="B301" s="31" t="n">
        <v>64.18000000000001</v>
      </c>
    </row>
    <row r="302">
      <c r="A302" s="4" t="inlineStr">
        <is>
          <t>14/10/2005</t>
        </is>
      </c>
      <c r="B302" s="31" t="n">
        <v>63.75</v>
      </c>
    </row>
    <row r="303">
      <c r="A303" s="4" t="inlineStr">
        <is>
          <t>17/10/2005</t>
        </is>
      </c>
      <c r="B303" s="31" t="n">
        <v>64</v>
      </c>
    </row>
    <row r="304">
      <c r="A304" s="4" t="inlineStr">
        <is>
          <t>18/10/2005</t>
        </is>
      </c>
      <c r="B304" s="31" t="n">
        <v>63.64</v>
      </c>
    </row>
    <row r="305">
      <c r="A305" s="4" t="inlineStr">
        <is>
          <t>19/10/2005</t>
        </is>
      </c>
      <c r="B305" s="31" t="n">
        <v>63.29</v>
      </c>
    </row>
    <row r="306">
      <c r="A306" s="4" t="inlineStr">
        <is>
          <t>20/10/2005</t>
        </is>
      </c>
      <c r="B306" s="31" t="n">
        <v>62.72</v>
      </c>
    </row>
    <row r="307">
      <c r="A307" s="4" t="inlineStr">
        <is>
          <t>21/10/2005</t>
        </is>
      </c>
      <c r="B307" s="31" t="n">
        <v>62.29</v>
      </c>
    </row>
    <row r="308">
      <c r="A308" s="4" t="inlineStr">
        <is>
          <t>24/10/2005</t>
        </is>
      </c>
      <c r="B308" s="31" t="n">
        <v>62.05</v>
      </c>
    </row>
    <row r="309">
      <c r="A309" s="4" t="inlineStr">
        <is>
          <t>25/10/2005</t>
        </is>
      </c>
      <c r="B309" s="31" t="n">
        <v>62.01</v>
      </c>
    </row>
    <row r="310">
      <c r="A310" s="4" t="inlineStr">
        <is>
          <t>26/10/2005</t>
        </is>
      </c>
      <c r="B310" s="31" t="n">
        <v>62.22</v>
      </c>
    </row>
    <row r="311">
      <c r="A311" s="4" t="inlineStr">
        <is>
          <t>27/10/2005</t>
        </is>
      </c>
      <c r="B311" s="31" t="n">
        <v>61.87</v>
      </c>
    </row>
    <row r="312">
      <c r="A312" s="4" t="inlineStr">
        <is>
          <t>28/10/2005</t>
        </is>
      </c>
      <c r="B312" s="31" t="n">
        <v>61.48</v>
      </c>
    </row>
    <row r="313">
      <c r="A313" s="4" t="inlineStr">
        <is>
          <t>31/10/2005</t>
        </is>
      </c>
      <c r="B313" s="31" t="n">
        <v>60.34</v>
      </c>
    </row>
    <row r="314">
      <c r="A314" s="4" t="inlineStr">
        <is>
          <t>01/11/2005</t>
        </is>
      </c>
      <c r="B314" s="31" t="n">
        <v>59.96</v>
      </c>
    </row>
    <row r="315">
      <c r="A315" s="4" t="inlineStr">
        <is>
          <t>03/11/2005</t>
        </is>
      </c>
      <c r="B315" s="31" t="n">
        <v>59.43</v>
      </c>
    </row>
    <row r="316">
      <c r="A316" s="4" t="inlineStr">
        <is>
          <t>04/11/2005</t>
        </is>
      </c>
      <c r="B316" s="31" t="n">
        <v>59.5</v>
      </c>
    </row>
    <row r="317">
      <c r="A317" s="4" t="inlineStr">
        <is>
          <t>07/11/2005</t>
        </is>
      </c>
      <c r="B317" s="31" t="n">
        <v>59.07</v>
      </c>
    </row>
    <row r="318">
      <c r="A318" s="4" t="inlineStr">
        <is>
          <t>08/11/2005</t>
        </is>
      </c>
      <c r="B318" s="31" t="n">
        <v>59.53</v>
      </c>
    </row>
    <row r="319">
      <c r="A319" s="4" t="inlineStr">
        <is>
          <t>09/11/2005</t>
        </is>
      </c>
      <c r="B319" s="31" t="n">
        <v>59.14</v>
      </c>
    </row>
    <row r="320">
      <c r="A320" s="4" t="inlineStr">
        <is>
          <t>10/11/2005</t>
        </is>
      </c>
      <c r="B320" s="31" t="n">
        <v>59.04</v>
      </c>
    </row>
    <row r="321">
      <c r="A321" s="4" t="inlineStr">
        <is>
          <t>11/11/2005</t>
        </is>
      </c>
      <c r="B321" s="31" t="n">
        <v>58.33</v>
      </c>
    </row>
    <row r="322">
      <c r="A322" s="4" t="inlineStr">
        <is>
          <t>14/11/2005</t>
        </is>
      </c>
      <c r="B322" s="31" t="n">
        <v>58.19</v>
      </c>
    </row>
    <row r="323">
      <c r="A323" s="4" t="inlineStr">
        <is>
          <t>16/11/2005</t>
        </is>
      </c>
      <c r="B323" s="31" t="n">
        <v>58.51</v>
      </c>
    </row>
    <row r="324">
      <c r="A324" s="4" t="inlineStr">
        <is>
          <t>17/11/2005</t>
        </is>
      </c>
      <c r="B324" s="31" t="n">
        <v>58.51</v>
      </c>
    </row>
    <row r="325">
      <c r="A325" s="4" t="inlineStr">
        <is>
          <t>18/11/2005</t>
        </is>
      </c>
      <c r="B325" s="31" t="n">
        <v>58.65</v>
      </c>
    </row>
    <row r="326">
      <c r="A326" s="4" t="inlineStr">
        <is>
          <t>21/11/2005</t>
        </is>
      </c>
      <c r="B326" s="31" t="n">
        <v>58.19</v>
      </c>
    </row>
    <row r="327">
      <c r="A327" s="4" t="inlineStr">
        <is>
          <t>22/11/2005</t>
        </is>
      </c>
      <c r="B327" s="31" t="n">
        <v>58.08</v>
      </c>
    </row>
    <row r="328">
      <c r="A328" s="4" t="inlineStr">
        <is>
          <t>23/11/2005</t>
        </is>
      </c>
      <c r="B328" s="31" t="n">
        <v>57.9</v>
      </c>
    </row>
    <row r="329">
      <c r="A329" s="4" t="inlineStr">
        <is>
          <t>24/11/2005</t>
        </is>
      </c>
      <c r="B329" s="31" t="n">
        <v>57.66</v>
      </c>
    </row>
    <row r="330">
      <c r="A330" s="4" t="inlineStr">
        <is>
          <t>25/11/2005</t>
        </is>
      </c>
      <c r="B330" s="31" t="n">
        <v>57.37</v>
      </c>
    </row>
    <row r="331">
      <c r="A331" s="4" t="inlineStr">
        <is>
          <t>28/11/2005</t>
        </is>
      </c>
      <c r="B331" s="31" t="n">
        <v>57.13</v>
      </c>
    </row>
    <row r="332">
      <c r="A332" s="4" t="inlineStr">
        <is>
          <t>29/11/2005</t>
        </is>
      </c>
      <c r="B332" s="31" t="n">
        <v>56.91</v>
      </c>
    </row>
    <row r="333">
      <c r="A333" s="4" t="inlineStr">
        <is>
          <t>30/11/2005</t>
        </is>
      </c>
      <c r="B333" s="31" t="n">
        <v>56.7</v>
      </c>
    </row>
    <row r="334">
      <c r="A334" s="4" t="inlineStr">
        <is>
          <t>01/12/2005</t>
        </is>
      </c>
      <c r="B334" s="31" t="n">
        <v>56.74</v>
      </c>
    </row>
    <row r="335">
      <c r="A335" s="4" t="inlineStr">
        <is>
          <t>02/12/2005</t>
        </is>
      </c>
      <c r="B335" s="31" t="n">
        <v>56.64</v>
      </c>
    </row>
    <row r="336">
      <c r="A336" s="4" t="inlineStr">
        <is>
          <t>05/12/2005</t>
        </is>
      </c>
      <c r="B336" s="31" t="n">
        <v>57.06</v>
      </c>
    </row>
    <row r="337">
      <c r="A337" s="4" t="inlineStr">
        <is>
          <t>06/12/2005</t>
        </is>
      </c>
      <c r="B337" s="31" t="n">
        <v>57.2</v>
      </c>
    </row>
    <row r="338">
      <c r="A338" s="4" t="inlineStr">
        <is>
          <t>07/12/2005</t>
        </is>
      </c>
      <c r="B338" s="31" t="n">
        <v>56.92</v>
      </c>
    </row>
    <row r="339">
      <c r="A339" s="4" t="inlineStr">
        <is>
          <t>08/12/2005</t>
        </is>
      </c>
      <c r="B339" s="31" t="n">
        <v>57.7</v>
      </c>
    </row>
    <row r="340">
      <c r="A340" s="4" t="inlineStr">
        <is>
          <t>09/12/2005</t>
        </is>
      </c>
      <c r="B340" s="31" t="n">
        <v>57.7</v>
      </c>
    </row>
    <row r="341">
      <c r="A341" s="4" t="inlineStr">
        <is>
          <t>12/12/2005</t>
        </is>
      </c>
      <c r="B341" s="31" t="n">
        <v>57.38</v>
      </c>
    </row>
    <row r="342">
      <c r="A342" s="4" t="inlineStr">
        <is>
          <t>13/12/2005</t>
        </is>
      </c>
      <c r="B342" s="31" t="n">
        <v>57.56</v>
      </c>
    </row>
    <row r="343">
      <c r="A343" s="4" t="inlineStr">
        <is>
          <t>14/12/2005</t>
        </is>
      </c>
      <c r="B343" s="31" t="n">
        <v>58.65</v>
      </c>
    </row>
    <row r="344">
      <c r="A344" s="4" t="inlineStr">
        <is>
          <t>15/12/2005</t>
        </is>
      </c>
      <c r="B344" s="31" t="n">
        <v>59.57</v>
      </c>
    </row>
    <row r="345">
      <c r="A345" s="4" t="inlineStr">
        <is>
          <t>16/12/2005</t>
        </is>
      </c>
      <c r="B345" s="31" t="n">
        <v>59.26</v>
      </c>
    </row>
    <row r="346">
      <c r="A346" s="4" t="inlineStr">
        <is>
          <t>19/12/2005</t>
        </is>
      </c>
      <c r="B346" s="31" t="n">
        <v>60.21</v>
      </c>
    </row>
    <row r="347">
      <c r="A347" s="4" t="inlineStr">
        <is>
          <t>20/12/2005</t>
        </is>
      </c>
      <c r="B347" s="31" t="n">
        <v>60.64</v>
      </c>
    </row>
    <row r="348">
      <c r="A348" s="4" t="inlineStr">
        <is>
          <t>21/12/2005</t>
        </is>
      </c>
      <c r="B348" s="31" t="n">
        <v>60.74</v>
      </c>
    </row>
    <row r="349">
      <c r="A349" s="4" t="inlineStr">
        <is>
          <t>22/12/2005</t>
        </is>
      </c>
      <c r="B349" s="31" t="n">
        <v>61.17</v>
      </c>
    </row>
    <row r="350">
      <c r="A350" s="4" t="inlineStr">
        <is>
          <t>23/12/2005</t>
        </is>
      </c>
      <c r="B350" s="31" t="n">
        <v>61.42</v>
      </c>
    </row>
    <row r="351">
      <c r="A351" s="4" t="inlineStr">
        <is>
          <t>26/12/2005</t>
        </is>
      </c>
      <c r="B351" s="31" t="n">
        <v>61.42</v>
      </c>
    </row>
    <row r="352">
      <c r="A352" s="4" t="inlineStr">
        <is>
          <t>27/12/2005</t>
        </is>
      </c>
      <c r="B352" s="31" t="n">
        <v>61.95</v>
      </c>
    </row>
    <row r="353">
      <c r="A353" s="4" t="inlineStr">
        <is>
          <t>28/12/2005</t>
        </is>
      </c>
      <c r="B353" s="31" t="n">
        <v>61.98</v>
      </c>
    </row>
    <row r="354">
      <c r="A354" s="4" t="inlineStr">
        <is>
          <t>29/12/2005</t>
        </is>
      </c>
      <c r="B354" s="31" t="n">
        <v>62.12</v>
      </c>
    </row>
    <row r="355">
      <c r="A355" s="4" t="inlineStr">
        <is>
          <t>02/01/2006</t>
        </is>
      </c>
      <c r="B355" s="31" t="n">
        <v>61.73</v>
      </c>
    </row>
    <row r="356">
      <c r="A356" s="4" t="inlineStr">
        <is>
          <t>03/01/2006</t>
        </is>
      </c>
      <c r="B356" s="31" t="n">
        <v>61.87</v>
      </c>
    </row>
    <row r="357">
      <c r="A357" s="4" t="inlineStr">
        <is>
          <t>04/01/2006</t>
        </is>
      </c>
      <c r="B357" s="31" t="n">
        <v>62.12</v>
      </c>
    </row>
    <row r="358">
      <c r="A358" s="4" t="inlineStr">
        <is>
          <t>05/01/2006</t>
        </is>
      </c>
      <c r="B358" s="31" t="n">
        <v>62.68</v>
      </c>
    </row>
    <row r="359">
      <c r="A359" s="4" t="inlineStr">
        <is>
          <t>06/01/2006</t>
        </is>
      </c>
      <c r="B359" s="31" t="n">
        <v>62.92</v>
      </c>
    </row>
    <row r="360">
      <c r="A360" s="4" t="inlineStr">
        <is>
          <t>09/01/2006</t>
        </is>
      </c>
      <c r="B360" s="31" t="n">
        <v>63.24</v>
      </c>
    </row>
    <row r="361">
      <c r="A361" s="4" t="inlineStr">
        <is>
          <t>10/01/2006</t>
        </is>
      </c>
      <c r="B361" s="31" t="n">
        <v>63.35</v>
      </c>
    </row>
    <row r="362">
      <c r="A362" s="4" t="inlineStr">
        <is>
          <t>11/01/2006</t>
        </is>
      </c>
      <c r="B362" s="31" t="n">
        <v>62.4</v>
      </c>
    </row>
    <row r="363">
      <c r="A363" s="4" t="inlineStr">
        <is>
          <t>12/01/2006</t>
        </is>
      </c>
      <c r="B363" s="31" t="n">
        <v>61.91</v>
      </c>
    </row>
    <row r="364">
      <c r="A364" s="4" t="inlineStr">
        <is>
          <t>13/01/2006</t>
        </is>
      </c>
      <c r="B364" s="31" t="n">
        <v>62.4</v>
      </c>
    </row>
    <row r="365">
      <c r="A365" s="4" t="inlineStr">
        <is>
          <t>16/01/2006</t>
        </is>
      </c>
      <c r="B365" s="31" t="n">
        <v>62.4</v>
      </c>
    </row>
    <row r="366">
      <c r="A366" s="4" t="inlineStr">
        <is>
          <t>17/01/2006</t>
        </is>
      </c>
      <c r="B366" s="31" t="n">
        <v>61.8</v>
      </c>
    </row>
    <row r="367">
      <c r="A367" s="4" t="inlineStr">
        <is>
          <t>18/01/2006</t>
        </is>
      </c>
      <c r="B367" s="31" t="n">
        <v>62.26</v>
      </c>
    </row>
    <row r="368">
      <c r="A368" s="4" t="inlineStr">
        <is>
          <t>19/01/2006</t>
        </is>
      </c>
      <c r="B368" s="31" t="n">
        <v>61.73</v>
      </c>
    </row>
    <row r="369">
      <c r="A369" s="4" t="inlineStr">
        <is>
          <t>20/01/2006</t>
        </is>
      </c>
      <c r="B369" s="31" t="n">
        <v>61.38</v>
      </c>
    </row>
    <row r="370">
      <c r="A370" s="4" t="inlineStr">
        <is>
          <t>23/01/2006</t>
        </is>
      </c>
      <c r="B370" s="31" t="n">
        <v>60.79</v>
      </c>
    </row>
    <row r="371">
      <c r="A371" s="4" t="inlineStr">
        <is>
          <t>24/01/2006</t>
        </is>
      </c>
      <c r="B371" s="31" t="n">
        <v>60.29</v>
      </c>
    </row>
    <row r="372">
      <c r="A372" s="4" t="inlineStr">
        <is>
          <t>25/01/2006</t>
        </is>
      </c>
      <c r="B372" s="31" t="n">
        <v>60.47</v>
      </c>
    </row>
    <row r="373">
      <c r="A373" s="4" t="inlineStr">
        <is>
          <t>26/01/2006</t>
        </is>
      </c>
      <c r="B373" s="31" t="n">
        <v>60.01</v>
      </c>
    </row>
    <row r="374">
      <c r="A374" s="4" t="inlineStr">
        <is>
          <t>27/01/2006</t>
        </is>
      </c>
      <c r="B374" s="31" t="n">
        <v>59.84</v>
      </c>
    </row>
    <row r="375">
      <c r="A375" s="4" t="inlineStr">
        <is>
          <t>30/01/2006</t>
        </is>
      </c>
      <c r="B375" s="31" t="n">
        <v>59.66</v>
      </c>
    </row>
    <row r="376">
      <c r="A376" s="4" t="inlineStr">
        <is>
          <t>31/01/2006</t>
        </is>
      </c>
      <c r="B376" s="31" t="n">
        <v>59.31</v>
      </c>
    </row>
    <row r="377">
      <c r="A377" s="4" t="inlineStr">
        <is>
          <t>01/02/2006</t>
        </is>
      </c>
      <c r="B377" s="31" t="n">
        <v>59.59</v>
      </c>
    </row>
    <row r="378">
      <c r="A378" s="4" t="inlineStr">
        <is>
          <t>02/02/2006</t>
        </is>
      </c>
      <c r="B378" s="31" t="n">
        <v>59.87</v>
      </c>
    </row>
    <row r="379">
      <c r="A379" s="4" t="inlineStr">
        <is>
          <t>03/02/2006</t>
        </is>
      </c>
      <c r="B379" s="31" t="n">
        <v>59.45</v>
      </c>
    </row>
    <row r="380">
      <c r="A380" s="4" t="inlineStr">
        <is>
          <t>06/02/2006</t>
        </is>
      </c>
      <c r="B380" s="31" t="n">
        <v>58.67</v>
      </c>
    </row>
    <row r="381">
      <c r="A381" s="4" t="inlineStr">
        <is>
          <t>07/02/2006</t>
        </is>
      </c>
      <c r="B381" s="31" t="n">
        <v>58.53</v>
      </c>
    </row>
    <row r="382">
      <c r="A382" s="4" t="inlineStr">
        <is>
          <t>08/02/2006</t>
        </is>
      </c>
      <c r="B382" s="31" t="n">
        <v>58.15</v>
      </c>
    </row>
    <row r="383">
      <c r="A383" s="4" t="inlineStr">
        <is>
          <t>09/02/2006</t>
        </is>
      </c>
      <c r="B383" s="31" t="n">
        <v>58.01</v>
      </c>
    </row>
    <row r="384">
      <c r="A384" s="4" t="inlineStr">
        <is>
          <t>10/02/2006</t>
        </is>
      </c>
      <c r="B384" s="31" t="n">
        <v>57.94</v>
      </c>
    </row>
    <row r="385">
      <c r="A385" s="4" t="inlineStr">
        <is>
          <t>13/02/2006</t>
        </is>
      </c>
      <c r="B385" s="31" t="n">
        <v>57.9</v>
      </c>
    </row>
    <row r="386">
      <c r="A386" s="4" t="inlineStr">
        <is>
          <t>14/02/2006</t>
        </is>
      </c>
      <c r="B386" s="31" t="n">
        <v>57.27</v>
      </c>
    </row>
    <row r="387">
      <c r="A387" s="4" t="inlineStr">
        <is>
          <t>15/02/2006</t>
        </is>
      </c>
      <c r="B387" s="31" t="n">
        <v>57.24</v>
      </c>
    </row>
    <row r="388">
      <c r="A388" s="4" t="inlineStr">
        <is>
          <t>16/02/2006</t>
        </is>
      </c>
      <c r="B388" s="31" t="n">
        <v>57.17</v>
      </c>
    </row>
    <row r="389">
      <c r="A389" s="4" t="inlineStr">
        <is>
          <t>17/02/2006</t>
        </is>
      </c>
      <c r="B389" s="31" t="n">
        <v>57.27</v>
      </c>
    </row>
    <row r="390">
      <c r="A390" s="4" t="inlineStr">
        <is>
          <t>20/02/2006</t>
        </is>
      </c>
      <c r="B390" s="31" t="n">
        <v>57.13</v>
      </c>
    </row>
    <row r="391">
      <c r="A391" s="4" t="inlineStr">
        <is>
          <t>21/02/2006</t>
        </is>
      </c>
      <c r="B391" s="31" t="n">
        <v>57.27</v>
      </c>
    </row>
    <row r="392">
      <c r="A392" s="4" t="inlineStr">
        <is>
          <t>22/02/2006</t>
        </is>
      </c>
      <c r="B392" s="31" t="n">
        <v>57.24</v>
      </c>
    </row>
    <row r="393">
      <c r="A393" s="4" t="inlineStr">
        <is>
          <t>23/02/2006</t>
        </is>
      </c>
      <c r="B393" s="31" t="n">
        <v>57.24</v>
      </c>
    </row>
    <row r="394">
      <c r="A394" s="4" t="inlineStr">
        <is>
          <t>24/02/2006</t>
        </is>
      </c>
      <c r="B394" s="31" t="n">
        <v>57.13</v>
      </c>
    </row>
    <row r="395">
      <c r="A395" s="4" t="inlineStr">
        <is>
          <t>01/03/2006</t>
        </is>
      </c>
      <c r="B395" s="31" t="n">
        <v>57.16</v>
      </c>
    </row>
    <row r="396">
      <c r="A396" s="4" t="inlineStr">
        <is>
          <t>02/03/2006</t>
        </is>
      </c>
      <c r="B396" s="31" t="n">
        <v>56.45</v>
      </c>
    </row>
    <row r="397">
      <c r="A397" s="4" t="inlineStr">
        <is>
          <t>03/03/2006</t>
        </is>
      </c>
      <c r="B397" s="31" t="n">
        <v>56.03</v>
      </c>
    </row>
    <row r="398">
      <c r="A398" s="4" t="inlineStr">
        <is>
          <t>06/03/2006</t>
        </is>
      </c>
      <c r="B398" s="31" t="n">
        <v>55.75</v>
      </c>
    </row>
    <row r="399">
      <c r="A399" s="4" t="inlineStr">
        <is>
          <t>07/03/2006</t>
        </is>
      </c>
      <c r="B399" s="31" t="n">
        <v>55.4</v>
      </c>
    </row>
    <row r="400">
      <c r="A400" s="4" t="inlineStr">
        <is>
          <t>08/03/2006</t>
        </is>
      </c>
      <c r="B400" s="31" t="n">
        <v>54.49</v>
      </c>
    </row>
    <row r="401">
      <c r="A401" s="4" t="inlineStr">
        <is>
          <t>09/03/2006</t>
        </is>
      </c>
      <c r="B401" s="31" t="n">
        <v>54.2</v>
      </c>
    </row>
    <row r="402">
      <c r="A402" s="4" t="inlineStr">
        <is>
          <t>10/03/2006</t>
        </is>
      </c>
      <c r="B402" s="31" t="n">
        <v>54.17</v>
      </c>
    </row>
    <row r="403">
      <c r="A403" s="4" t="inlineStr">
        <is>
          <t>13/03/2006</t>
        </is>
      </c>
      <c r="B403" s="31" t="n">
        <v>53.47</v>
      </c>
    </row>
    <row r="404">
      <c r="A404" s="4" t="inlineStr">
        <is>
          <t>14/03/2006</t>
        </is>
      </c>
      <c r="B404" s="31" t="n">
        <v>53.01</v>
      </c>
    </row>
    <row r="405">
      <c r="A405" s="4" t="inlineStr">
        <is>
          <t>15/03/2006</t>
        </is>
      </c>
      <c r="B405" s="31" t="n">
        <v>51.39</v>
      </c>
    </row>
    <row r="406">
      <c r="A406" s="4" t="inlineStr">
        <is>
          <t>16/03/2006</t>
        </is>
      </c>
      <c r="B406" s="31" t="n">
        <v>49.88</v>
      </c>
    </row>
    <row r="407">
      <c r="A407" s="4" t="inlineStr">
        <is>
          <t>17/03/2006</t>
        </is>
      </c>
      <c r="B407" s="31" t="n">
        <v>50.27</v>
      </c>
    </row>
    <row r="408">
      <c r="A408" s="4" t="inlineStr">
        <is>
          <t>20/03/2006</t>
        </is>
      </c>
      <c r="B408" s="31" t="n">
        <v>50.34</v>
      </c>
    </row>
    <row r="409">
      <c r="A409" s="4" t="inlineStr">
        <is>
          <t>21/03/2006</t>
        </is>
      </c>
      <c r="B409" s="31" t="n">
        <v>49.53</v>
      </c>
    </row>
    <row r="410">
      <c r="A410" s="4" t="inlineStr">
        <is>
          <t>22/03/2006</t>
        </is>
      </c>
      <c r="B410" s="31" t="n">
        <v>48.3</v>
      </c>
    </row>
    <row r="411">
      <c r="A411" s="4" t="inlineStr">
        <is>
          <t>23/03/2006</t>
        </is>
      </c>
      <c r="B411" s="31" t="n">
        <v>48.4</v>
      </c>
    </row>
    <row r="412">
      <c r="A412" s="4" t="inlineStr">
        <is>
          <t>24/03/2006</t>
        </is>
      </c>
      <c r="B412" s="31" t="n">
        <v>48.16</v>
      </c>
    </row>
    <row r="413">
      <c r="A413" s="4" t="inlineStr">
        <is>
          <t>27/03/2006</t>
        </is>
      </c>
      <c r="B413" s="31" t="n">
        <v>47.46</v>
      </c>
    </row>
    <row r="414">
      <c r="A414" s="4" t="inlineStr">
        <is>
          <t>28/03/2006</t>
        </is>
      </c>
      <c r="B414" s="31" t="n">
        <v>47.46</v>
      </c>
    </row>
    <row r="415">
      <c r="A415" s="4" t="inlineStr">
        <is>
          <t>29/03/2006</t>
        </is>
      </c>
      <c r="B415" s="31" t="n">
        <v>47.24</v>
      </c>
    </row>
    <row r="416">
      <c r="A416" s="4" t="inlineStr">
        <is>
          <t>30/03/2006</t>
        </is>
      </c>
      <c r="B416" s="31" t="n">
        <v>46.82</v>
      </c>
    </row>
    <row r="417">
      <c r="A417" s="4" t="inlineStr">
        <is>
          <t>31/03/2006</t>
        </is>
      </c>
      <c r="B417" s="31" t="n">
        <v>46.86</v>
      </c>
    </row>
    <row r="418">
      <c r="A418" s="4" t="inlineStr">
        <is>
          <t>03/04/2006</t>
        </is>
      </c>
      <c r="B418" s="31" t="n">
        <v>47.09</v>
      </c>
    </row>
    <row r="419">
      <c r="A419" s="4" t="inlineStr">
        <is>
          <t>04/04/2006</t>
        </is>
      </c>
      <c r="B419" s="31" t="n">
        <v>47.23</v>
      </c>
    </row>
    <row r="420">
      <c r="A420" s="4" t="inlineStr">
        <is>
          <t>05/04/2006</t>
        </is>
      </c>
      <c r="B420" s="31" t="n">
        <v>47.55</v>
      </c>
    </row>
    <row r="421">
      <c r="A421" s="4" t="inlineStr">
        <is>
          <t>06/04/2006</t>
        </is>
      </c>
      <c r="B421" s="31" t="n">
        <v>47.41</v>
      </c>
    </row>
    <row r="422">
      <c r="A422" s="4" t="inlineStr">
        <is>
          <t>07/04/2006</t>
        </is>
      </c>
      <c r="B422" s="31" t="n">
        <v>47.48</v>
      </c>
    </row>
    <row r="423">
      <c r="A423" s="4" t="inlineStr">
        <is>
          <t>10/04/2006</t>
        </is>
      </c>
      <c r="B423" s="31" t="n">
        <v>47.62</v>
      </c>
    </row>
    <row r="424">
      <c r="A424" s="4" t="inlineStr">
        <is>
          <t>11/04/2006</t>
        </is>
      </c>
      <c r="B424" s="31" t="n">
        <v>49.03</v>
      </c>
    </row>
    <row r="425">
      <c r="A425" s="4" t="inlineStr">
        <is>
          <t>12/04/2006</t>
        </is>
      </c>
      <c r="B425" s="31" t="n">
        <v>49.63</v>
      </c>
    </row>
    <row r="426">
      <c r="A426" s="4" t="inlineStr">
        <is>
          <t>13/04/2006</t>
        </is>
      </c>
      <c r="B426" s="31" t="n">
        <v>49.81</v>
      </c>
    </row>
    <row r="427">
      <c r="A427" s="4" t="inlineStr">
        <is>
          <t>17/04/2006</t>
        </is>
      </c>
      <c r="B427" s="31" t="n">
        <v>50.48</v>
      </c>
    </row>
    <row r="428">
      <c r="A428" s="4" t="inlineStr">
        <is>
          <t>18/04/2006</t>
        </is>
      </c>
      <c r="B428" s="31" t="n">
        <v>52.42</v>
      </c>
    </row>
    <row r="429">
      <c r="A429" s="4" t="inlineStr">
        <is>
          <t>19/04/2006</t>
        </is>
      </c>
      <c r="B429" s="31" t="n">
        <v>54.15</v>
      </c>
    </row>
    <row r="430">
      <c r="A430" s="4" t="inlineStr">
        <is>
          <t>20/04/2006</t>
        </is>
      </c>
      <c r="B430" s="31" t="n">
        <v>53.94</v>
      </c>
    </row>
    <row r="431">
      <c r="A431" s="4" t="inlineStr">
        <is>
          <t>24/04/2006</t>
        </is>
      </c>
      <c r="B431" s="31" t="n">
        <v>54.61</v>
      </c>
    </row>
    <row r="432">
      <c r="A432" s="4" t="inlineStr">
        <is>
          <t>25/04/2006</t>
        </is>
      </c>
      <c r="B432" s="31" t="n">
        <v>55.14</v>
      </c>
    </row>
    <row r="433">
      <c r="A433" s="4" t="inlineStr">
        <is>
          <t>26/04/2006</t>
        </is>
      </c>
      <c r="B433" s="31" t="n">
        <v>55.1</v>
      </c>
    </row>
    <row r="434">
      <c r="A434" s="4" t="inlineStr">
        <is>
          <t>27/04/2006</t>
        </is>
      </c>
      <c r="B434" s="31" t="n">
        <v>54.4</v>
      </c>
    </row>
    <row r="435">
      <c r="A435" s="4" t="inlineStr">
        <is>
          <t>28/04/2006</t>
        </is>
      </c>
      <c r="B435" s="31" t="n">
        <v>54.43</v>
      </c>
    </row>
    <row r="436">
      <c r="A436" s="4" t="inlineStr">
        <is>
          <t>02/05/2006</t>
        </is>
      </c>
      <c r="B436" s="31" t="n">
        <v>54.05</v>
      </c>
    </row>
    <row r="437">
      <c r="A437" s="4" t="inlineStr">
        <is>
          <t>03/05/2006</t>
        </is>
      </c>
      <c r="B437" s="31" t="n">
        <v>53.81</v>
      </c>
    </row>
    <row r="438">
      <c r="A438" s="4" t="inlineStr">
        <is>
          <t>04/05/2006</t>
        </is>
      </c>
      <c r="B438" s="31" t="n">
        <v>53.49</v>
      </c>
    </row>
    <row r="439">
      <c r="A439" s="4" t="inlineStr">
        <is>
          <t>05/05/2006</t>
        </is>
      </c>
      <c r="B439" s="31" t="n">
        <v>53.42</v>
      </c>
    </row>
    <row r="440">
      <c r="A440" s="4" t="inlineStr">
        <is>
          <t>08/05/2006</t>
        </is>
      </c>
      <c r="B440" s="31" t="n">
        <v>53.24</v>
      </c>
    </row>
    <row r="441">
      <c r="A441" s="4" t="inlineStr">
        <is>
          <t>09/05/2006</t>
        </is>
      </c>
      <c r="B441" s="31" t="n">
        <v>53</v>
      </c>
    </row>
    <row r="442">
      <c r="A442" s="4" t="inlineStr">
        <is>
          <t>10/05/2006</t>
        </is>
      </c>
      <c r="B442" s="31" t="n">
        <v>52.96</v>
      </c>
    </row>
    <row r="443">
      <c r="A443" s="4" t="inlineStr">
        <is>
          <t>11/05/2006</t>
        </is>
      </c>
      <c r="B443" s="31" t="n">
        <v>52.79</v>
      </c>
    </row>
    <row r="444">
      <c r="A444" s="4" t="inlineStr">
        <is>
          <t>12/05/2006</t>
        </is>
      </c>
      <c r="B444" s="31" t="n">
        <v>52.82</v>
      </c>
    </row>
    <row r="445">
      <c r="A445" s="4" t="inlineStr">
        <is>
          <t>15/05/2006</t>
        </is>
      </c>
      <c r="B445" s="31" t="n">
        <v>52.93</v>
      </c>
    </row>
    <row r="446">
      <c r="A446" s="4" t="inlineStr">
        <is>
          <t>16/05/2006</t>
        </is>
      </c>
      <c r="B446" s="31" t="n">
        <v>52.75</v>
      </c>
    </row>
    <row r="447">
      <c r="A447" s="4" t="inlineStr">
        <is>
          <t>17/05/2006</t>
        </is>
      </c>
      <c r="B447" s="31" t="n">
        <v>53.07</v>
      </c>
    </row>
    <row r="448">
      <c r="A448" s="4" t="inlineStr">
        <is>
          <t>18/05/2006</t>
        </is>
      </c>
      <c r="B448" s="31" t="n">
        <v>53.17</v>
      </c>
    </row>
    <row r="449">
      <c r="A449" s="4" t="inlineStr">
        <is>
          <t>19/05/2006</t>
        </is>
      </c>
      <c r="B449" s="31" t="n">
        <v>52.93</v>
      </c>
    </row>
    <row r="450">
      <c r="A450" s="4" t="inlineStr">
        <is>
          <t>22/05/2006</t>
        </is>
      </c>
      <c r="B450" s="31" t="n">
        <v>53.1</v>
      </c>
    </row>
    <row r="451">
      <c r="A451" s="4" t="inlineStr">
        <is>
          <t>23/05/2006</t>
        </is>
      </c>
      <c r="B451" s="31" t="n">
        <v>53.77</v>
      </c>
    </row>
    <row r="452">
      <c r="A452" s="4" t="inlineStr">
        <is>
          <t>24/05/2006</t>
        </is>
      </c>
      <c r="B452" s="31" t="n">
        <v>54.44</v>
      </c>
    </row>
    <row r="453">
      <c r="A453" s="4" t="inlineStr">
        <is>
          <t>25/05/2006</t>
        </is>
      </c>
      <c r="B453" s="31" t="n">
        <v>54.79</v>
      </c>
    </row>
    <row r="454">
      <c r="A454" s="4" t="inlineStr">
        <is>
          <t>26/05/2006</t>
        </is>
      </c>
      <c r="B454" s="31" t="n">
        <v>54.86</v>
      </c>
    </row>
    <row r="455">
      <c r="A455" s="4" t="inlineStr">
        <is>
          <t>29/05/2006</t>
        </is>
      </c>
      <c r="B455" s="31" t="n">
        <v>54.83</v>
      </c>
    </row>
    <row r="456">
      <c r="A456" s="4" t="inlineStr">
        <is>
          <t>30/05/2006</t>
        </is>
      </c>
      <c r="B456" s="31" t="n">
        <v>54.76</v>
      </c>
    </row>
    <row r="457">
      <c r="A457" s="4" t="inlineStr">
        <is>
          <t>31/05/2006</t>
        </is>
      </c>
      <c r="B457" s="31" t="n">
        <v>55.18</v>
      </c>
    </row>
    <row r="458">
      <c r="A458" s="4" t="inlineStr">
        <is>
          <t>01/06/2006</t>
        </is>
      </c>
      <c r="B458" s="31" t="n">
        <v>54.91</v>
      </c>
    </row>
    <row r="459">
      <c r="A459" s="4" t="inlineStr">
        <is>
          <t>02/06/2006</t>
        </is>
      </c>
      <c r="B459" s="31" t="n">
        <v>55.81</v>
      </c>
    </row>
    <row r="460">
      <c r="A460" s="4" t="inlineStr">
        <is>
          <t>05/06/2006</t>
        </is>
      </c>
      <c r="B460" s="31" t="n">
        <v>55.99</v>
      </c>
    </row>
    <row r="461">
      <c r="A461" s="4" t="inlineStr">
        <is>
          <t>06/06/2006</t>
        </is>
      </c>
      <c r="B461" s="31" t="n">
        <v>56.06</v>
      </c>
    </row>
    <row r="462">
      <c r="A462" s="4" t="inlineStr">
        <is>
          <t>07/06/2006</t>
        </is>
      </c>
      <c r="B462" s="31" t="n">
        <v>56.51</v>
      </c>
    </row>
    <row r="463">
      <c r="A463" s="4" t="inlineStr">
        <is>
          <t>08/06/2006</t>
        </is>
      </c>
      <c r="B463" s="31" t="n">
        <v>56.97</v>
      </c>
    </row>
    <row r="464">
      <c r="A464" s="4" t="inlineStr">
        <is>
          <t>09/06/2006</t>
        </is>
      </c>
      <c r="B464" s="31" t="n">
        <v>57.21</v>
      </c>
    </row>
    <row r="465">
      <c r="A465" s="4" t="inlineStr">
        <is>
          <t>12/06/2006</t>
        </is>
      </c>
      <c r="B465" s="31" t="n">
        <v>56.83</v>
      </c>
    </row>
    <row r="466">
      <c r="A466" s="4" t="inlineStr">
        <is>
          <t>13/06/2006</t>
        </is>
      </c>
      <c r="B466" s="31" t="n">
        <v>56.93</v>
      </c>
    </row>
    <row r="467">
      <c r="A467" s="4" t="inlineStr">
        <is>
          <t>14/06/2006</t>
        </is>
      </c>
      <c r="B467" s="31" t="n">
        <v>57.8</v>
      </c>
    </row>
    <row r="468">
      <c r="A468" s="4" t="inlineStr">
        <is>
          <t>16/06/2006</t>
        </is>
      </c>
      <c r="B468" s="31" t="n">
        <v>57.8</v>
      </c>
    </row>
    <row r="469">
      <c r="A469" s="4" t="inlineStr">
        <is>
          <t>19/06/2006</t>
        </is>
      </c>
      <c r="B469" s="31" t="n">
        <v>57.94</v>
      </c>
    </row>
    <row r="470">
      <c r="A470" s="4" t="inlineStr">
        <is>
          <t>20/06/2006</t>
        </is>
      </c>
      <c r="B470" s="31" t="n">
        <v>57.87</v>
      </c>
    </row>
    <row r="471">
      <c r="A471" s="4" t="inlineStr">
        <is>
          <t>21/06/2006</t>
        </is>
      </c>
      <c r="B471" s="31" t="n">
        <v>58.61</v>
      </c>
    </row>
    <row r="472">
      <c r="A472" s="4" t="inlineStr">
        <is>
          <t>22/06/2006</t>
        </is>
      </c>
      <c r="B472" s="31" t="n">
        <v>58.57</v>
      </c>
    </row>
    <row r="473">
      <c r="A473" s="4" t="inlineStr">
        <is>
          <t>23/06/2006</t>
        </is>
      </c>
      <c r="B473" s="31" t="n">
        <v>58.57</v>
      </c>
    </row>
    <row r="474">
      <c r="A474" s="4" t="inlineStr">
        <is>
          <t>26/06/2006</t>
        </is>
      </c>
      <c r="B474" s="31" t="n">
        <v>58.19</v>
      </c>
    </row>
    <row r="475">
      <c r="A475" s="4" t="inlineStr">
        <is>
          <t>27/06/2006</t>
        </is>
      </c>
      <c r="B475" s="31" t="n">
        <v>58.43</v>
      </c>
    </row>
    <row r="476">
      <c r="A476" s="4" t="inlineStr">
        <is>
          <t>28/06/2006</t>
        </is>
      </c>
      <c r="B476" s="31" t="n">
        <v>58.68</v>
      </c>
    </row>
    <row r="477">
      <c r="A477" s="4" t="inlineStr">
        <is>
          <t>29/06/2006</t>
        </is>
      </c>
      <c r="B477" s="31" t="n">
        <v>58.82</v>
      </c>
    </row>
    <row r="478">
      <c r="A478" s="4" t="inlineStr">
        <is>
          <t>30/06/2006</t>
        </is>
      </c>
      <c r="B478" s="31" t="n">
        <v>58.78</v>
      </c>
    </row>
    <row r="479">
      <c r="A479" s="4" t="inlineStr">
        <is>
          <t>03/07/2006</t>
        </is>
      </c>
      <c r="B479" s="31" t="n">
        <v>58.74</v>
      </c>
    </row>
    <row r="480">
      <c r="A480" s="4" t="inlineStr">
        <is>
          <t>04/07/2006</t>
        </is>
      </c>
      <c r="B480" s="31" t="n">
        <v>58.74</v>
      </c>
    </row>
    <row r="481">
      <c r="A481" s="4" t="inlineStr">
        <is>
          <t>05/07/2006</t>
        </is>
      </c>
      <c r="B481" s="31" t="n">
        <v>58.78</v>
      </c>
    </row>
    <row r="482">
      <c r="A482" s="4" t="inlineStr">
        <is>
          <t>06/07/2006</t>
        </is>
      </c>
      <c r="B482" s="31" t="n">
        <v>58.78</v>
      </c>
    </row>
    <row r="483">
      <c r="A483" s="4" t="inlineStr">
        <is>
          <t>07/07/2006</t>
        </is>
      </c>
      <c r="B483" s="31" t="n">
        <v>58.67</v>
      </c>
    </row>
    <row r="484">
      <c r="A484" s="4" t="inlineStr">
        <is>
          <t>10/07/2006</t>
        </is>
      </c>
      <c r="B484" s="31" t="n">
        <v>58.78</v>
      </c>
    </row>
    <row r="485">
      <c r="A485" s="4" t="inlineStr">
        <is>
          <t>11/07/2006</t>
        </is>
      </c>
      <c r="B485" s="31" t="n">
        <v>58.95</v>
      </c>
    </row>
    <row r="486">
      <c r="A486" s="4" t="inlineStr">
        <is>
          <t>12/07/2006</t>
        </is>
      </c>
      <c r="B486" s="31" t="n">
        <v>59.09</v>
      </c>
    </row>
    <row r="487">
      <c r="A487" s="4" t="inlineStr">
        <is>
          <t>13/07/2006</t>
        </is>
      </c>
      <c r="B487" s="31" t="n">
        <v>58.99</v>
      </c>
    </row>
    <row r="488">
      <c r="A488" s="4" t="inlineStr">
        <is>
          <t>14/07/2006</t>
        </is>
      </c>
      <c r="B488" s="31" t="n">
        <v>58.78</v>
      </c>
    </row>
    <row r="489">
      <c r="A489" s="4" t="inlineStr">
        <is>
          <t>17/07/2006</t>
        </is>
      </c>
      <c r="B489" s="31" t="n">
        <v>58.74</v>
      </c>
    </row>
    <row r="490">
      <c r="A490" s="4" t="inlineStr">
        <is>
          <t>18/07/2006</t>
        </is>
      </c>
      <c r="B490" s="31" t="n">
        <v>58.78</v>
      </c>
    </row>
    <row r="491">
      <c r="A491" s="4" t="inlineStr">
        <is>
          <t>19/07/2006</t>
        </is>
      </c>
      <c r="B491" s="31" t="n">
        <v>58.47</v>
      </c>
    </row>
    <row r="492">
      <c r="A492" s="4" t="inlineStr">
        <is>
          <t>20/07/2006</t>
        </is>
      </c>
      <c r="B492" s="31" t="n">
        <v>57.8</v>
      </c>
    </row>
    <row r="493">
      <c r="A493" s="4" t="inlineStr">
        <is>
          <t>21/07/2006</t>
        </is>
      </c>
      <c r="B493" s="31" t="n">
        <v>57.52</v>
      </c>
    </row>
    <row r="494">
      <c r="A494" s="4" t="inlineStr">
        <is>
          <t>24/07/2006</t>
        </is>
      </c>
      <c r="B494" s="31" t="n">
        <v>57.59</v>
      </c>
    </row>
    <row r="495">
      <c r="A495" s="4" t="inlineStr">
        <is>
          <t>25/07/2006</t>
        </is>
      </c>
      <c r="B495" s="31" t="n">
        <v>57.28</v>
      </c>
    </row>
    <row r="496">
      <c r="A496" s="4" t="inlineStr">
        <is>
          <t>26/07/2006</t>
        </is>
      </c>
      <c r="B496" s="31" t="n">
        <v>56.97</v>
      </c>
    </row>
    <row r="497">
      <c r="A497" s="4" t="inlineStr">
        <is>
          <t>27/07/2006</t>
        </is>
      </c>
      <c r="B497" s="31" t="n">
        <v>56.79</v>
      </c>
    </row>
    <row r="498">
      <c r="A498" s="4" t="inlineStr">
        <is>
          <t>28/07/2006</t>
        </is>
      </c>
      <c r="B498" s="31" t="n">
        <v>56.44</v>
      </c>
    </row>
    <row r="499">
      <c r="A499" s="4" t="inlineStr">
        <is>
          <t>31/07/2006</t>
        </is>
      </c>
      <c r="B499" s="31" t="n">
        <v>56.48</v>
      </c>
    </row>
    <row r="500">
      <c r="A500" s="4" t="inlineStr">
        <is>
          <t>01/08/2006</t>
        </is>
      </c>
      <c r="B500" s="31" t="n">
        <v>56.38</v>
      </c>
    </row>
    <row r="501">
      <c r="A501" s="4" t="inlineStr">
        <is>
          <t>02/08/2006</t>
        </is>
      </c>
      <c r="B501" s="31" t="n">
        <v>56.79</v>
      </c>
    </row>
    <row r="502">
      <c r="A502" s="4" t="inlineStr">
        <is>
          <t>03/08/2006</t>
        </is>
      </c>
      <c r="B502" s="31" t="n">
        <v>56.72</v>
      </c>
    </row>
    <row r="503">
      <c r="A503" s="4" t="inlineStr">
        <is>
          <t>04/08/2006</t>
        </is>
      </c>
      <c r="B503" s="31" t="n">
        <v>56.79</v>
      </c>
    </row>
    <row r="504">
      <c r="A504" s="4" t="inlineStr">
        <is>
          <t>07/08/2006</t>
        </is>
      </c>
      <c r="B504" s="31" t="n">
        <v>56.79</v>
      </c>
    </row>
    <row r="505">
      <c r="A505" s="4" t="inlineStr">
        <is>
          <t>08/08/2006</t>
        </is>
      </c>
      <c r="B505" s="31" t="n">
        <v>56.58</v>
      </c>
    </row>
    <row r="506">
      <c r="A506" s="4" t="inlineStr">
        <is>
          <t>09/08/2006</t>
        </is>
      </c>
      <c r="B506" s="31" t="n">
        <v>57.94</v>
      </c>
    </row>
    <row r="507">
      <c r="A507" s="4" t="inlineStr">
        <is>
          <t>10/08/2006</t>
        </is>
      </c>
      <c r="B507" s="31" t="n">
        <v>58.35</v>
      </c>
    </row>
    <row r="508">
      <c r="A508" s="4" t="inlineStr">
        <is>
          <t>11/08/2006</t>
        </is>
      </c>
      <c r="B508" s="31" t="n">
        <v>58.25</v>
      </c>
    </row>
    <row r="509">
      <c r="A509" s="4" t="inlineStr">
        <is>
          <t>14/08/2006</t>
        </is>
      </c>
      <c r="B509" s="31" t="n">
        <v>58.7</v>
      </c>
    </row>
    <row r="510">
      <c r="A510" s="4" t="inlineStr">
        <is>
          <t>15/08/2006</t>
        </is>
      </c>
      <c r="B510" s="31" t="n">
        <v>58.84</v>
      </c>
    </row>
    <row r="511">
      <c r="A511" s="4" t="inlineStr">
        <is>
          <t>16/08/2006</t>
        </is>
      </c>
      <c r="B511" s="31" t="n">
        <v>59.08</v>
      </c>
    </row>
    <row r="512">
      <c r="A512" s="4" t="inlineStr">
        <is>
          <t>17/08/2006</t>
        </is>
      </c>
      <c r="B512" s="31" t="n">
        <v>59.12</v>
      </c>
    </row>
    <row r="513">
      <c r="A513" s="4" t="inlineStr">
        <is>
          <t>18/08/2006</t>
        </is>
      </c>
      <c r="B513" s="31" t="n">
        <v>59.19</v>
      </c>
    </row>
    <row r="514">
      <c r="A514" s="4" t="inlineStr">
        <is>
          <t>21/08/2006</t>
        </is>
      </c>
      <c r="B514" s="31" t="n">
        <v>59.47</v>
      </c>
    </row>
    <row r="515">
      <c r="A515" s="4" t="inlineStr">
        <is>
          <t>22/08/2006</t>
        </is>
      </c>
      <c r="B515" s="31" t="n">
        <v>59.85</v>
      </c>
    </row>
    <row r="516">
      <c r="A516" s="4" t="inlineStr">
        <is>
          <t>23/08/2006</t>
        </is>
      </c>
      <c r="B516" s="31" t="n">
        <v>59.6</v>
      </c>
    </row>
    <row r="517">
      <c r="A517" s="4" t="inlineStr">
        <is>
          <t>24/08/2006</t>
        </is>
      </c>
      <c r="B517" s="31" t="n">
        <v>59.6</v>
      </c>
    </row>
    <row r="518">
      <c r="A518" s="4" t="inlineStr">
        <is>
          <t>25/08/2006</t>
        </is>
      </c>
      <c r="B518" s="31" t="n">
        <v>59.53</v>
      </c>
    </row>
    <row r="519">
      <c r="A519" s="4" t="inlineStr">
        <is>
          <t>28/08/2006</t>
        </is>
      </c>
      <c r="B519" s="31" t="n">
        <v>59.71</v>
      </c>
    </row>
    <row r="520">
      <c r="A520" s="4" t="inlineStr">
        <is>
          <t>29/08/2006</t>
        </is>
      </c>
      <c r="B520" s="31" t="n">
        <v>59.53</v>
      </c>
    </row>
    <row r="521">
      <c r="A521" s="4" t="inlineStr">
        <is>
          <t>30/08/2006</t>
        </is>
      </c>
      <c r="B521" s="31" t="n">
        <v>59.74</v>
      </c>
    </row>
    <row r="522">
      <c r="A522" s="4" t="inlineStr">
        <is>
          <t>31/08/2006</t>
        </is>
      </c>
      <c r="B522" s="31" t="n">
        <v>59.47</v>
      </c>
    </row>
    <row r="523">
      <c r="A523" s="4" t="inlineStr">
        <is>
          <t>01/09/2006</t>
        </is>
      </c>
      <c r="B523" s="31" t="n">
        <v>59.4</v>
      </c>
    </row>
    <row r="524">
      <c r="A524" s="4" t="inlineStr">
        <is>
          <t>04/09/2006</t>
        </is>
      </c>
      <c r="B524" s="31" t="n">
        <v>59.43</v>
      </c>
    </row>
    <row r="525">
      <c r="A525" s="4" t="inlineStr">
        <is>
          <t>05/09/2006</t>
        </is>
      </c>
      <c r="B525" s="31" t="n">
        <v>59.5</v>
      </c>
    </row>
    <row r="526">
      <c r="A526" s="4" t="inlineStr">
        <is>
          <t>06/09/2006</t>
        </is>
      </c>
      <c r="B526" s="31" t="n">
        <v>59.5</v>
      </c>
    </row>
    <row r="527">
      <c r="A527" s="4" t="inlineStr">
        <is>
          <t>08/09/2006</t>
        </is>
      </c>
      <c r="B527" s="31" t="n">
        <v>59.81</v>
      </c>
    </row>
    <row r="528">
      <c r="A528" s="4" t="inlineStr">
        <is>
          <t>11/09/2006</t>
        </is>
      </c>
      <c r="B528" s="31" t="n">
        <v>60.02</v>
      </c>
    </row>
    <row r="529">
      <c r="A529" s="4" t="inlineStr">
        <is>
          <t>12/09/2006</t>
        </is>
      </c>
      <c r="B529" s="31" t="n">
        <v>60.12</v>
      </c>
    </row>
    <row r="530">
      <c r="A530" s="4" t="inlineStr">
        <is>
          <t>13/09/2006</t>
        </is>
      </c>
      <c r="B530" s="31" t="n">
        <v>60.99</v>
      </c>
    </row>
    <row r="531">
      <c r="A531" s="4" t="inlineStr">
        <is>
          <t>14/09/2006</t>
        </is>
      </c>
      <c r="B531" s="31" t="n">
        <v>61.13</v>
      </c>
    </row>
    <row r="532">
      <c r="A532" s="4" t="inlineStr">
        <is>
          <t>15/09/2006</t>
        </is>
      </c>
      <c r="B532" s="31" t="n">
        <v>61.72</v>
      </c>
    </row>
    <row r="533">
      <c r="A533" s="4" t="inlineStr">
        <is>
          <t>18/09/2006</t>
        </is>
      </c>
      <c r="B533" s="31" t="n">
        <v>62.89</v>
      </c>
    </row>
    <row r="534">
      <c r="A534" s="4" t="inlineStr">
        <is>
          <t>19/09/2006</t>
        </is>
      </c>
      <c r="B534" s="31" t="n">
        <v>62.96</v>
      </c>
    </row>
    <row r="535">
      <c r="A535" s="4" t="inlineStr">
        <is>
          <t>20/09/2006</t>
        </is>
      </c>
      <c r="B535" s="31" t="n">
        <v>63.59</v>
      </c>
    </row>
    <row r="536">
      <c r="A536" s="4" t="inlineStr">
        <is>
          <t>21/09/2006</t>
        </is>
      </c>
      <c r="B536" s="31" t="n">
        <v>63.79</v>
      </c>
    </row>
    <row r="537">
      <c r="A537" s="4" t="inlineStr">
        <is>
          <t>22/09/2006</t>
        </is>
      </c>
      <c r="B537" s="31" t="n">
        <v>63.9</v>
      </c>
    </row>
    <row r="538">
      <c r="A538" s="4" t="inlineStr">
        <is>
          <t>25/09/2006</t>
        </is>
      </c>
      <c r="B538" s="31" t="n">
        <v>63.69</v>
      </c>
    </row>
    <row r="539">
      <c r="A539" s="4" t="inlineStr">
        <is>
          <t>26/09/2006</t>
        </is>
      </c>
      <c r="B539" s="31" t="n">
        <v>63.93</v>
      </c>
    </row>
    <row r="540">
      <c r="A540" s="4" t="inlineStr">
        <is>
          <t>27/09/2006</t>
        </is>
      </c>
      <c r="B540" s="31" t="n">
        <v>64.76000000000001</v>
      </c>
    </row>
    <row r="541">
      <c r="A541" s="4" t="inlineStr">
        <is>
          <t>28/09/2006</t>
        </is>
      </c>
      <c r="B541" s="31" t="n">
        <v>65.45</v>
      </c>
    </row>
    <row r="542">
      <c r="A542" s="4" t="inlineStr">
        <is>
          <t>29/09/2006</t>
        </is>
      </c>
      <c r="B542" s="31" t="n">
        <v>65.52</v>
      </c>
    </row>
    <row r="543">
      <c r="A543" s="4" t="inlineStr">
        <is>
          <t>02/10/2006</t>
        </is>
      </c>
      <c r="B543" s="31" t="n">
        <v>66.8</v>
      </c>
    </row>
    <row r="544">
      <c r="A544" s="4" t="inlineStr">
        <is>
          <t>03/10/2006</t>
        </is>
      </c>
      <c r="B544" s="31" t="n">
        <v>67.97</v>
      </c>
    </row>
    <row r="545">
      <c r="A545" s="4" t="inlineStr">
        <is>
          <t>04/10/2006</t>
        </is>
      </c>
      <c r="B545" s="31" t="n">
        <v>68.39</v>
      </c>
    </row>
    <row r="546">
      <c r="A546" s="4" t="inlineStr">
        <is>
          <t>05/10/2006</t>
        </is>
      </c>
      <c r="B546" s="31" t="n">
        <v>68.73</v>
      </c>
    </row>
    <row r="547">
      <c r="A547" s="4" t="inlineStr">
        <is>
          <t>06/10/2006</t>
        </is>
      </c>
      <c r="B547" s="31" t="n">
        <v>71.18000000000001</v>
      </c>
    </row>
    <row r="548">
      <c r="A548" s="4" t="inlineStr">
        <is>
          <t>09/10/2006</t>
        </is>
      </c>
      <c r="B548" s="31" t="n">
        <v>72.20999999999999</v>
      </c>
    </row>
    <row r="549">
      <c r="A549" s="4" t="inlineStr">
        <is>
          <t>10/10/2006</t>
        </is>
      </c>
      <c r="B549" s="31" t="n">
        <v>72.34999999999999</v>
      </c>
    </row>
    <row r="550">
      <c r="A550" s="4" t="inlineStr">
        <is>
          <t>11/10/2006</t>
        </is>
      </c>
      <c r="B550" s="31" t="n">
        <v>72.97</v>
      </c>
    </row>
    <row r="551">
      <c r="A551" s="4" t="inlineStr">
        <is>
          <t>13/10/2006</t>
        </is>
      </c>
      <c r="B551" s="31" t="n">
        <v>73.73</v>
      </c>
    </row>
    <row r="552">
      <c r="A552" s="4" t="inlineStr">
        <is>
          <t>16/10/2006</t>
        </is>
      </c>
      <c r="B552" s="31" t="n">
        <v>74.11</v>
      </c>
    </row>
    <row r="553">
      <c r="A553" s="4" t="inlineStr">
        <is>
          <t>17/10/2006</t>
        </is>
      </c>
      <c r="B553" s="31" t="n">
        <v>74.17</v>
      </c>
    </row>
    <row r="554">
      <c r="A554" s="4" t="inlineStr">
        <is>
          <t>18/10/2006</t>
        </is>
      </c>
      <c r="B554" s="31" t="n">
        <v>74.14</v>
      </c>
    </row>
    <row r="555">
      <c r="A555" s="4" t="inlineStr">
        <is>
          <t>19/10/2006</t>
        </is>
      </c>
      <c r="B555" s="31" t="n">
        <v>75.48</v>
      </c>
    </row>
    <row r="556">
      <c r="A556" s="4" t="inlineStr">
        <is>
          <t>20/10/2006</t>
        </is>
      </c>
      <c r="B556" s="31" t="n">
        <v>75.86</v>
      </c>
    </row>
    <row r="557">
      <c r="A557" s="4" t="inlineStr">
        <is>
          <t>23/10/2006</t>
        </is>
      </c>
      <c r="B557" s="31" t="n">
        <v>74.45</v>
      </c>
    </row>
    <row r="558">
      <c r="A558" s="4" t="inlineStr">
        <is>
          <t>24/10/2006</t>
        </is>
      </c>
      <c r="B558" s="31" t="n">
        <v>74.42</v>
      </c>
    </row>
    <row r="559">
      <c r="A559" s="4" t="inlineStr">
        <is>
          <t>25/10/2006</t>
        </is>
      </c>
      <c r="B559" s="31" t="n">
        <v>73.83</v>
      </c>
    </row>
    <row r="560">
      <c r="A560" s="4" t="inlineStr">
        <is>
          <t>26/10/2006</t>
        </is>
      </c>
      <c r="B560" s="31" t="n">
        <v>74.04000000000001</v>
      </c>
    </row>
    <row r="561">
      <c r="A561" s="4" t="inlineStr">
        <is>
          <t>27/10/2006</t>
        </is>
      </c>
      <c r="B561" s="31" t="n">
        <v>73.90000000000001</v>
      </c>
    </row>
    <row r="562">
      <c r="A562" s="4" t="inlineStr">
        <is>
          <t>30/10/2006</t>
        </is>
      </c>
      <c r="B562" s="31" t="n">
        <v>73.66</v>
      </c>
    </row>
    <row r="563">
      <c r="A563" s="4" t="inlineStr">
        <is>
          <t>31/10/2006</t>
        </is>
      </c>
      <c r="B563" s="31" t="n">
        <v>73.52</v>
      </c>
    </row>
    <row r="564">
      <c r="A564" s="4" t="inlineStr">
        <is>
          <t>01/11/2006</t>
        </is>
      </c>
      <c r="B564" s="31" t="n">
        <v>72.94</v>
      </c>
    </row>
    <row r="565">
      <c r="A565" s="4" t="inlineStr">
        <is>
          <t>03/11/2006</t>
        </is>
      </c>
      <c r="B565" s="31" t="n">
        <v>72.7</v>
      </c>
    </row>
    <row r="566">
      <c r="A566" s="4" t="inlineStr">
        <is>
          <t>06/11/2006</t>
        </is>
      </c>
      <c r="B566" s="31" t="n">
        <v>73.79000000000001</v>
      </c>
    </row>
    <row r="567">
      <c r="A567" s="4" t="inlineStr">
        <is>
          <t>07/11/2006</t>
        </is>
      </c>
      <c r="B567" s="31" t="n">
        <v>75.70999999999999</v>
      </c>
    </row>
    <row r="568">
      <c r="A568" s="4" t="inlineStr">
        <is>
          <t>08/11/2006</t>
        </is>
      </c>
      <c r="B568" s="31" t="n">
        <v>76.45999999999999</v>
      </c>
    </row>
    <row r="569">
      <c r="A569" s="4" t="inlineStr">
        <is>
          <t>09/11/2006</t>
        </is>
      </c>
      <c r="B569" s="31" t="n">
        <v>77.42</v>
      </c>
    </row>
    <row r="570">
      <c r="A570" s="4" t="inlineStr">
        <is>
          <t>10/11/2006</t>
        </is>
      </c>
      <c r="B570" s="31" t="n">
        <v>77.11</v>
      </c>
    </row>
    <row r="571">
      <c r="A571" s="4" t="inlineStr">
        <is>
          <t>13/11/2006</t>
        </is>
      </c>
      <c r="B571" s="31" t="n">
        <v>77.34999999999999</v>
      </c>
    </row>
    <row r="572">
      <c r="A572" s="4" t="inlineStr">
        <is>
          <t>14/11/2006</t>
        </is>
      </c>
      <c r="B572" s="31" t="n">
        <v>77.14</v>
      </c>
    </row>
    <row r="573">
      <c r="A573" s="4" t="inlineStr">
        <is>
          <t>16/11/2006</t>
        </is>
      </c>
      <c r="B573" s="31" t="n">
        <v>77.31999999999999</v>
      </c>
    </row>
    <row r="574">
      <c r="A574" s="4" t="inlineStr">
        <is>
          <t>17/11/2006</t>
        </is>
      </c>
      <c r="B574" s="31" t="n">
        <v>77.38</v>
      </c>
    </row>
    <row r="575">
      <c r="A575" s="4" t="inlineStr">
        <is>
          <t>20/11/2006</t>
        </is>
      </c>
      <c r="B575" s="31" t="n">
        <v>78.48</v>
      </c>
    </row>
    <row r="576">
      <c r="A576" s="4" t="inlineStr">
        <is>
          <t>21/11/2006</t>
        </is>
      </c>
      <c r="B576" s="31" t="n">
        <v>78.79000000000001</v>
      </c>
    </row>
    <row r="577">
      <c r="A577" s="4" t="inlineStr">
        <is>
          <t>22/11/2006</t>
        </is>
      </c>
      <c r="B577" s="31" t="n">
        <v>79.64</v>
      </c>
    </row>
    <row r="578">
      <c r="A578" s="4" t="inlineStr">
        <is>
          <t>23/11/2006</t>
        </is>
      </c>
      <c r="B578" s="31" t="n">
        <v>80.63</v>
      </c>
    </row>
    <row r="579">
      <c r="A579" s="4" t="inlineStr">
        <is>
          <t>24/11/2006</t>
        </is>
      </c>
      <c r="B579" s="31" t="n">
        <v>81.59</v>
      </c>
    </row>
    <row r="580">
      <c r="A580" s="4" t="inlineStr">
        <is>
          <t>27/11/2006</t>
        </is>
      </c>
      <c r="B580" s="31" t="n">
        <v>82.41</v>
      </c>
    </row>
    <row r="581">
      <c r="A581" s="4" t="inlineStr">
        <is>
          <t>28/11/2006</t>
        </is>
      </c>
      <c r="B581" s="31" t="n">
        <v>83.23</v>
      </c>
    </row>
    <row r="582">
      <c r="A582" s="4" t="inlineStr">
        <is>
          <t>29/11/2006</t>
        </is>
      </c>
      <c r="B582" s="31" t="n">
        <v>83.56999999999999</v>
      </c>
    </row>
    <row r="583">
      <c r="A583" s="4" t="inlineStr">
        <is>
          <t>30/11/2006</t>
        </is>
      </c>
      <c r="B583" s="31" t="n">
        <v>84.7</v>
      </c>
    </row>
    <row r="584">
      <c r="A584" s="4" t="inlineStr">
        <is>
          <t>01/12/2006</t>
        </is>
      </c>
      <c r="B584" s="31" t="n">
        <v>84.77</v>
      </c>
    </row>
    <row r="585">
      <c r="A585" s="4" t="inlineStr">
        <is>
          <t>04/12/2006</t>
        </is>
      </c>
      <c r="B585" s="31" t="n">
        <v>84.87</v>
      </c>
    </row>
    <row r="586">
      <c r="A586" s="4" t="inlineStr">
        <is>
          <t>05/12/2006</t>
        </is>
      </c>
      <c r="B586" s="31" t="n">
        <v>85.05</v>
      </c>
    </row>
    <row r="587">
      <c r="A587" s="4" t="inlineStr">
        <is>
          <t>06/12/2006</t>
        </is>
      </c>
      <c r="B587" s="31" t="n">
        <v>85.39</v>
      </c>
    </row>
    <row r="588">
      <c r="A588" s="4" t="inlineStr">
        <is>
          <t>07/12/2006</t>
        </is>
      </c>
      <c r="B588" s="31" t="n">
        <v>85.22</v>
      </c>
    </row>
    <row r="589">
      <c r="A589" s="4" t="inlineStr">
        <is>
          <t>08/12/2006</t>
        </is>
      </c>
      <c r="B589" s="31" t="n">
        <v>85.42</v>
      </c>
    </row>
    <row r="590">
      <c r="A590" s="4" t="inlineStr">
        <is>
          <t>11/12/2006</t>
        </is>
      </c>
      <c r="B590" s="31" t="n">
        <v>85.62</v>
      </c>
    </row>
    <row r="591">
      <c r="A591" s="4" t="inlineStr">
        <is>
          <t>12/12/2006</t>
        </is>
      </c>
      <c r="B591" s="31" t="n">
        <v>85.66</v>
      </c>
    </row>
    <row r="592">
      <c r="A592" s="4" t="inlineStr">
        <is>
          <t>13/12/2006</t>
        </is>
      </c>
      <c r="B592" s="31" t="n">
        <v>85.59</v>
      </c>
    </row>
    <row r="593">
      <c r="A593" s="4" t="inlineStr">
        <is>
          <t>14/12/2006</t>
        </is>
      </c>
      <c r="B593" s="31" t="n">
        <v>85.97</v>
      </c>
    </row>
    <row r="594">
      <c r="A594" s="4" t="inlineStr">
        <is>
          <t>15/12/2006</t>
        </is>
      </c>
      <c r="B594" s="31" t="n">
        <v>85.62</v>
      </c>
    </row>
    <row r="595">
      <c r="A595" s="4" t="inlineStr">
        <is>
          <t>18/12/2006</t>
        </is>
      </c>
      <c r="B595" s="31" t="n">
        <v>85.31999999999999</v>
      </c>
    </row>
    <row r="596">
      <c r="A596" s="4" t="inlineStr">
        <is>
          <t>19/12/2006</t>
        </is>
      </c>
      <c r="B596" s="31" t="n">
        <v>85.25</v>
      </c>
    </row>
    <row r="597">
      <c r="A597" s="4" t="inlineStr">
        <is>
          <t>20/12/2006</t>
        </is>
      </c>
      <c r="B597" s="31" t="n">
        <v>85.05</v>
      </c>
    </row>
    <row r="598">
      <c r="A598" s="4" t="inlineStr">
        <is>
          <t>21/12/2006</t>
        </is>
      </c>
      <c r="B598" s="31" t="n">
        <v>84.73999999999999</v>
      </c>
    </row>
    <row r="599">
      <c r="A599" s="4" t="inlineStr">
        <is>
          <t>22/12/2006</t>
        </is>
      </c>
      <c r="B599" s="31" t="n">
        <v>84.47</v>
      </c>
    </row>
    <row r="600">
      <c r="A600" s="4" t="inlineStr">
        <is>
          <t>26/12/2006</t>
        </is>
      </c>
      <c r="B600" s="31" t="n">
        <v>84.02</v>
      </c>
    </row>
    <row r="601">
      <c r="A601" s="4" t="inlineStr">
        <is>
          <t>27/12/2006</t>
        </is>
      </c>
      <c r="B601" s="31" t="n">
        <v>84.12</v>
      </c>
    </row>
    <row r="602">
      <c r="A602" s="4" t="inlineStr">
        <is>
          <t>28/12/2006</t>
        </is>
      </c>
      <c r="B602" s="31" t="n">
        <v>84.33</v>
      </c>
    </row>
    <row r="603">
      <c r="A603" s="4" t="inlineStr">
        <is>
          <t>02/01/2007</t>
        </is>
      </c>
      <c r="B603" s="31" t="n">
        <v>84.11</v>
      </c>
    </row>
    <row r="604">
      <c r="A604" s="4" t="inlineStr">
        <is>
          <t>03/01/2007</t>
        </is>
      </c>
      <c r="B604" s="31" t="n">
        <v>84.11</v>
      </c>
    </row>
    <row r="605">
      <c r="A605" s="4" t="inlineStr">
        <is>
          <t>04/01/2007</t>
        </is>
      </c>
      <c r="B605" s="31" t="n">
        <v>84.48999999999999</v>
      </c>
    </row>
    <row r="606">
      <c r="A606" s="4" t="inlineStr">
        <is>
          <t>05/01/2007</t>
        </is>
      </c>
      <c r="B606" s="31" t="n">
        <v>84.95999999999999</v>
      </c>
    </row>
    <row r="607">
      <c r="A607" s="4" t="inlineStr">
        <is>
          <t>08/01/2007</t>
        </is>
      </c>
      <c r="B607" s="31" t="n">
        <v>85.3</v>
      </c>
    </row>
    <row r="608">
      <c r="A608" s="4" t="inlineStr">
        <is>
          <t>09/01/2007</t>
        </is>
      </c>
      <c r="B608" s="31" t="n">
        <v>85.88</v>
      </c>
    </row>
    <row r="609">
      <c r="A609" s="4" t="inlineStr">
        <is>
          <t>10/01/2007</t>
        </is>
      </c>
      <c r="B609" s="31" t="n">
        <v>85.98</v>
      </c>
    </row>
    <row r="610">
      <c r="A610" s="4" t="inlineStr">
        <is>
          <t>11/01/2007</t>
        </is>
      </c>
      <c r="B610" s="31" t="n">
        <v>85.91</v>
      </c>
    </row>
    <row r="611">
      <c r="A611" s="4" t="inlineStr">
        <is>
          <t>12/01/2007</t>
        </is>
      </c>
      <c r="B611" s="31" t="n">
        <v>86.25</v>
      </c>
    </row>
    <row r="612">
      <c r="A612" s="4" t="inlineStr">
        <is>
          <t>15/01/2007</t>
        </is>
      </c>
      <c r="B612" s="31" t="n">
        <v>85.81</v>
      </c>
    </row>
    <row r="613">
      <c r="A613" s="4" t="inlineStr">
        <is>
          <t>16/01/2007</t>
        </is>
      </c>
      <c r="B613" s="31" t="n">
        <v>84.18000000000001</v>
      </c>
    </row>
    <row r="614">
      <c r="A614" s="4" t="inlineStr">
        <is>
          <t>17/01/2007</t>
        </is>
      </c>
      <c r="B614" s="31" t="n">
        <v>84.83</v>
      </c>
    </row>
    <row r="615">
      <c r="A615" s="4" t="inlineStr">
        <is>
          <t>18/01/2007</t>
        </is>
      </c>
      <c r="B615" s="31" t="n">
        <v>85.2</v>
      </c>
    </row>
    <row r="616">
      <c r="A616" s="4" t="inlineStr">
        <is>
          <t>19/01/2007</t>
        </is>
      </c>
      <c r="B616" s="31" t="n">
        <v>85.27</v>
      </c>
    </row>
    <row r="617">
      <c r="A617" s="4" t="inlineStr">
        <is>
          <t>22/01/2007</t>
        </is>
      </c>
      <c r="B617" s="31" t="n">
        <v>85.37</v>
      </c>
    </row>
    <row r="618">
      <c r="A618" s="4" t="inlineStr">
        <is>
          <t>23/01/2007</t>
        </is>
      </c>
      <c r="B618" s="31" t="n">
        <v>85.47</v>
      </c>
    </row>
    <row r="619">
      <c r="A619" s="4" t="inlineStr">
        <is>
          <t>24/01/2007</t>
        </is>
      </c>
      <c r="B619" s="31" t="n">
        <v>84.42</v>
      </c>
    </row>
    <row r="620">
      <c r="A620" s="4" t="inlineStr">
        <is>
          <t>25/01/2007</t>
        </is>
      </c>
      <c r="B620" s="31" t="n">
        <v>84.31999999999999</v>
      </c>
    </row>
    <row r="621">
      <c r="A621" s="4" t="inlineStr">
        <is>
          <t>26/01/2007</t>
        </is>
      </c>
      <c r="B621" s="31" t="n">
        <v>84.18000000000001</v>
      </c>
    </row>
    <row r="622">
      <c r="A622" s="4" t="inlineStr">
        <is>
          <t>29/01/2007</t>
        </is>
      </c>
      <c r="B622" s="31" t="n">
        <v>84.15000000000001</v>
      </c>
    </row>
    <row r="623">
      <c r="A623" s="4" t="inlineStr">
        <is>
          <t>30/01/2007</t>
        </is>
      </c>
      <c r="B623" s="31" t="n">
        <v>83.67</v>
      </c>
    </row>
    <row r="624">
      <c r="A624" s="4" t="inlineStr">
        <is>
          <t>31/01/2007</t>
        </is>
      </c>
      <c r="B624" s="31" t="n">
        <v>83.3</v>
      </c>
    </row>
    <row r="625">
      <c r="A625" s="4" t="inlineStr">
        <is>
          <t>01/02/2007</t>
        </is>
      </c>
      <c r="B625" s="31" t="n">
        <v>82.91</v>
      </c>
    </row>
    <row r="626">
      <c r="A626" s="4" t="inlineStr">
        <is>
          <t>02/02/2007</t>
        </is>
      </c>
      <c r="B626" s="31" t="n">
        <v>80.98</v>
      </c>
    </row>
    <row r="627">
      <c r="A627" s="4" t="inlineStr">
        <is>
          <t>05/02/2007</t>
        </is>
      </c>
      <c r="B627" s="31" t="n">
        <v>79.95999999999999</v>
      </c>
    </row>
    <row r="628">
      <c r="A628" s="4" t="inlineStr">
        <is>
          <t>06/02/2007</t>
        </is>
      </c>
      <c r="B628" s="31" t="n">
        <v>78.06999999999999</v>
      </c>
    </row>
    <row r="629">
      <c r="A629" s="4" t="inlineStr">
        <is>
          <t>07/02/2007</t>
        </is>
      </c>
      <c r="B629" s="31" t="n">
        <v>76.81999999999999</v>
      </c>
    </row>
    <row r="630">
      <c r="A630" s="4" t="inlineStr">
        <is>
          <t>08/02/2007</t>
        </is>
      </c>
      <c r="B630" s="31" t="n">
        <v>76.75</v>
      </c>
    </row>
    <row r="631">
      <c r="A631" s="4" t="inlineStr">
        <is>
          <t>09/02/2007</t>
        </is>
      </c>
      <c r="B631" s="31" t="n">
        <v>76.23999999999999</v>
      </c>
    </row>
    <row r="632">
      <c r="A632" s="4" t="inlineStr">
        <is>
          <t>12/02/2007</t>
        </is>
      </c>
      <c r="B632" s="31" t="n">
        <v>75.43000000000001</v>
      </c>
    </row>
    <row r="633">
      <c r="A633" s="4" t="inlineStr">
        <is>
          <t>13/02/2007</t>
        </is>
      </c>
      <c r="B633" s="31" t="n">
        <v>73.94</v>
      </c>
    </row>
    <row r="634">
      <c r="A634" s="4" t="inlineStr">
        <is>
          <t>14/02/2007</t>
        </is>
      </c>
      <c r="B634" s="31" t="n">
        <v>72.28</v>
      </c>
    </row>
    <row r="635">
      <c r="A635" s="4" t="inlineStr">
        <is>
          <t>15/02/2007</t>
        </is>
      </c>
      <c r="B635" s="31" t="n">
        <v>72.34999999999999</v>
      </c>
    </row>
    <row r="636">
      <c r="A636" s="4" t="inlineStr">
        <is>
          <t>16/02/2007</t>
        </is>
      </c>
      <c r="B636" s="31" t="n">
        <v>72.05</v>
      </c>
    </row>
    <row r="637">
      <c r="A637" s="4" t="inlineStr">
        <is>
          <t>21/02/2007</t>
        </is>
      </c>
      <c r="B637" s="31" t="n">
        <v>72.05</v>
      </c>
    </row>
    <row r="638">
      <c r="A638" s="4" t="inlineStr">
        <is>
          <t>22/02/2007</t>
        </is>
      </c>
      <c r="B638" s="31" t="n">
        <v>70.59</v>
      </c>
    </row>
    <row r="639">
      <c r="A639" s="4" t="inlineStr">
        <is>
          <t>23/02/2007</t>
        </is>
      </c>
      <c r="B639" s="31" t="n">
        <v>70.42</v>
      </c>
    </row>
    <row r="640">
      <c r="A640" s="4" t="inlineStr">
        <is>
          <t>26/02/2007</t>
        </is>
      </c>
      <c r="B640" s="31" t="n">
        <v>70.48999999999999</v>
      </c>
    </row>
    <row r="641">
      <c r="A641" s="4" t="inlineStr">
        <is>
          <t>27/02/2007</t>
        </is>
      </c>
      <c r="B641" s="31" t="n">
        <v>69.98</v>
      </c>
    </row>
    <row r="642">
      <c r="A642" s="4" t="inlineStr">
        <is>
          <t>28/02/2007</t>
        </is>
      </c>
      <c r="B642" s="31" t="n">
        <v>69.58</v>
      </c>
    </row>
    <row r="643">
      <c r="A643" s="4" t="inlineStr">
        <is>
          <t>01/03/2007</t>
        </is>
      </c>
      <c r="B643" s="31" t="n">
        <v>69.20999999999999</v>
      </c>
    </row>
    <row r="644">
      <c r="A644" s="4" t="inlineStr">
        <is>
          <t>02/03/2007</t>
        </is>
      </c>
      <c r="B644" s="31" t="n">
        <v>68.63</v>
      </c>
    </row>
    <row r="645">
      <c r="A645" s="4" t="inlineStr">
        <is>
          <t>05/03/2007</t>
        </is>
      </c>
      <c r="B645" s="31" t="n">
        <v>68.59999999999999</v>
      </c>
    </row>
    <row r="646">
      <c r="A646" s="4" t="inlineStr">
        <is>
          <t>06/03/2007</t>
        </is>
      </c>
      <c r="B646" s="31" t="n">
        <v>68.7</v>
      </c>
    </row>
    <row r="647">
      <c r="A647" s="4" t="inlineStr">
        <is>
          <t>07/03/2007</t>
        </is>
      </c>
      <c r="B647" s="31" t="n">
        <v>68.8</v>
      </c>
    </row>
    <row r="648">
      <c r="A648" s="4" t="inlineStr">
        <is>
          <t>08/03/2007</t>
        </is>
      </c>
      <c r="B648" s="31" t="n">
        <v>68.43000000000001</v>
      </c>
    </row>
    <row r="649">
      <c r="A649" s="4" t="inlineStr">
        <is>
          <t>09/03/2007</t>
        </is>
      </c>
      <c r="B649" s="31" t="n">
        <v>68.13</v>
      </c>
    </row>
    <row r="650">
      <c r="A650" s="4" t="inlineStr">
        <is>
          <t>12/03/2007</t>
        </is>
      </c>
      <c r="B650" s="31" t="n">
        <v>67.89</v>
      </c>
    </row>
    <row r="651">
      <c r="A651" s="4" t="inlineStr">
        <is>
          <t>13/03/2007</t>
        </is>
      </c>
      <c r="B651" s="31" t="n">
        <v>67.69</v>
      </c>
    </row>
    <row r="652">
      <c r="A652" s="4" t="inlineStr">
        <is>
          <t>14/03/2007</t>
        </is>
      </c>
      <c r="B652" s="31" t="n">
        <v>67.39</v>
      </c>
    </row>
    <row r="653">
      <c r="A653" s="4" t="inlineStr">
        <is>
          <t>15/03/2007</t>
        </is>
      </c>
      <c r="B653" s="31" t="n">
        <v>67.89</v>
      </c>
    </row>
    <row r="654">
      <c r="A654" s="4" t="inlineStr">
        <is>
          <t>16/03/2007</t>
        </is>
      </c>
      <c r="B654" s="31" t="n">
        <v>67.89</v>
      </c>
    </row>
    <row r="655">
      <c r="A655" s="4" t="inlineStr">
        <is>
          <t>19/03/2007</t>
        </is>
      </c>
      <c r="B655" s="31" t="n">
        <v>67.86</v>
      </c>
    </row>
    <row r="656">
      <c r="A656" s="4" t="inlineStr">
        <is>
          <t>20/03/2007</t>
        </is>
      </c>
      <c r="B656" s="31" t="n">
        <v>67.86</v>
      </c>
    </row>
    <row r="657">
      <c r="A657" s="4" t="inlineStr">
        <is>
          <t>21/03/2007</t>
        </is>
      </c>
      <c r="B657" s="31" t="n">
        <v>68.06</v>
      </c>
    </row>
    <row r="658">
      <c r="A658" s="4" t="inlineStr">
        <is>
          <t>22/03/2007</t>
        </is>
      </c>
      <c r="B658" s="31" t="n">
        <v>68.26000000000001</v>
      </c>
    </row>
    <row r="659">
      <c r="A659" s="4" t="inlineStr">
        <is>
          <t>23/03/2007</t>
        </is>
      </c>
      <c r="B659" s="31" t="n">
        <v>68.40000000000001</v>
      </c>
    </row>
    <row r="660">
      <c r="A660" s="4" t="inlineStr">
        <is>
          <t>26/03/2007</t>
        </is>
      </c>
      <c r="B660" s="31" t="n">
        <v>67.93000000000001</v>
      </c>
    </row>
    <row r="661">
      <c r="A661" s="4" t="inlineStr">
        <is>
          <t>27/03/2007</t>
        </is>
      </c>
      <c r="B661" s="31" t="n">
        <v>67.86</v>
      </c>
    </row>
    <row r="662">
      <c r="A662" s="4" t="inlineStr">
        <is>
          <t>28/03/2007</t>
        </is>
      </c>
      <c r="B662" s="31" t="n">
        <v>67.45999999999999</v>
      </c>
    </row>
    <row r="663">
      <c r="A663" s="4" t="inlineStr">
        <is>
          <t>29/03/2007</t>
        </is>
      </c>
      <c r="B663" s="31" t="n">
        <v>67.59</v>
      </c>
    </row>
    <row r="664">
      <c r="A664" s="4" t="inlineStr">
        <is>
          <t>30/03/2007</t>
        </is>
      </c>
      <c r="B664" s="31" t="n">
        <v>67.25</v>
      </c>
    </row>
    <row r="665">
      <c r="A665" s="4" t="inlineStr">
        <is>
          <t>02/04/2007</t>
        </is>
      </c>
      <c r="B665" s="31" t="n">
        <v>66.72</v>
      </c>
    </row>
    <row r="666">
      <c r="A666" s="4" t="inlineStr">
        <is>
          <t>03/04/2007</t>
        </is>
      </c>
      <c r="B666" s="31" t="n">
        <v>66.72</v>
      </c>
    </row>
    <row r="667">
      <c r="A667" s="4" t="inlineStr">
        <is>
          <t>04/04/2007</t>
        </is>
      </c>
      <c r="B667" s="31" t="n">
        <v>66.18000000000001</v>
      </c>
    </row>
    <row r="668">
      <c r="A668" s="4" t="inlineStr">
        <is>
          <t>05/04/2007</t>
        </is>
      </c>
      <c r="B668" s="31" t="n">
        <v>65.91</v>
      </c>
    </row>
    <row r="669">
      <c r="A669" s="4" t="inlineStr">
        <is>
          <t>09/04/2007</t>
        </is>
      </c>
      <c r="B669" s="31" t="n">
        <v>65.64</v>
      </c>
    </row>
    <row r="670">
      <c r="A670" s="4" t="inlineStr">
        <is>
          <t>10/04/2007</t>
        </is>
      </c>
      <c r="B670" s="31" t="n">
        <v>65.51000000000001</v>
      </c>
    </row>
    <row r="671">
      <c r="A671" s="4" t="inlineStr">
        <is>
          <t>11/04/2007</t>
        </is>
      </c>
      <c r="B671" s="31" t="n">
        <v>65.04000000000001</v>
      </c>
    </row>
    <row r="672">
      <c r="A672" s="4" t="inlineStr">
        <is>
          <t>12/04/2007</t>
        </is>
      </c>
      <c r="B672" s="31" t="n">
        <v>64.7</v>
      </c>
    </row>
    <row r="673">
      <c r="A673" s="4" t="inlineStr">
        <is>
          <t>13/04/2007</t>
        </is>
      </c>
      <c r="B673" s="31" t="n">
        <v>64.77</v>
      </c>
    </row>
    <row r="674">
      <c r="A674" s="4" t="inlineStr">
        <is>
          <t>16/04/2007</t>
        </is>
      </c>
      <c r="B674" s="31" t="n">
        <v>64.59999999999999</v>
      </c>
    </row>
    <row r="675">
      <c r="A675" s="4" t="inlineStr">
        <is>
          <t>17/04/2007</t>
        </is>
      </c>
      <c r="B675" s="31" t="n">
        <v>64.5</v>
      </c>
    </row>
    <row r="676">
      <c r="A676" s="4" t="inlineStr">
        <is>
          <t>18/04/2007</t>
        </is>
      </c>
      <c r="B676" s="31" t="n">
        <v>64.59999999999999</v>
      </c>
    </row>
    <row r="677">
      <c r="A677" s="4" t="inlineStr">
        <is>
          <t>19/04/2007</t>
        </is>
      </c>
      <c r="B677" s="31" t="n">
        <v>64.09</v>
      </c>
    </row>
    <row r="678">
      <c r="A678" s="4" t="inlineStr">
        <is>
          <t>20/04/2007</t>
        </is>
      </c>
      <c r="B678" s="31" t="n">
        <v>64.02</v>
      </c>
    </row>
    <row r="679">
      <c r="A679" s="4" t="inlineStr">
        <is>
          <t>23/04/2007</t>
        </is>
      </c>
      <c r="B679" s="31" t="n">
        <v>63.86</v>
      </c>
    </row>
    <row r="680">
      <c r="A680" s="4" t="inlineStr">
        <is>
          <t>24/04/2007</t>
        </is>
      </c>
      <c r="B680" s="31" t="n">
        <v>63.76</v>
      </c>
    </row>
    <row r="681">
      <c r="A681" s="4" t="inlineStr">
        <is>
          <t>25/04/2007</t>
        </is>
      </c>
      <c r="B681" s="31" t="n">
        <v>63.38</v>
      </c>
    </row>
    <row r="682">
      <c r="A682" s="4" t="inlineStr">
        <is>
          <t>26/04/2007</t>
        </is>
      </c>
      <c r="B682" s="31" t="n">
        <v>63.52</v>
      </c>
    </row>
    <row r="683">
      <c r="A683" s="4" t="inlineStr">
        <is>
          <t>27/04/2007</t>
        </is>
      </c>
      <c r="B683" s="31" t="n">
        <v>63.76</v>
      </c>
    </row>
    <row r="684">
      <c r="A684" s="4" t="inlineStr">
        <is>
          <t>30/04/2007</t>
        </is>
      </c>
      <c r="B684" s="31" t="n">
        <v>63.11</v>
      </c>
    </row>
    <row r="685">
      <c r="A685" s="4" t="inlineStr">
        <is>
          <t>02/05/2007</t>
        </is>
      </c>
      <c r="B685" s="31" t="n">
        <v>62.92</v>
      </c>
    </row>
    <row r="686">
      <c r="A686" s="4" t="inlineStr">
        <is>
          <t>03/05/2007</t>
        </is>
      </c>
      <c r="B686" s="31" t="n">
        <v>63.06</v>
      </c>
    </row>
    <row r="687">
      <c r="A687" s="4" t="inlineStr">
        <is>
          <t>04/05/2007</t>
        </is>
      </c>
      <c r="B687" s="31" t="n">
        <v>63.16</v>
      </c>
    </row>
    <row r="688">
      <c r="A688" s="4" t="inlineStr">
        <is>
          <t>07/05/2007</t>
        </is>
      </c>
      <c r="B688" s="31" t="n">
        <v>62.95</v>
      </c>
    </row>
    <row r="689">
      <c r="A689" s="4" t="inlineStr">
        <is>
          <t>08/05/2007</t>
        </is>
      </c>
      <c r="B689" s="31" t="n">
        <v>62.99</v>
      </c>
    </row>
    <row r="690">
      <c r="A690" s="4" t="inlineStr">
        <is>
          <t>09/05/2007</t>
        </is>
      </c>
      <c r="B690" s="31" t="n">
        <v>63.19</v>
      </c>
    </row>
    <row r="691">
      <c r="A691" s="4" t="inlineStr">
        <is>
          <t>10/05/2007</t>
        </is>
      </c>
      <c r="B691" s="31" t="n">
        <v>62.99</v>
      </c>
    </row>
    <row r="692">
      <c r="A692" s="4" t="inlineStr">
        <is>
          <t>11/05/2007</t>
        </is>
      </c>
      <c r="B692" s="31" t="n">
        <v>62.72</v>
      </c>
    </row>
    <row r="693">
      <c r="A693" s="4" t="inlineStr">
        <is>
          <t>14/05/2007</t>
        </is>
      </c>
      <c r="B693" s="31" t="n">
        <v>62.75</v>
      </c>
    </row>
    <row r="694">
      <c r="A694" s="4" t="inlineStr">
        <is>
          <t>15/05/2007</t>
        </is>
      </c>
      <c r="B694" s="31" t="n">
        <v>62.65</v>
      </c>
    </row>
    <row r="695">
      <c r="A695" s="4" t="inlineStr">
        <is>
          <t>16/05/2007</t>
        </is>
      </c>
      <c r="B695" s="31" t="n">
        <v>62.99</v>
      </c>
    </row>
    <row r="696">
      <c r="A696" s="4" t="inlineStr">
        <is>
          <t>17/05/2007</t>
        </is>
      </c>
      <c r="B696" s="31" t="n">
        <v>62.92</v>
      </c>
    </row>
    <row r="697">
      <c r="A697" s="4" t="inlineStr">
        <is>
          <t>18/05/2007</t>
        </is>
      </c>
      <c r="B697" s="31" t="n">
        <v>63.19</v>
      </c>
    </row>
    <row r="698">
      <c r="A698" s="4" t="inlineStr">
        <is>
          <t>21/05/2007</t>
        </is>
      </c>
      <c r="B698" s="31" t="n">
        <v>63.49</v>
      </c>
    </row>
    <row r="699">
      <c r="A699" s="4" t="inlineStr">
        <is>
          <t>22/05/2007</t>
        </is>
      </c>
      <c r="B699" s="31" t="n">
        <v>63.66</v>
      </c>
    </row>
    <row r="700">
      <c r="A700" s="4" t="inlineStr">
        <is>
          <t>23/05/2007</t>
        </is>
      </c>
      <c r="B700" s="31" t="n">
        <v>64.47</v>
      </c>
    </row>
    <row r="701">
      <c r="A701" s="4" t="inlineStr">
        <is>
          <t>24/05/2007</t>
        </is>
      </c>
      <c r="B701" s="31" t="n">
        <v>64.73999999999999</v>
      </c>
    </row>
    <row r="702">
      <c r="A702" s="4" t="inlineStr">
        <is>
          <t>25/05/2007</t>
        </is>
      </c>
      <c r="B702" s="31" t="n">
        <v>64.87</v>
      </c>
    </row>
    <row r="703">
      <c r="A703" s="4" t="inlineStr">
        <is>
          <t>28/05/2007</t>
        </is>
      </c>
      <c r="B703" s="31" t="n">
        <v>65.31</v>
      </c>
    </row>
    <row r="704">
      <c r="A704" s="4" t="inlineStr">
        <is>
          <t>29/05/2007</t>
        </is>
      </c>
      <c r="B704" s="31" t="n">
        <v>65.72</v>
      </c>
    </row>
    <row r="705">
      <c r="A705" s="4" t="inlineStr">
        <is>
          <t>30/05/2007</t>
        </is>
      </c>
      <c r="B705" s="31" t="n">
        <v>65.92</v>
      </c>
    </row>
    <row r="706">
      <c r="A706" s="4" t="inlineStr">
        <is>
          <t>31/05/2007</t>
        </is>
      </c>
      <c r="B706" s="31" t="n">
        <v>66.26000000000001</v>
      </c>
    </row>
    <row r="707">
      <c r="A707" s="4" t="inlineStr">
        <is>
          <t>01/06/2007</t>
        </is>
      </c>
      <c r="B707" s="31" t="n">
        <v>66.08</v>
      </c>
    </row>
    <row r="708">
      <c r="A708" s="4" t="inlineStr">
        <is>
          <t>04/06/2007</t>
        </is>
      </c>
      <c r="B708" s="31" t="n">
        <v>65.88</v>
      </c>
    </row>
    <row r="709">
      <c r="A709" s="4" t="inlineStr">
        <is>
          <t>05/06/2007</t>
        </is>
      </c>
      <c r="B709" s="31" t="n">
        <v>66.12</v>
      </c>
    </row>
    <row r="710">
      <c r="A710" s="4" t="inlineStr">
        <is>
          <t>06/06/2007</t>
        </is>
      </c>
      <c r="B710" s="31" t="n">
        <v>66.18000000000001</v>
      </c>
    </row>
    <row r="711">
      <c r="A711" s="4" t="inlineStr">
        <is>
          <t>08/06/2007</t>
        </is>
      </c>
      <c r="B711" s="31" t="n">
        <v>66.55</v>
      </c>
    </row>
    <row r="712">
      <c r="A712" s="4" t="inlineStr">
        <is>
          <t>11/06/2007</t>
        </is>
      </c>
      <c r="B712" s="31" t="n">
        <v>66.66</v>
      </c>
    </row>
    <row r="713">
      <c r="A713" s="4" t="inlineStr">
        <is>
          <t>12/06/2007</t>
        </is>
      </c>
      <c r="B713" s="31" t="n">
        <v>66.55</v>
      </c>
    </row>
    <row r="714">
      <c r="A714" s="4" t="inlineStr">
        <is>
          <t>13/06/2007</t>
        </is>
      </c>
      <c r="B714" s="31" t="n">
        <v>66.48999999999999</v>
      </c>
    </row>
    <row r="715">
      <c r="A715" s="4" t="inlineStr">
        <is>
          <t>14/06/2007</t>
        </is>
      </c>
      <c r="B715" s="31" t="n">
        <v>66.34999999999999</v>
      </c>
    </row>
    <row r="716">
      <c r="A716" s="4" t="inlineStr">
        <is>
          <t>15/06/2007</t>
        </is>
      </c>
      <c r="B716" s="31" t="n">
        <v>66.72</v>
      </c>
    </row>
    <row r="717">
      <c r="A717" s="4" t="inlineStr">
        <is>
          <t>18/06/2007</t>
        </is>
      </c>
      <c r="B717" s="31" t="n">
        <v>66.72</v>
      </c>
    </row>
    <row r="718">
      <c r="A718" s="4" t="inlineStr">
        <is>
          <t>19/06/2007</t>
        </is>
      </c>
      <c r="B718" s="31" t="n">
        <v>66.25</v>
      </c>
    </row>
    <row r="719">
      <c r="A719" s="4" t="inlineStr">
        <is>
          <t>20/06/2007</t>
        </is>
      </c>
      <c r="B719" s="31" t="n">
        <v>65.84999999999999</v>
      </c>
    </row>
    <row r="720">
      <c r="A720" s="4" t="inlineStr">
        <is>
          <t>21/06/2007</t>
        </is>
      </c>
      <c r="B720" s="31" t="n">
        <v>65.58</v>
      </c>
    </row>
    <row r="721">
      <c r="A721" s="4" t="inlineStr">
        <is>
          <t>22/06/2007</t>
        </is>
      </c>
      <c r="B721" s="31" t="n">
        <v>65.48</v>
      </c>
    </row>
    <row r="722">
      <c r="A722" s="4" t="inlineStr">
        <is>
          <t>25/06/2007</t>
        </is>
      </c>
      <c r="B722" s="31" t="n">
        <v>65.11</v>
      </c>
    </row>
    <row r="723">
      <c r="A723" s="4" t="inlineStr">
        <is>
          <t>26/06/2007</t>
        </is>
      </c>
      <c r="B723" s="31" t="n">
        <v>64.54000000000001</v>
      </c>
    </row>
    <row r="724">
      <c r="A724" s="4" t="inlineStr">
        <is>
          <t>27/06/2007</t>
        </is>
      </c>
      <c r="B724" s="31" t="n">
        <v>64.61</v>
      </c>
    </row>
    <row r="725">
      <c r="A725" s="4" t="inlineStr">
        <is>
          <t>28/06/2007</t>
        </is>
      </c>
      <c r="B725" s="31" t="n">
        <v>64.06999999999999</v>
      </c>
    </row>
    <row r="726">
      <c r="A726" s="4" t="inlineStr">
        <is>
          <t>29/06/2007</t>
        </is>
      </c>
      <c r="B726" s="31" t="n">
        <v>63.87</v>
      </c>
    </row>
    <row r="727">
      <c r="A727" s="4" t="inlineStr">
        <is>
          <t>02/07/2007</t>
        </is>
      </c>
      <c r="B727" s="31" t="n">
        <v>63.69</v>
      </c>
    </row>
    <row r="728">
      <c r="A728" s="4" t="inlineStr">
        <is>
          <t>03/07/2007</t>
        </is>
      </c>
      <c r="B728" s="31" t="n">
        <v>63.39</v>
      </c>
    </row>
    <row r="729">
      <c r="A729" s="4" t="inlineStr">
        <is>
          <t>04/07/2007</t>
        </is>
      </c>
      <c r="B729" s="31" t="n">
        <v>63.15</v>
      </c>
    </row>
    <row r="730">
      <c r="A730" s="4" t="inlineStr">
        <is>
          <t>05/07/2007</t>
        </is>
      </c>
      <c r="B730" s="31" t="n">
        <v>62.88</v>
      </c>
    </row>
    <row r="731">
      <c r="A731" s="4" t="inlineStr">
        <is>
          <t>06/07/2007</t>
        </is>
      </c>
      <c r="B731" s="31" t="n">
        <v>62.78</v>
      </c>
    </row>
    <row r="732">
      <c r="A732" s="4" t="inlineStr">
        <is>
          <t>10/07/2007</t>
        </is>
      </c>
      <c r="B732" s="31" t="n">
        <v>62.45</v>
      </c>
    </row>
    <row r="733">
      <c r="A733" s="4" t="inlineStr">
        <is>
          <t>11/07/2007</t>
        </is>
      </c>
      <c r="B733" s="31" t="n">
        <v>62.62</v>
      </c>
    </row>
    <row r="734">
      <c r="A734" s="4" t="inlineStr">
        <is>
          <t>12/07/2007</t>
        </is>
      </c>
      <c r="B734" s="31" t="n">
        <v>62.72</v>
      </c>
    </row>
    <row r="735">
      <c r="A735" s="4" t="inlineStr">
        <is>
          <t>13/07/2007</t>
        </is>
      </c>
      <c r="B735" s="31" t="n">
        <v>62.48</v>
      </c>
    </row>
    <row r="736">
      <c r="A736" s="4" t="inlineStr">
        <is>
          <t>16/07/2007</t>
        </is>
      </c>
      <c r="B736" s="31" t="n">
        <v>62.52</v>
      </c>
    </row>
    <row r="737">
      <c r="A737" s="4" t="inlineStr">
        <is>
          <t>17/07/2007</t>
        </is>
      </c>
      <c r="B737" s="31" t="n">
        <v>62.78</v>
      </c>
    </row>
    <row r="738">
      <c r="A738" s="4" t="inlineStr">
        <is>
          <t>18/07/2007</t>
        </is>
      </c>
      <c r="B738" s="31" t="n">
        <v>63.09</v>
      </c>
    </row>
    <row r="739">
      <c r="A739" s="4" t="inlineStr">
        <is>
          <t>19/07/2007</t>
        </is>
      </c>
      <c r="B739" s="31" t="n">
        <v>63.52</v>
      </c>
    </row>
    <row r="740">
      <c r="A740" s="4" t="inlineStr">
        <is>
          <t>20/07/2007</t>
        </is>
      </c>
      <c r="B740" s="31" t="n">
        <v>63.72</v>
      </c>
    </row>
    <row r="741">
      <c r="A741" s="4" t="inlineStr">
        <is>
          <t>23/07/2007</t>
        </is>
      </c>
      <c r="B741" s="31" t="n">
        <v>64.19</v>
      </c>
    </row>
    <row r="742">
      <c r="A742" s="4" t="inlineStr">
        <is>
          <t>24/07/2007</t>
        </is>
      </c>
      <c r="B742" s="31" t="n">
        <v>64.48999999999999</v>
      </c>
    </row>
    <row r="743">
      <c r="A743" s="4" t="inlineStr">
        <is>
          <t>25/07/2007</t>
        </is>
      </c>
      <c r="B743" s="31" t="n">
        <v>64.53</v>
      </c>
    </row>
    <row r="744">
      <c r="A744" s="4" t="inlineStr">
        <is>
          <t>26/07/2007</t>
        </is>
      </c>
      <c r="B744" s="31" t="n">
        <v>64.76000000000001</v>
      </c>
    </row>
    <row r="745">
      <c r="A745" s="4" t="inlineStr">
        <is>
          <t>27/07/2007</t>
        </is>
      </c>
      <c r="B745" s="31" t="n">
        <v>64.89</v>
      </c>
    </row>
    <row r="746">
      <c r="A746" s="4" t="inlineStr">
        <is>
          <t>30/07/2007</t>
        </is>
      </c>
      <c r="B746" s="31" t="n">
        <v>64.95999999999999</v>
      </c>
    </row>
    <row r="747">
      <c r="A747" s="4" t="inlineStr">
        <is>
          <t>31/07/2007</t>
        </is>
      </c>
      <c r="B747" s="31" t="n">
        <v>65.03</v>
      </c>
    </row>
    <row r="748">
      <c r="A748" s="4" t="inlineStr">
        <is>
          <t>01/08/2007</t>
        </is>
      </c>
      <c r="B748" s="31" t="n">
        <v>64.98999999999999</v>
      </c>
    </row>
    <row r="749">
      <c r="A749" s="4" t="inlineStr">
        <is>
          <t>02/08/2007</t>
        </is>
      </c>
      <c r="B749" s="31" t="n">
        <v>65.66</v>
      </c>
    </row>
    <row r="750">
      <c r="A750" s="4" t="inlineStr">
        <is>
          <t>03/08/2007</t>
        </is>
      </c>
      <c r="B750" s="31" t="n">
        <v>66.65000000000001</v>
      </c>
    </row>
    <row r="751">
      <c r="A751" s="4" t="inlineStr">
        <is>
          <t>06/08/2007</t>
        </is>
      </c>
      <c r="B751" s="31" t="n">
        <v>67.22</v>
      </c>
    </row>
    <row r="752">
      <c r="A752" s="4" t="inlineStr">
        <is>
          <t>07/08/2007</t>
        </is>
      </c>
      <c r="B752" s="31" t="n">
        <v>68.11</v>
      </c>
    </row>
    <row r="753">
      <c r="A753" s="4" t="inlineStr">
        <is>
          <t>08/08/2007</t>
        </is>
      </c>
      <c r="B753" s="31" t="n">
        <v>69.11</v>
      </c>
    </row>
    <row r="754">
      <c r="A754" s="4" t="inlineStr">
        <is>
          <t>09/08/2007</t>
        </is>
      </c>
      <c r="B754" s="31" t="n">
        <v>68.81</v>
      </c>
    </row>
    <row r="755">
      <c r="A755" s="4" t="inlineStr">
        <is>
          <t>10/08/2007</t>
        </is>
      </c>
      <c r="B755" s="31" t="n">
        <v>69.77</v>
      </c>
    </row>
    <row r="756">
      <c r="A756" s="4" t="inlineStr">
        <is>
          <t>13/08/2007</t>
        </is>
      </c>
      <c r="B756" s="31" t="n">
        <v>71.23</v>
      </c>
    </row>
    <row r="757">
      <c r="A757" s="4" t="inlineStr">
        <is>
          <t>14/08/2007</t>
        </is>
      </c>
      <c r="B757" s="31" t="n">
        <v>72.36</v>
      </c>
    </row>
    <row r="758">
      <c r="A758" s="4" t="inlineStr">
        <is>
          <t>15/08/2007</t>
        </is>
      </c>
      <c r="B758" s="31" t="n">
        <v>73.45</v>
      </c>
    </row>
    <row r="759">
      <c r="A759" s="4" t="inlineStr">
        <is>
          <t>16/08/2007</t>
        </is>
      </c>
      <c r="B759" s="31" t="n">
        <v>74.62</v>
      </c>
    </row>
    <row r="760">
      <c r="A760" s="4" t="inlineStr">
        <is>
          <t>17/08/2007</t>
        </is>
      </c>
      <c r="B760" s="31" t="n">
        <v>76.87</v>
      </c>
    </row>
    <row r="761">
      <c r="A761" s="4" t="inlineStr">
        <is>
          <t>20/08/2007</t>
        </is>
      </c>
      <c r="B761" s="31" t="n">
        <v>77.09999999999999</v>
      </c>
    </row>
    <row r="762">
      <c r="A762" s="4" t="inlineStr">
        <is>
          <t>21/08/2007</t>
        </is>
      </c>
      <c r="B762" s="31" t="n">
        <v>77.7</v>
      </c>
    </row>
    <row r="763">
      <c r="A763" s="4" t="inlineStr">
        <is>
          <t>22/08/2007</t>
        </is>
      </c>
      <c r="B763" s="31" t="n">
        <v>77.77</v>
      </c>
    </row>
    <row r="764">
      <c r="A764" s="4" t="inlineStr">
        <is>
          <t>23/08/2007</t>
        </is>
      </c>
      <c r="B764" s="31" t="n">
        <v>77.47</v>
      </c>
    </row>
    <row r="765">
      <c r="A765" s="4" t="inlineStr">
        <is>
          <t>24/08/2007</t>
        </is>
      </c>
      <c r="B765" s="31" t="n">
        <v>77.44</v>
      </c>
    </row>
    <row r="766">
      <c r="A766" s="4" t="inlineStr">
        <is>
          <t>27/08/2007</t>
        </is>
      </c>
      <c r="B766" s="31" t="n">
        <v>77.40000000000001</v>
      </c>
    </row>
    <row r="767">
      <c r="A767" s="4" t="inlineStr">
        <is>
          <t>28/08/2007</t>
        </is>
      </c>
      <c r="B767" s="31" t="n">
        <v>78</v>
      </c>
    </row>
    <row r="768">
      <c r="A768" s="4" t="inlineStr">
        <is>
          <t>29/08/2007</t>
        </is>
      </c>
      <c r="B768" s="31" t="n">
        <v>78.66</v>
      </c>
    </row>
    <row r="769">
      <c r="A769" s="4" t="inlineStr">
        <is>
          <t>30/08/2007</t>
        </is>
      </c>
      <c r="B769" s="31" t="n">
        <v>79.29000000000001</v>
      </c>
    </row>
    <row r="770">
      <c r="A770" s="4" t="inlineStr">
        <is>
          <t>31/08/2007</t>
        </is>
      </c>
      <c r="B770" s="31" t="n">
        <v>79.23</v>
      </c>
    </row>
    <row r="771">
      <c r="A771" s="4" t="inlineStr">
        <is>
          <t>03/09/2007</t>
        </is>
      </c>
      <c r="B771" s="31" t="n">
        <v>79.45999999999999</v>
      </c>
    </row>
    <row r="772">
      <c r="A772" s="4" t="inlineStr">
        <is>
          <t>04/09/2007</t>
        </is>
      </c>
      <c r="B772" s="31" t="n">
        <v>81.45999999999999</v>
      </c>
    </row>
    <row r="773">
      <c r="A773" s="4" t="inlineStr">
        <is>
          <t>05/09/2007</t>
        </is>
      </c>
      <c r="B773" s="31" t="n">
        <v>83.36</v>
      </c>
    </row>
    <row r="774">
      <c r="A774" s="4" t="inlineStr">
        <is>
          <t>06/09/2007</t>
        </is>
      </c>
      <c r="B774" s="31" t="n">
        <v>84.7</v>
      </c>
    </row>
    <row r="775">
      <c r="A775" s="4" t="inlineStr">
        <is>
          <t>10/09/2007</t>
        </is>
      </c>
      <c r="B775" s="31" t="n">
        <v>86.59999999999999</v>
      </c>
    </row>
    <row r="776">
      <c r="A776" s="4" t="inlineStr">
        <is>
          <t>11/09/2007</t>
        </is>
      </c>
      <c r="B776" s="31" t="n">
        <v>87.55</v>
      </c>
    </row>
    <row r="777">
      <c r="A777" s="4" t="inlineStr">
        <is>
          <t>12/09/2007</t>
        </is>
      </c>
      <c r="B777" s="31" t="n">
        <v>87.91</v>
      </c>
    </row>
    <row r="778">
      <c r="A778" s="4" t="inlineStr">
        <is>
          <t>13/09/2007</t>
        </is>
      </c>
      <c r="B778" s="31" t="n">
        <v>89.09</v>
      </c>
    </row>
    <row r="779">
      <c r="A779" s="4" t="inlineStr">
        <is>
          <t>14/09/2007</t>
        </is>
      </c>
      <c r="B779" s="31" t="n">
        <v>90.04000000000001</v>
      </c>
    </row>
    <row r="780">
      <c r="A780" s="4" t="inlineStr">
        <is>
          <t>17/09/2007</t>
        </is>
      </c>
      <c r="B780" s="31" t="n">
        <v>90.27</v>
      </c>
    </row>
    <row r="781">
      <c r="A781" s="4" t="inlineStr">
        <is>
          <t>18/09/2007</t>
        </is>
      </c>
      <c r="B781" s="31" t="n">
        <v>90.5</v>
      </c>
    </row>
    <row r="782">
      <c r="A782" s="4" t="inlineStr">
        <is>
          <t>19/09/2007</t>
        </is>
      </c>
      <c r="B782" s="31" t="n">
        <v>90.17</v>
      </c>
    </row>
    <row r="783">
      <c r="A783" s="4" t="inlineStr">
        <is>
          <t>20/09/2007</t>
        </is>
      </c>
      <c r="B783" s="31" t="n">
        <v>91.03</v>
      </c>
    </row>
    <row r="784">
      <c r="A784" s="4" t="inlineStr">
        <is>
          <t>21/09/2007</t>
        </is>
      </c>
      <c r="B784" s="31" t="n">
        <v>90.63</v>
      </c>
    </row>
    <row r="785">
      <c r="A785" s="4" t="inlineStr">
        <is>
          <t>24/09/2007</t>
        </is>
      </c>
      <c r="B785" s="31" t="n">
        <v>92.23999999999999</v>
      </c>
    </row>
    <row r="786">
      <c r="A786" s="4" t="inlineStr">
        <is>
          <t>25/09/2007</t>
        </is>
      </c>
      <c r="B786" s="31" t="n">
        <v>91.84</v>
      </c>
    </row>
    <row r="787">
      <c r="A787" s="4" t="inlineStr">
        <is>
          <t>26/09/2007</t>
        </is>
      </c>
      <c r="B787" s="31" t="n">
        <v>90.76000000000001</v>
      </c>
    </row>
    <row r="788">
      <c r="A788" s="4" t="inlineStr">
        <is>
          <t>27/09/2007</t>
        </is>
      </c>
      <c r="B788" s="31" t="n">
        <v>90.34</v>
      </c>
    </row>
    <row r="789">
      <c r="A789" s="4" t="inlineStr">
        <is>
          <t>28/09/2007</t>
        </is>
      </c>
      <c r="B789" s="31" t="n">
        <v>89.48999999999999</v>
      </c>
    </row>
    <row r="790">
      <c r="A790" s="4" t="inlineStr">
        <is>
          <t>01/10/2007</t>
        </is>
      </c>
      <c r="B790" s="31" t="n">
        <v>87.84</v>
      </c>
    </row>
    <row r="791">
      <c r="A791" s="4" t="inlineStr">
        <is>
          <t>02/10/2007</t>
        </is>
      </c>
      <c r="B791" s="31" t="n">
        <v>87.42</v>
      </c>
    </row>
    <row r="792">
      <c r="A792" s="4" t="inlineStr">
        <is>
          <t>03/10/2007</t>
        </is>
      </c>
      <c r="B792" s="31" t="n">
        <v>87.23</v>
      </c>
    </row>
    <row r="793">
      <c r="A793" s="4" t="inlineStr">
        <is>
          <t>04/10/2007</t>
        </is>
      </c>
      <c r="B793" s="31" t="n">
        <v>86.81</v>
      </c>
    </row>
    <row r="794">
      <c r="A794" s="4" t="inlineStr">
        <is>
          <t>05/10/2007</t>
        </is>
      </c>
      <c r="B794" s="31" t="n">
        <v>86.87</v>
      </c>
    </row>
    <row r="795">
      <c r="A795" s="4" t="inlineStr">
        <is>
          <t>08/10/2007</t>
        </is>
      </c>
      <c r="B795" s="31" t="n">
        <v>86.61</v>
      </c>
    </row>
    <row r="796">
      <c r="A796" s="4" t="inlineStr">
        <is>
          <t>09/10/2007</t>
        </is>
      </c>
      <c r="B796" s="31" t="n">
        <v>86.70999999999999</v>
      </c>
    </row>
    <row r="797">
      <c r="A797" s="4" t="inlineStr">
        <is>
          <t>10/10/2007</t>
        </is>
      </c>
      <c r="B797" s="31" t="n">
        <v>85.95999999999999</v>
      </c>
    </row>
    <row r="798">
      <c r="A798" s="4" t="inlineStr">
        <is>
          <t>11/10/2007</t>
        </is>
      </c>
      <c r="B798" s="31" t="n">
        <v>86.09</v>
      </c>
    </row>
    <row r="799">
      <c r="A799" s="4" t="inlineStr">
        <is>
          <t>15/10/2007</t>
        </is>
      </c>
      <c r="B799" s="31" t="n">
        <v>86.51000000000001</v>
      </c>
    </row>
    <row r="800">
      <c r="A800" s="4" t="inlineStr">
        <is>
          <t>16/10/2007</t>
        </is>
      </c>
      <c r="B800" s="31" t="n">
        <v>86.94</v>
      </c>
    </row>
    <row r="801">
      <c r="A801" s="4" t="inlineStr">
        <is>
          <t>17/10/2007</t>
        </is>
      </c>
      <c r="B801" s="31" t="n">
        <v>87.13</v>
      </c>
    </row>
    <row r="802">
      <c r="A802" s="4" t="inlineStr">
        <is>
          <t>18/10/2007</t>
        </is>
      </c>
      <c r="B802" s="31" t="n">
        <v>88.04000000000001</v>
      </c>
    </row>
    <row r="803">
      <c r="A803" s="4" t="inlineStr">
        <is>
          <t>19/10/2007</t>
        </is>
      </c>
      <c r="B803" s="31" t="n">
        <v>88.23</v>
      </c>
    </row>
    <row r="804">
      <c r="A804" s="4" t="inlineStr">
        <is>
          <t>22/10/2007</t>
        </is>
      </c>
      <c r="B804" s="31" t="n">
        <v>88.59</v>
      </c>
    </row>
    <row r="805">
      <c r="A805" s="4" t="inlineStr">
        <is>
          <t>23/10/2007</t>
        </is>
      </c>
      <c r="B805" s="31" t="n">
        <v>90.08</v>
      </c>
    </row>
    <row r="806">
      <c r="A806" s="4" t="inlineStr">
        <is>
          <t>24/10/2007</t>
        </is>
      </c>
      <c r="B806" s="31" t="n">
        <v>90.89</v>
      </c>
    </row>
    <row r="807">
      <c r="A807" s="4" t="inlineStr">
        <is>
          <t>25/10/2007</t>
        </is>
      </c>
      <c r="B807" s="31" t="n">
        <v>91.56999999999999</v>
      </c>
    </row>
    <row r="808">
      <c r="A808" s="4" t="inlineStr">
        <is>
          <t>26/10/2007</t>
        </is>
      </c>
      <c r="B808" s="31" t="n">
        <v>91.31</v>
      </c>
    </row>
    <row r="809">
      <c r="A809" s="4" t="inlineStr">
        <is>
          <t>29/10/2007</t>
        </is>
      </c>
      <c r="B809" s="31" t="n">
        <v>92.38</v>
      </c>
    </row>
    <row r="810">
      <c r="A810" s="4" t="inlineStr">
        <is>
          <t>30/10/2007</t>
        </is>
      </c>
      <c r="B810" s="31" t="n">
        <v>93.65000000000001</v>
      </c>
    </row>
    <row r="811">
      <c r="A811" s="4" t="inlineStr">
        <is>
          <t>31/10/2007</t>
        </is>
      </c>
      <c r="B811" s="31" t="n">
        <v>94.42</v>
      </c>
    </row>
    <row r="812">
      <c r="A812" s="4" t="inlineStr">
        <is>
          <t>01/11/2007</t>
        </is>
      </c>
      <c r="B812" s="31" t="n">
        <v>94.52</v>
      </c>
    </row>
    <row r="813">
      <c r="A813" s="4" t="inlineStr">
        <is>
          <t>05/11/2007</t>
        </is>
      </c>
      <c r="B813" s="31" t="n">
        <v>94.61</v>
      </c>
    </row>
    <row r="814">
      <c r="A814" s="4" t="inlineStr">
        <is>
          <t>06/11/2007</t>
        </is>
      </c>
      <c r="B814" s="31" t="n">
        <v>96.55</v>
      </c>
    </row>
    <row r="815">
      <c r="A815" s="4" t="inlineStr">
        <is>
          <t>07/11/2007</t>
        </is>
      </c>
      <c r="B815" s="31" t="n">
        <v>97.77</v>
      </c>
    </row>
    <row r="816">
      <c r="A816" s="4" t="inlineStr">
        <is>
          <t>08/11/2007</t>
        </is>
      </c>
      <c r="B816" s="31" t="n">
        <v>98.86</v>
      </c>
    </row>
    <row r="817">
      <c r="A817" s="4" t="inlineStr">
        <is>
          <t>09/11/2007</t>
        </is>
      </c>
      <c r="B817" s="31" t="n">
        <v>98.77</v>
      </c>
    </row>
    <row r="818">
      <c r="A818" s="4" t="inlineStr">
        <is>
          <t>12/11/2007</t>
        </is>
      </c>
      <c r="B818" s="31" t="n">
        <v>99.38</v>
      </c>
    </row>
    <row r="819">
      <c r="A819" s="4" t="inlineStr">
        <is>
          <t>13/11/2007</t>
        </is>
      </c>
      <c r="B819" s="31" t="n">
        <v>99.89</v>
      </c>
    </row>
    <row r="820">
      <c r="A820" s="4" t="inlineStr">
        <is>
          <t>14/11/2007</t>
        </is>
      </c>
      <c r="B820" s="31" t="n">
        <v>100.05</v>
      </c>
    </row>
    <row r="821">
      <c r="A821" s="4" t="inlineStr">
        <is>
          <t>16/11/2007</t>
        </is>
      </c>
      <c r="B821" s="31" t="n">
        <v>100.31</v>
      </c>
    </row>
    <row r="822">
      <c r="A822" s="4" t="inlineStr">
        <is>
          <t>19/11/2007</t>
        </is>
      </c>
      <c r="B822" s="31" t="n">
        <v>102.02</v>
      </c>
    </row>
    <row r="823">
      <c r="A823" s="4" t="inlineStr">
        <is>
          <t>20/11/2007</t>
        </is>
      </c>
      <c r="B823" s="31" t="n">
        <v>101.95</v>
      </c>
    </row>
    <row r="824">
      <c r="A824" s="4" t="inlineStr">
        <is>
          <t>21/11/2007</t>
        </is>
      </c>
      <c r="B824" s="31" t="n">
        <v>103.27</v>
      </c>
    </row>
    <row r="825">
      <c r="A825" s="4" t="inlineStr">
        <is>
          <t>22/11/2007</t>
        </is>
      </c>
      <c r="B825" s="31" t="n">
        <v>104.37</v>
      </c>
    </row>
    <row r="826">
      <c r="A826" s="4" t="inlineStr">
        <is>
          <t>23/11/2007</t>
        </is>
      </c>
      <c r="B826" s="31" t="n">
        <v>105.43</v>
      </c>
    </row>
    <row r="827">
      <c r="A827" s="4" t="inlineStr">
        <is>
          <t>26/11/2007</t>
        </is>
      </c>
      <c r="B827" s="31" t="n">
        <v>105.98</v>
      </c>
    </row>
    <row r="828">
      <c r="A828" s="4" t="inlineStr">
        <is>
          <t>27/11/2007</t>
        </is>
      </c>
      <c r="B828" s="31" t="n">
        <v>108.87</v>
      </c>
    </row>
    <row r="829">
      <c r="A829" s="4" t="inlineStr">
        <is>
          <t>28/11/2007</t>
        </is>
      </c>
      <c r="B829" s="31" t="n">
        <v>109.13</v>
      </c>
    </row>
    <row r="830">
      <c r="A830" s="4" t="inlineStr">
        <is>
          <t>29/11/2007</t>
        </is>
      </c>
      <c r="B830" s="31" t="n">
        <v>109.33</v>
      </c>
    </row>
    <row r="831">
      <c r="A831" s="4" t="inlineStr">
        <is>
          <t>30/11/2007</t>
        </is>
      </c>
      <c r="B831" s="31" t="n">
        <v>111.1</v>
      </c>
    </row>
    <row r="832">
      <c r="A832" s="4" t="inlineStr">
        <is>
          <t>03/12/2007</t>
        </is>
      </c>
      <c r="B832" s="31" t="n">
        <v>109.05</v>
      </c>
    </row>
    <row r="833">
      <c r="A833" s="4" t="inlineStr">
        <is>
          <t>04/12/2007</t>
        </is>
      </c>
      <c r="B833" s="31" t="n">
        <v>109.21</v>
      </c>
    </row>
    <row r="834">
      <c r="A834" s="4" t="inlineStr">
        <is>
          <t>05/12/2007</t>
        </is>
      </c>
      <c r="B834" s="31" t="n">
        <v>109.4</v>
      </c>
    </row>
    <row r="835">
      <c r="A835" s="4" t="inlineStr">
        <is>
          <t>06/12/2007</t>
        </is>
      </c>
      <c r="B835" s="31" t="n">
        <v>109.52</v>
      </c>
    </row>
    <row r="836">
      <c r="A836" s="4" t="inlineStr">
        <is>
          <t>07/12/2007</t>
        </is>
      </c>
      <c r="B836" s="31" t="n">
        <v>109.3</v>
      </c>
    </row>
    <row r="837">
      <c r="A837" s="4" t="inlineStr">
        <is>
          <t>10/12/2007</t>
        </is>
      </c>
      <c r="B837" s="31" t="n">
        <v>109.27</v>
      </c>
    </row>
    <row r="838">
      <c r="A838" s="4" t="inlineStr">
        <is>
          <t>11/12/2007</t>
        </is>
      </c>
      <c r="B838" s="31" t="n">
        <v>109.02</v>
      </c>
    </row>
    <row r="839">
      <c r="A839" s="4" t="inlineStr">
        <is>
          <t>12/12/2007</t>
        </is>
      </c>
      <c r="B839" s="31" t="n">
        <v>108.61</v>
      </c>
    </row>
    <row r="840">
      <c r="A840" s="4" t="inlineStr">
        <is>
          <t>13/12/2007</t>
        </is>
      </c>
      <c r="B840" s="31" t="n">
        <v>107.34</v>
      </c>
    </row>
    <row r="841">
      <c r="A841" s="4" t="inlineStr">
        <is>
          <t>14/12/2007</t>
        </is>
      </c>
      <c r="B841" s="31" t="n">
        <v>106.8</v>
      </c>
    </row>
    <row r="842">
      <c r="A842" s="4" t="inlineStr">
        <is>
          <t>17/12/2007</t>
        </is>
      </c>
      <c r="B842" s="31" t="n">
        <v>106.33</v>
      </c>
    </row>
    <row r="843">
      <c r="A843" s="4" t="inlineStr">
        <is>
          <t>18/12/2007</t>
        </is>
      </c>
      <c r="B843" s="31" t="n">
        <v>105.41</v>
      </c>
    </row>
    <row r="844">
      <c r="A844" s="4" t="inlineStr">
        <is>
          <t>19/12/2007</t>
        </is>
      </c>
      <c r="B844" s="31" t="n">
        <v>105.22</v>
      </c>
    </row>
    <row r="845">
      <c r="A845" s="4" t="inlineStr">
        <is>
          <t>20/12/2007</t>
        </is>
      </c>
      <c r="B845" s="31" t="n">
        <v>104.9</v>
      </c>
    </row>
    <row r="846">
      <c r="A846" s="4" t="inlineStr">
        <is>
          <t>21/12/2007</t>
        </is>
      </c>
      <c r="B846" s="31" t="n">
        <v>104.49</v>
      </c>
    </row>
    <row r="847">
      <c r="A847" s="4" t="inlineStr">
        <is>
          <t>26/12/2007</t>
        </is>
      </c>
      <c r="B847" s="31" t="n">
        <v>103.58</v>
      </c>
    </row>
    <row r="848">
      <c r="A848" s="4" t="inlineStr">
        <is>
          <t>27/12/2007</t>
        </is>
      </c>
      <c r="B848" s="31" t="n">
        <v>103.45</v>
      </c>
    </row>
    <row r="849">
      <c r="A849" s="4" t="inlineStr">
        <is>
          <t>28/12/2007</t>
        </is>
      </c>
      <c r="B849" s="31" t="n">
        <v>103.54</v>
      </c>
    </row>
    <row r="850">
      <c r="A850" s="4" t="inlineStr">
        <is>
          <t>02/01/2008</t>
        </is>
      </c>
      <c r="B850" s="31" t="n">
        <v>102.58</v>
      </c>
    </row>
    <row r="851">
      <c r="A851" s="4" t="inlineStr">
        <is>
          <t>03/01/2008</t>
        </is>
      </c>
      <c r="B851" s="31" t="n">
        <v>103.02</v>
      </c>
    </row>
    <row r="852">
      <c r="A852" s="4" t="inlineStr">
        <is>
          <t>04/01/2008</t>
        </is>
      </c>
      <c r="B852" s="31" t="n">
        <v>103.12</v>
      </c>
    </row>
    <row r="853">
      <c r="A853" s="4" t="inlineStr">
        <is>
          <t>07/01/2008</t>
        </is>
      </c>
      <c r="B853" s="31" t="n">
        <v>103.52</v>
      </c>
    </row>
    <row r="854">
      <c r="A854" s="4" t="inlineStr">
        <is>
          <t>08/01/2008</t>
        </is>
      </c>
      <c r="B854" s="31" t="n">
        <v>102.55</v>
      </c>
    </row>
    <row r="855">
      <c r="A855" s="4" t="inlineStr">
        <is>
          <t>09/01/2008</t>
        </is>
      </c>
      <c r="B855" s="31" t="n">
        <v>102.58</v>
      </c>
    </row>
    <row r="856">
      <c r="A856" s="4" t="inlineStr">
        <is>
          <t>10/01/2008</t>
        </is>
      </c>
      <c r="B856" s="31" t="n">
        <v>102.11</v>
      </c>
    </row>
    <row r="857">
      <c r="A857" s="4" t="inlineStr">
        <is>
          <t>11/01/2008</t>
        </is>
      </c>
      <c r="B857" s="31" t="n">
        <v>101.8</v>
      </c>
    </row>
    <row r="858">
      <c r="A858" s="4" t="inlineStr">
        <is>
          <t>14/01/2008</t>
        </is>
      </c>
      <c r="B858" s="31" t="n">
        <v>100.74</v>
      </c>
    </row>
    <row r="859">
      <c r="A859" s="4" t="inlineStr">
        <is>
          <t>15/01/2008</t>
        </is>
      </c>
      <c r="B859" s="31" t="n">
        <v>99.95</v>
      </c>
    </row>
    <row r="860">
      <c r="A860" s="4" t="inlineStr">
        <is>
          <t>16/01/2008</t>
        </is>
      </c>
      <c r="B860" s="31" t="n">
        <v>99.39</v>
      </c>
    </row>
    <row r="861">
      <c r="A861" s="4" t="inlineStr">
        <is>
          <t>17/01/2008</t>
        </is>
      </c>
      <c r="B861" s="31" t="n">
        <v>96.2</v>
      </c>
    </row>
    <row r="862">
      <c r="A862" s="4" t="inlineStr">
        <is>
          <t>18/01/2008</t>
        </is>
      </c>
      <c r="B862" s="31" t="n">
        <v>94.88</v>
      </c>
    </row>
    <row r="863">
      <c r="A863" s="4" t="inlineStr">
        <is>
          <t>21/01/2008</t>
        </is>
      </c>
      <c r="B863" s="31" t="n">
        <v>93.56999999999999</v>
      </c>
    </row>
    <row r="864">
      <c r="A864" s="4" t="inlineStr">
        <is>
          <t>22/01/2008</t>
        </is>
      </c>
      <c r="B864" s="31" t="n">
        <v>92.56999999999999</v>
      </c>
    </row>
    <row r="865">
      <c r="A865" s="4" t="inlineStr">
        <is>
          <t>23/01/2008</t>
        </is>
      </c>
      <c r="B865" s="31" t="n">
        <v>91.54000000000001</v>
      </c>
    </row>
    <row r="866">
      <c r="A866" s="4" t="inlineStr">
        <is>
          <t>24/01/2008</t>
        </is>
      </c>
      <c r="B866" s="31" t="n">
        <v>90.56999999999999</v>
      </c>
    </row>
    <row r="867">
      <c r="A867" s="4" t="inlineStr">
        <is>
          <t>25/01/2008</t>
        </is>
      </c>
      <c r="B867" s="31" t="n">
        <v>90.19</v>
      </c>
    </row>
    <row r="868">
      <c r="A868" s="4" t="inlineStr">
        <is>
          <t>28/01/2008</t>
        </is>
      </c>
      <c r="B868" s="31" t="n">
        <v>90.16</v>
      </c>
    </row>
    <row r="869">
      <c r="A869" s="4" t="inlineStr">
        <is>
          <t>29/01/2008</t>
        </is>
      </c>
      <c r="B869" s="31" t="n">
        <v>89.94</v>
      </c>
    </row>
    <row r="870">
      <c r="A870" s="4" t="inlineStr">
        <is>
          <t>30/01/2008</t>
        </is>
      </c>
      <c r="B870" s="31" t="n">
        <v>89.31</v>
      </c>
    </row>
    <row r="871">
      <c r="A871" s="4" t="inlineStr">
        <is>
          <t>31/01/2008</t>
        </is>
      </c>
      <c r="B871" s="31" t="n">
        <v>88.91</v>
      </c>
    </row>
    <row r="872">
      <c r="A872" s="4" t="inlineStr">
        <is>
          <t>01/02/2008</t>
        </is>
      </c>
      <c r="B872" s="31" t="n">
        <v>87.97</v>
      </c>
    </row>
    <row r="873">
      <c r="A873" s="4" t="inlineStr">
        <is>
          <t>06/02/2008</t>
        </is>
      </c>
      <c r="B873" s="31" t="n">
        <v>87.29000000000001</v>
      </c>
    </row>
    <row r="874">
      <c r="A874" s="4" t="inlineStr">
        <is>
          <t>07/02/2008</t>
        </is>
      </c>
      <c r="B874" s="31" t="n">
        <v>86.2</v>
      </c>
    </row>
    <row r="875">
      <c r="A875" s="4" t="inlineStr">
        <is>
          <t>08/02/2008</t>
        </is>
      </c>
      <c r="B875" s="31" t="n">
        <v>85.98</v>
      </c>
    </row>
    <row r="876">
      <c r="A876" s="4" t="inlineStr">
        <is>
          <t>11/02/2008</t>
        </is>
      </c>
      <c r="B876" s="31" t="n">
        <v>85.79000000000001</v>
      </c>
    </row>
    <row r="877">
      <c r="A877" s="4" t="inlineStr">
        <is>
          <t>12/02/2008</t>
        </is>
      </c>
      <c r="B877" s="31" t="n">
        <v>85.81999999999999</v>
      </c>
    </row>
    <row r="878">
      <c r="A878" s="4" t="inlineStr">
        <is>
          <t>13/02/2008</t>
        </is>
      </c>
      <c r="B878" s="31" t="n">
        <v>86.09999999999999</v>
      </c>
    </row>
    <row r="879">
      <c r="A879" s="4" t="inlineStr">
        <is>
          <t>14/02/2008</t>
        </is>
      </c>
      <c r="B879" s="31" t="n">
        <v>86.14</v>
      </c>
    </row>
    <row r="880">
      <c r="A880" s="4" t="inlineStr">
        <is>
          <t>15/02/2008</t>
        </is>
      </c>
      <c r="B880" s="31" t="n">
        <v>85.98</v>
      </c>
    </row>
    <row r="881">
      <c r="A881" s="4" t="inlineStr">
        <is>
          <t>18/02/2008</t>
        </is>
      </c>
      <c r="B881" s="31" t="n">
        <v>85.92</v>
      </c>
    </row>
    <row r="882">
      <c r="A882" s="4" t="inlineStr">
        <is>
          <t>19/02/2008</t>
        </is>
      </c>
      <c r="B882" s="31" t="n">
        <v>86.2</v>
      </c>
    </row>
    <row r="883">
      <c r="A883" s="4" t="inlineStr">
        <is>
          <t>20/02/2008</t>
        </is>
      </c>
      <c r="B883" s="31" t="n">
        <v>86.29000000000001</v>
      </c>
    </row>
    <row r="884">
      <c r="A884" s="4" t="inlineStr">
        <is>
          <t>21/02/2008</t>
        </is>
      </c>
      <c r="B884" s="31" t="n">
        <v>86.45</v>
      </c>
    </row>
    <row r="885">
      <c r="A885" s="4" t="inlineStr">
        <is>
          <t>22/02/2008</t>
        </is>
      </c>
      <c r="B885" s="31" t="n">
        <v>86.34999999999999</v>
      </c>
    </row>
    <row r="886">
      <c r="A886" s="4" t="inlineStr">
        <is>
          <t>25/02/2008</t>
        </is>
      </c>
      <c r="B886" s="31" t="n">
        <v>86.04000000000001</v>
      </c>
    </row>
    <row r="887">
      <c r="A887" s="4" t="inlineStr">
        <is>
          <t>26/02/2008</t>
        </is>
      </c>
      <c r="B887" s="31" t="n">
        <v>86.2</v>
      </c>
    </row>
    <row r="888">
      <c r="A888" s="4" t="inlineStr">
        <is>
          <t>27/02/2008</t>
        </is>
      </c>
      <c r="B888" s="31" t="n">
        <v>87.16</v>
      </c>
    </row>
    <row r="889">
      <c r="A889" s="4" t="inlineStr">
        <is>
          <t>28/02/2008</t>
        </is>
      </c>
      <c r="B889" s="31" t="n">
        <v>87.51000000000001</v>
      </c>
    </row>
    <row r="890">
      <c r="A890" s="4" t="inlineStr">
        <is>
          <t>29/02/2008</t>
        </is>
      </c>
      <c r="B890" s="31" t="n">
        <v>88.5</v>
      </c>
    </row>
    <row r="891">
      <c r="A891" s="4" t="inlineStr">
        <is>
          <t>03/03/2008</t>
        </is>
      </c>
      <c r="B891" s="31" t="n">
        <v>87.76000000000001</v>
      </c>
    </row>
    <row r="892">
      <c r="A892" s="4" t="inlineStr">
        <is>
          <t>04/03/2008</t>
        </is>
      </c>
      <c r="B892" s="31" t="n">
        <v>88.81</v>
      </c>
    </row>
    <row r="893">
      <c r="A893" s="4" t="inlineStr">
        <is>
          <t>05/03/2008</t>
        </is>
      </c>
      <c r="B893" s="31" t="n">
        <v>88.13</v>
      </c>
    </row>
    <row r="894">
      <c r="A894" s="4" t="inlineStr">
        <is>
          <t>06/03/2008</t>
        </is>
      </c>
      <c r="B894" s="31" t="n">
        <v>87.39</v>
      </c>
    </row>
    <row r="895">
      <c r="A895" s="4" t="inlineStr">
        <is>
          <t>07/03/2008</t>
        </is>
      </c>
      <c r="B895" s="31" t="n">
        <v>85.22</v>
      </c>
    </row>
    <row r="896">
      <c r="A896" s="4" t="inlineStr">
        <is>
          <t>10/03/2008</t>
        </is>
      </c>
      <c r="B896" s="31" t="n">
        <v>85.5</v>
      </c>
    </row>
    <row r="897">
      <c r="A897" s="4" t="inlineStr">
        <is>
          <t>11/03/2008</t>
        </is>
      </c>
      <c r="B897" s="31" t="n">
        <v>84.73</v>
      </c>
    </row>
    <row r="898">
      <c r="A898" s="4" t="inlineStr">
        <is>
          <t>12/03/2008</t>
        </is>
      </c>
      <c r="B898" s="31" t="n">
        <v>83.56</v>
      </c>
    </row>
    <row r="899">
      <c r="A899" s="4" t="inlineStr">
        <is>
          <t>13/03/2008</t>
        </is>
      </c>
      <c r="B899" s="31" t="n">
        <v>83.56</v>
      </c>
    </row>
    <row r="900">
      <c r="A900" s="4" t="inlineStr">
        <is>
          <t>14/03/2008</t>
        </is>
      </c>
      <c r="B900" s="31" t="n">
        <v>83.56</v>
      </c>
    </row>
    <row r="901">
      <c r="A901" s="4" t="inlineStr">
        <is>
          <t>17/03/2008</t>
        </is>
      </c>
      <c r="B901" s="31" t="n">
        <v>84.58</v>
      </c>
    </row>
    <row r="902">
      <c r="A902" s="4" t="inlineStr">
        <is>
          <t>18/03/2008</t>
        </is>
      </c>
      <c r="B902" s="31" t="n">
        <v>83.95999999999999</v>
      </c>
    </row>
    <row r="903">
      <c r="A903" s="4" t="inlineStr">
        <is>
          <t>19/03/2008</t>
        </is>
      </c>
      <c r="B903" s="31" t="n">
        <v>83.77</v>
      </c>
    </row>
    <row r="904">
      <c r="A904" s="4" t="inlineStr">
        <is>
          <t>20/03/2008</t>
        </is>
      </c>
      <c r="B904" s="31" t="n">
        <v>83.09</v>
      </c>
    </row>
    <row r="905">
      <c r="A905" s="4" t="inlineStr">
        <is>
          <t>24/03/2008</t>
        </is>
      </c>
      <c r="B905" s="31" t="n">
        <v>82.34999999999999</v>
      </c>
    </row>
    <row r="906">
      <c r="A906" s="4" t="inlineStr">
        <is>
          <t>25/03/2008</t>
        </is>
      </c>
      <c r="B906" s="31" t="n">
        <v>81.20999999999999</v>
      </c>
    </row>
    <row r="907">
      <c r="A907" s="4" t="inlineStr">
        <is>
          <t>26/03/2008</t>
        </is>
      </c>
      <c r="B907" s="31" t="n">
        <v>81.15000000000001</v>
      </c>
    </row>
    <row r="908">
      <c r="A908" s="4" t="inlineStr">
        <is>
          <t>27/03/2008</t>
        </is>
      </c>
      <c r="B908" s="31" t="n">
        <v>80.90000000000001</v>
      </c>
    </row>
    <row r="909">
      <c r="A909" s="4" t="inlineStr">
        <is>
          <t>28/03/2008</t>
        </is>
      </c>
      <c r="B909" s="31" t="n">
        <v>80.62</v>
      </c>
    </row>
    <row r="910">
      <c r="A910" s="4" t="inlineStr">
        <is>
          <t>31/03/2008</t>
        </is>
      </c>
      <c r="B910" s="31" t="n">
        <v>80.56</v>
      </c>
    </row>
    <row r="911">
      <c r="A911" s="4" t="inlineStr">
        <is>
          <t>01/04/2008</t>
        </is>
      </c>
      <c r="B911" s="31" t="n">
        <v>79.36</v>
      </c>
    </row>
    <row r="912">
      <c r="A912" s="4" t="inlineStr">
        <is>
          <t>02/04/2008</t>
        </is>
      </c>
      <c r="B912" s="31" t="n">
        <v>78.93000000000001</v>
      </c>
    </row>
    <row r="913">
      <c r="A913" s="4" t="inlineStr">
        <is>
          <t>03/04/2008</t>
        </is>
      </c>
      <c r="B913" s="31" t="n">
        <v>78.5</v>
      </c>
    </row>
    <row r="914">
      <c r="A914" s="4" t="inlineStr">
        <is>
          <t>04/04/2008</t>
        </is>
      </c>
      <c r="B914" s="31" t="n">
        <v>78.53</v>
      </c>
    </row>
    <row r="915">
      <c r="A915" s="4" t="inlineStr">
        <is>
          <t>07/04/2008</t>
        </is>
      </c>
      <c r="B915" s="31" t="n">
        <v>78.59</v>
      </c>
    </row>
    <row r="916">
      <c r="A916" s="4" t="inlineStr">
        <is>
          <t>08/04/2008</t>
        </is>
      </c>
      <c r="B916" s="31" t="n">
        <v>78.87</v>
      </c>
    </row>
    <row r="917">
      <c r="A917" s="4" t="inlineStr">
        <is>
          <t>09/04/2008</t>
        </is>
      </c>
      <c r="B917" s="31" t="n">
        <v>79.73</v>
      </c>
    </row>
    <row r="918">
      <c r="A918" s="4" t="inlineStr">
        <is>
          <t>10/04/2008</t>
        </is>
      </c>
      <c r="B918" s="31" t="n">
        <v>79.76000000000001</v>
      </c>
    </row>
    <row r="919">
      <c r="A919" s="4" t="inlineStr">
        <is>
          <t>11/04/2008</t>
        </is>
      </c>
      <c r="B919" s="31" t="n">
        <v>80.44</v>
      </c>
    </row>
    <row r="920">
      <c r="A920" s="4" t="inlineStr">
        <is>
          <t>14/04/2008</t>
        </is>
      </c>
      <c r="B920" s="31" t="n">
        <v>81.23</v>
      </c>
    </row>
    <row r="921">
      <c r="A921" s="4" t="inlineStr">
        <is>
          <t>15/04/2008</t>
        </is>
      </c>
      <c r="B921" s="31" t="n">
        <v>82.70999999999999</v>
      </c>
    </row>
    <row r="922">
      <c r="A922" s="4" t="inlineStr">
        <is>
          <t>16/04/2008</t>
        </is>
      </c>
      <c r="B922" s="31" t="n">
        <v>82.89</v>
      </c>
    </row>
    <row r="923">
      <c r="A923" s="4" t="inlineStr">
        <is>
          <t>17/04/2008</t>
        </is>
      </c>
      <c r="B923" s="31" t="n">
        <v>83.81</v>
      </c>
    </row>
    <row r="924">
      <c r="A924" s="4" t="inlineStr">
        <is>
          <t>18/04/2008</t>
        </is>
      </c>
      <c r="B924" s="31" t="n">
        <v>83.93000000000001</v>
      </c>
    </row>
    <row r="925">
      <c r="A925" s="4" t="inlineStr">
        <is>
          <t>22/04/2008</t>
        </is>
      </c>
      <c r="B925" s="31" t="n">
        <v>83.90000000000001</v>
      </c>
    </row>
    <row r="926">
      <c r="A926" s="4" t="inlineStr">
        <is>
          <t>23/04/2008</t>
        </is>
      </c>
      <c r="B926" s="31" t="n">
        <v>83.72</v>
      </c>
    </row>
    <row r="927">
      <c r="A927" s="4" t="inlineStr">
        <is>
          <t>24/04/2008</t>
        </is>
      </c>
      <c r="B927" s="31" t="n">
        <v>83.59999999999999</v>
      </c>
    </row>
    <row r="928">
      <c r="A928" s="4" t="inlineStr">
        <is>
          <t>25/04/2008</t>
        </is>
      </c>
      <c r="B928" s="31" t="n">
        <v>84.12</v>
      </c>
    </row>
    <row r="929">
      <c r="A929" s="4" t="inlineStr">
        <is>
          <t>28/04/2008</t>
        </is>
      </c>
      <c r="B929" s="31" t="n">
        <v>84.40000000000001</v>
      </c>
    </row>
    <row r="930">
      <c r="A930" s="4" t="inlineStr">
        <is>
          <t>29/04/2008</t>
        </is>
      </c>
      <c r="B930" s="31" t="n">
        <v>84.45999999999999</v>
      </c>
    </row>
    <row r="931">
      <c r="A931" s="4" t="inlineStr">
        <is>
          <t>30/04/2008</t>
        </is>
      </c>
      <c r="B931" s="31" t="n">
        <v>84.06</v>
      </c>
    </row>
    <row r="932">
      <c r="A932" s="4" t="inlineStr">
        <is>
          <t>02/05/2008</t>
        </is>
      </c>
      <c r="B932" s="31" t="n">
        <v>83.54000000000001</v>
      </c>
    </row>
    <row r="933">
      <c r="A933" s="4" t="inlineStr">
        <is>
          <t>05/05/2008</t>
        </is>
      </c>
      <c r="B933" s="31" t="n">
        <v>83.78</v>
      </c>
    </row>
    <row r="934">
      <c r="A934" s="4" t="inlineStr">
        <is>
          <t>06/05/2008</t>
        </is>
      </c>
      <c r="B934" s="31" t="n">
        <v>84.75</v>
      </c>
    </row>
    <row r="935">
      <c r="A935" s="4" t="inlineStr">
        <is>
          <t>07/05/2008</t>
        </is>
      </c>
      <c r="B935" s="31" t="n">
        <v>85.08</v>
      </c>
    </row>
    <row r="936">
      <c r="A936" s="4" t="inlineStr">
        <is>
          <t>08/05/2008</t>
        </is>
      </c>
      <c r="B936" s="31" t="n">
        <v>85.2</v>
      </c>
    </row>
    <row r="937">
      <c r="A937" s="4" t="inlineStr">
        <is>
          <t>09/05/2008</t>
        </is>
      </c>
      <c r="B937" s="31" t="n">
        <v>85.34999999999999</v>
      </c>
    </row>
    <row r="938">
      <c r="A938" s="4" t="inlineStr">
        <is>
          <t>12/05/2008</t>
        </is>
      </c>
      <c r="B938" s="31" t="n">
        <v>85.69</v>
      </c>
    </row>
    <row r="939">
      <c r="A939" s="4" t="inlineStr">
        <is>
          <t>13/05/2008</t>
        </is>
      </c>
      <c r="B939" s="31" t="n">
        <v>85.66</v>
      </c>
    </row>
    <row r="940">
      <c r="A940" s="4" t="inlineStr">
        <is>
          <t>14/05/2008</t>
        </is>
      </c>
      <c r="B940" s="31" t="n">
        <v>84.93000000000001</v>
      </c>
    </row>
    <row r="941">
      <c r="A941" s="4" t="inlineStr">
        <is>
          <t>15/05/2008</t>
        </is>
      </c>
      <c r="B941" s="31" t="n">
        <v>84.23999999999999</v>
      </c>
    </row>
    <row r="942">
      <c r="A942" s="4" t="inlineStr">
        <is>
          <t>16/05/2008</t>
        </is>
      </c>
      <c r="B942" s="31" t="n">
        <v>84.08</v>
      </c>
    </row>
    <row r="943">
      <c r="A943" s="4" t="inlineStr">
        <is>
          <t>19/05/2008</t>
        </is>
      </c>
      <c r="B943" s="31" t="n">
        <v>83.63</v>
      </c>
    </row>
    <row r="944">
      <c r="A944" s="4" t="inlineStr">
        <is>
          <t>20/05/2008</t>
        </is>
      </c>
      <c r="B944" s="31" t="n">
        <v>82.48</v>
      </c>
    </row>
    <row r="945">
      <c r="A945" s="4" t="inlineStr">
        <is>
          <t>21/05/2008</t>
        </is>
      </c>
      <c r="B945" s="31" t="n">
        <v>81.88</v>
      </c>
    </row>
    <row r="946">
      <c r="A946" s="4" t="inlineStr">
        <is>
          <t>23/05/2008</t>
        </is>
      </c>
      <c r="B946" s="31" t="n">
        <v>81.67</v>
      </c>
    </row>
    <row r="947">
      <c r="A947" s="4" t="inlineStr">
        <is>
          <t>26/05/2008</t>
        </is>
      </c>
      <c r="B947" s="31" t="n">
        <v>80.43000000000001</v>
      </c>
    </row>
    <row r="948">
      <c r="A948" s="4" t="inlineStr">
        <is>
          <t>27/05/2008</t>
        </is>
      </c>
      <c r="B948" s="31" t="n">
        <v>79.77</v>
      </c>
    </row>
    <row r="949">
      <c r="A949" s="4" t="inlineStr">
        <is>
          <t>28/05/2008</t>
        </is>
      </c>
      <c r="B949" s="31" t="n">
        <v>79.34</v>
      </c>
    </row>
    <row r="950">
      <c r="A950" s="4" t="inlineStr">
        <is>
          <t>29/05/2008</t>
        </is>
      </c>
      <c r="B950" s="31" t="n">
        <v>77.8</v>
      </c>
    </row>
    <row r="951">
      <c r="A951" s="4" t="inlineStr">
        <is>
          <t>30/05/2008</t>
        </is>
      </c>
      <c r="B951" s="31" t="n">
        <v>77.86</v>
      </c>
    </row>
    <row r="952">
      <c r="A952" s="4" t="inlineStr">
        <is>
          <t>02/06/2008</t>
        </is>
      </c>
      <c r="B952" s="31" t="n">
        <v>75.88</v>
      </c>
    </row>
    <row r="953">
      <c r="A953" s="4" t="inlineStr">
        <is>
          <t>03/06/2008</t>
        </is>
      </c>
      <c r="B953" s="31" t="n">
        <v>75.88</v>
      </c>
    </row>
    <row r="954">
      <c r="A954" s="4" t="inlineStr">
        <is>
          <t>04/06/2008</t>
        </is>
      </c>
      <c r="B954" s="31" t="n">
        <v>75.76000000000001</v>
      </c>
    </row>
    <row r="955">
      <c r="A955" s="4" t="inlineStr">
        <is>
          <t>05/06/2008</t>
        </is>
      </c>
      <c r="B955" s="31" t="n">
        <v>75.58</v>
      </c>
    </row>
    <row r="956">
      <c r="A956" s="4" t="inlineStr">
        <is>
          <t>06/06/2008</t>
        </is>
      </c>
      <c r="B956" s="31" t="n">
        <v>74.56999999999999</v>
      </c>
    </row>
    <row r="957">
      <c r="A957" s="4" t="inlineStr">
        <is>
          <t>09/06/2008</t>
        </is>
      </c>
      <c r="B957" s="31" t="n">
        <v>74.37</v>
      </c>
    </row>
    <row r="958">
      <c r="A958" s="4" t="inlineStr">
        <is>
          <t>10/06/2008</t>
        </is>
      </c>
      <c r="B958" s="31" t="n">
        <v>73.92</v>
      </c>
    </row>
    <row r="959">
      <c r="A959" s="4" t="inlineStr">
        <is>
          <t>11/06/2008</t>
        </is>
      </c>
      <c r="B959" s="31" t="n">
        <v>74.48999999999999</v>
      </c>
    </row>
    <row r="960">
      <c r="A960" s="4" t="inlineStr">
        <is>
          <t>12/06/2008</t>
        </is>
      </c>
      <c r="B960" s="31" t="n">
        <v>75.64</v>
      </c>
    </row>
    <row r="961">
      <c r="A961" s="4" t="inlineStr">
        <is>
          <t>13/06/2008</t>
        </is>
      </c>
      <c r="B961" s="31" t="n">
        <v>76.56</v>
      </c>
    </row>
    <row r="962">
      <c r="A962" s="4" t="inlineStr">
        <is>
          <t>16/06/2008</t>
        </is>
      </c>
      <c r="B962" s="31" t="n">
        <v>77.92</v>
      </c>
    </row>
    <row r="963">
      <c r="A963" s="4" t="inlineStr">
        <is>
          <t>17/06/2008</t>
        </is>
      </c>
      <c r="B963" s="31" t="n">
        <v>80.02</v>
      </c>
    </row>
    <row r="964">
      <c r="A964" s="4" t="inlineStr">
        <is>
          <t>18/06/2008</t>
        </is>
      </c>
      <c r="B964" s="31" t="n">
        <v>81.23999999999999</v>
      </c>
    </row>
    <row r="965">
      <c r="A965" s="4" t="inlineStr">
        <is>
          <t>19/06/2008</t>
        </is>
      </c>
      <c r="B965" s="31" t="n">
        <v>83.45999999999999</v>
      </c>
    </row>
    <row r="966">
      <c r="A966" s="4" t="inlineStr">
        <is>
          <t>20/06/2008</t>
        </is>
      </c>
      <c r="B966" s="31" t="n">
        <v>84.29000000000001</v>
      </c>
    </row>
    <row r="967">
      <c r="A967" s="4" t="inlineStr">
        <is>
          <t>23/06/2008</t>
        </is>
      </c>
      <c r="B967" s="31" t="n">
        <v>84.76000000000001</v>
      </c>
    </row>
    <row r="968">
      <c r="A968" s="4" t="inlineStr">
        <is>
          <t>24/06/2008</t>
        </is>
      </c>
      <c r="B968" s="31" t="n">
        <v>85</v>
      </c>
    </row>
    <row r="969">
      <c r="A969" s="4" t="inlineStr">
        <is>
          <t>25/06/2008</t>
        </is>
      </c>
      <c r="B969" s="31" t="n">
        <v>85.27</v>
      </c>
    </row>
    <row r="970">
      <c r="A970" s="4" t="inlineStr">
        <is>
          <t>26/06/2008</t>
        </is>
      </c>
      <c r="B970" s="31" t="n">
        <v>85.44</v>
      </c>
    </row>
    <row r="971">
      <c r="A971" s="4" t="inlineStr">
        <is>
          <t>27/06/2008</t>
        </is>
      </c>
      <c r="B971" s="31" t="n">
        <v>85.92</v>
      </c>
    </row>
    <row r="972">
      <c r="A972" s="4" t="inlineStr">
        <is>
          <t>30/06/2008</t>
        </is>
      </c>
      <c r="B972" s="31" t="n">
        <v>85.89</v>
      </c>
    </row>
    <row r="973">
      <c r="A973" s="4" t="inlineStr">
        <is>
          <t>01/07/2008</t>
        </is>
      </c>
      <c r="B973" s="31" t="n">
        <v>84.61</v>
      </c>
    </row>
    <row r="974">
      <c r="A974" s="4" t="inlineStr">
        <is>
          <t>02/07/2008</t>
        </is>
      </c>
      <c r="B974" s="31" t="n">
        <v>84.90000000000001</v>
      </c>
    </row>
    <row r="975">
      <c r="A975" s="4" t="inlineStr">
        <is>
          <t>03/07/2008</t>
        </is>
      </c>
      <c r="B975" s="31" t="n">
        <v>84.95999999999999</v>
      </c>
    </row>
    <row r="976">
      <c r="A976" s="4" t="inlineStr">
        <is>
          <t>04/07/2008</t>
        </is>
      </c>
      <c r="B976" s="31" t="n">
        <v>84.90000000000001</v>
      </c>
    </row>
    <row r="977">
      <c r="A977" s="4" t="inlineStr">
        <is>
          <t>07/07/2008</t>
        </is>
      </c>
      <c r="B977" s="31" t="n">
        <v>84.48999999999999</v>
      </c>
    </row>
    <row r="978">
      <c r="A978" s="4" t="inlineStr">
        <is>
          <t>08/07/2008</t>
        </is>
      </c>
      <c r="B978" s="31" t="n">
        <v>84.48999999999999</v>
      </c>
    </row>
    <row r="979">
      <c r="A979" s="4" t="inlineStr">
        <is>
          <t>10/07/2008</t>
        </is>
      </c>
      <c r="B979" s="31" t="n">
        <v>83.47</v>
      </c>
    </row>
    <row r="980">
      <c r="A980" s="4" t="inlineStr">
        <is>
          <t>11/07/2008</t>
        </is>
      </c>
      <c r="B980" s="31" t="n">
        <v>83.44</v>
      </c>
    </row>
    <row r="981">
      <c r="A981" s="4" t="inlineStr">
        <is>
          <t>14/07/2008</t>
        </is>
      </c>
      <c r="B981" s="31" t="n">
        <v>82.42</v>
      </c>
    </row>
    <row r="982">
      <c r="A982" s="4" t="inlineStr">
        <is>
          <t>15/07/2008</t>
        </is>
      </c>
      <c r="B982" s="31" t="n">
        <v>82.06999999999999</v>
      </c>
    </row>
    <row r="983">
      <c r="A983" s="4" t="inlineStr">
        <is>
          <t>16/07/2008</t>
        </is>
      </c>
      <c r="B983" s="31" t="n">
        <v>82.06999999999999</v>
      </c>
    </row>
    <row r="984">
      <c r="A984" s="4" t="inlineStr">
        <is>
          <t>17/07/2008</t>
        </is>
      </c>
      <c r="B984" s="31" t="n">
        <v>81.61</v>
      </c>
    </row>
    <row r="985">
      <c r="A985" s="4" t="inlineStr">
        <is>
          <t>18/07/2008</t>
        </is>
      </c>
      <c r="B985" s="31" t="n">
        <v>80.81999999999999</v>
      </c>
    </row>
    <row r="986">
      <c r="A986" s="4" t="inlineStr">
        <is>
          <t>21/07/2008</t>
        </is>
      </c>
      <c r="B986" s="31" t="n">
        <v>80.33</v>
      </c>
    </row>
    <row r="987">
      <c r="A987" s="4" t="inlineStr">
        <is>
          <t>22/07/2008</t>
        </is>
      </c>
      <c r="B987" s="31" t="n">
        <v>79.11</v>
      </c>
    </row>
    <row r="988">
      <c r="A988" s="4" t="inlineStr">
        <is>
          <t>23/07/2008</t>
        </is>
      </c>
      <c r="B988" s="31" t="n">
        <v>78.26000000000001</v>
      </c>
    </row>
    <row r="989">
      <c r="A989" s="4" t="inlineStr">
        <is>
          <t>24/07/2008</t>
        </is>
      </c>
      <c r="B989" s="31" t="n">
        <v>77.94</v>
      </c>
    </row>
    <row r="990">
      <c r="A990" s="4" t="inlineStr">
        <is>
          <t>25/07/2008</t>
        </is>
      </c>
      <c r="B990" s="31" t="n">
        <v>76.59999999999999</v>
      </c>
    </row>
    <row r="991">
      <c r="A991" s="4" t="inlineStr">
        <is>
          <t>28/07/2008</t>
        </is>
      </c>
      <c r="B991" s="31" t="n">
        <v>75.73</v>
      </c>
    </row>
    <row r="992">
      <c r="A992" s="4" t="inlineStr">
        <is>
          <t>29/07/2008</t>
        </is>
      </c>
      <c r="B992" s="31" t="n">
        <v>75.47</v>
      </c>
    </row>
    <row r="993">
      <c r="A993" s="4" t="inlineStr">
        <is>
          <t>30/07/2008</t>
        </is>
      </c>
      <c r="B993" s="31" t="n">
        <v>74.94</v>
      </c>
    </row>
    <row r="994">
      <c r="A994" s="4" t="inlineStr">
        <is>
          <t>31/07/2008</t>
        </is>
      </c>
      <c r="B994" s="31" t="n">
        <v>74.70999999999999</v>
      </c>
    </row>
    <row r="995">
      <c r="A995" s="4" t="inlineStr">
        <is>
          <t>01/08/2008</t>
        </is>
      </c>
      <c r="B995" s="31" t="n">
        <v>74.54000000000001</v>
      </c>
    </row>
    <row r="996">
      <c r="A996" s="4" t="inlineStr">
        <is>
          <t>04/08/2008</t>
        </is>
      </c>
      <c r="B996" s="31" t="n">
        <v>74.40000000000001</v>
      </c>
    </row>
    <row r="997">
      <c r="A997" s="4" t="inlineStr">
        <is>
          <t>05/08/2008</t>
        </is>
      </c>
      <c r="B997" s="31" t="n">
        <v>73.98999999999999</v>
      </c>
    </row>
    <row r="998">
      <c r="A998" s="4" t="inlineStr">
        <is>
          <t>06/08/2008</t>
        </is>
      </c>
      <c r="B998" s="31" t="n">
        <v>73.45999999999999</v>
      </c>
    </row>
    <row r="999">
      <c r="A999" s="4" t="inlineStr">
        <is>
          <t>07/08/2008</t>
        </is>
      </c>
      <c r="B999" s="31" t="n">
        <v>72.98999999999999</v>
      </c>
    </row>
    <row r="1000">
      <c r="A1000" s="4" t="inlineStr">
        <is>
          <t>08/08/2008</t>
        </is>
      </c>
      <c r="B1000" s="31" t="n">
        <v>72.29000000000001</v>
      </c>
    </row>
    <row r="1001">
      <c r="A1001" s="4" t="inlineStr">
        <is>
          <t>11/08/2008</t>
        </is>
      </c>
      <c r="B1001" s="31" t="n">
        <v>72.12</v>
      </c>
    </row>
    <row r="1002">
      <c r="A1002" s="4" t="inlineStr">
        <is>
          <t>12/08/2008</t>
        </is>
      </c>
      <c r="B1002" s="31" t="n">
        <v>71.62</v>
      </c>
    </row>
    <row r="1003">
      <c r="A1003" s="4" t="inlineStr">
        <is>
          <t>13/08/2008</t>
        </is>
      </c>
      <c r="B1003" s="31" t="n">
        <v>71.36</v>
      </c>
    </row>
    <row r="1004">
      <c r="A1004" s="4" t="inlineStr">
        <is>
          <t>14/08/2008</t>
        </is>
      </c>
      <c r="B1004" s="31" t="n">
        <v>70.83</v>
      </c>
    </row>
    <row r="1005">
      <c r="A1005" s="4" t="inlineStr">
        <is>
          <t>15/08/2008</t>
        </is>
      </c>
      <c r="B1005" s="31" t="n">
        <v>70.22</v>
      </c>
    </row>
    <row r="1006">
      <c r="A1006" s="4" t="inlineStr">
        <is>
          <t>18/08/2008</t>
        </is>
      </c>
      <c r="B1006" s="31" t="n">
        <v>70.25</v>
      </c>
    </row>
    <row r="1007">
      <c r="A1007" s="4" t="inlineStr">
        <is>
          <t>19/08/2008</t>
        </is>
      </c>
      <c r="B1007" s="31" t="n">
        <v>69.95999999999999</v>
      </c>
    </row>
    <row r="1008">
      <c r="A1008" s="4" t="inlineStr">
        <is>
          <t>20/08/2008</t>
        </is>
      </c>
      <c r="B1008" s="31" t="n">
        <v>70.51000000000001</v>
      </c>
    </row>
    <row r="1009">
      <c r="A1009" s="4" t="inlineStr">
        <is>
          <t>21/08/2008</t>
        </is>
      </c>
      <c r="B1009" s="31" t="n">
        <v>70.59999999999999</v>
      </c>
    </row>
    <row r="1010">
      <c r="A1010" s="4" t="inlineStr">
        <is>
          <t>22/08/2008</t>
        </is>
      </c>
      <c r="B1010" s="31" t="n">
        <v>70.66</v>
      </c>
    </row>
    <row r="1011">
      <c r="A1011" s="4" t="inlineStr">
        <is>
          <t>25/08/2008</t>
        </is>
      </c>
      <c r="B1011" s="31" t="n">
        <v>70.69</v>
      </c>
    </row>
    <row r="1012">
      <c r="A1012" s="4" t="inlineStr">
        <is>
          <t>26/08/2008</t>
        </is>
      </c>
      <c r="B1012" s="31" t="n">
        <v>70.92</v>
      </c>
    </row>
    <row r="1013">
      <c r="A1013" s="4" t="inlineStr">
        <is>
          <t>27/08/2008</t>
        </is>
      </c>
      <c r="B1013" s="31" t="n">
        <v>71.56</v>
      </c>
    </row>
    <row r="1014">
      <c r="A1014" s="4" t="inlineStr">
        <is>
          <t>28/08/2008</t>
        </is>
      </c>
      <c r="B1014" s="31" t="n">
        <v>71.59</v>
      </c>
    </row>
    <row r="1015">
      <c r="A1015" s="4" t="inlineStr">
        <is>
          <t>29/08/2008</t>
        </is>
      </c>
      <c r="B1015" s="31" t="n">
        <v>71.62</v>
      </c>
    </row>
    <row r="1016">
      <c r="A1016" s="4" t="inlineStr">
        <is>
          <t>01/09/2008</t>
        </is>
      </c>
      <c r="B1016" s="31" t="n">
        <v>71.69</v>
      </c>
    </row>
    <row r="1017">
      <c r="A1017" s="4" t="inlineStr">
        <is>
          <t>02/09/2008</t>
        </is>
      </c>
      <c r="B1017" s="31" t="n">
        <v>71.19</v>
      </c>
    </row>
    <row r="1018">
      <c r="A1018" s="4" t="inlineStr">
        <is>
          <t>03/09/2008</t>
        </is>
      </c>
      <c r="B1018" s="31" t="n">
        <v>70.93000000000001</v>
      </c>
    </row>
    <row r="1019">
      <c r="A1019" s="4" t="inlineStr">
        <is>
          <t>04/09/2008</t>
        </is>
      </c>
      <c r="B1019" s="31" t="n">
        <v>70.90000000000001</v>
      </c>
    </row>
    <row r="1020">
      <c r="A1020" s="4" t="inlineStr">
        <is>
          <t>05/09/2008</t>
        </is>
      </c>
      <c r="B1020" s="31" t="n">
        <v>70.84</v>
      </c>
    </row>
    <row r="1021">
      <c r="A1021" s="4" t="inlineStr">
        <is>
          <t>08/09/2008</t>
        </is>
      </c>
      <c r="B1021" s="31" t="n">
        <v>70.87</v>
      </c>
    </row>
    <row r="1022">
      <c r="A1022" s="4" t="inlineStr">
        <is>
          <t>09/09/2008</t>
        </is>
      </c>
      <c r="B1022" s="31" t="n">
        <v>70.45999999999999</v>
      </c>
    </row>
    <row r="1023">
      <c r="A1023" s="4" t="inlineStr">
        <is>
          <t>10/09/2008</t>
        </is>
      </c>
      <c r="B1023" s="31" t="n">
        <v>70.29000000000001</v>
      </c>
    </row>
    <row r="1024">
      <c r="A1024" s="4" t="inlineStr">
        <is>
          <t>11/09/2008</t>
        </is>
      </c>
      <c r="B1024" s="31" t="n">
        <v>70.34999999999999</v>
      </c>
    </row>
    <row r="1025">
      <c r="A1025" s="4" t="inlineStr">
        <is>
          <t>12/09/2008</t>
        </is>
      </c>
      <c r="B1025" s="31" t="n">
        <v>69.38</v>
      </c>
    </row>
    <row r="1026">
      <c r="A1026" s="4" t="inlineStr">
        <is>
          <t>15/09/2008</t>
        </is>
      </c>
      <c r="B1026" s="31" t="n">
        <v>69.88</v>
      </c>
    </row>
    <row r="1027">
      <c r="A1027" s="4" t="inlineStr">
        <is>
          <t>16/09/2008</t>
        </is>
      </c>
      <c r="B1027" s="31" t="n">
        <v>69.62</v>
      </c>
    </row>
    <row r="1028">
      <c r="A1028" s="4" t="inlineStr">
        <is>
          <t>17/09/2008</t>
        </is>
      </c>
      <c r="B1028" s="31" t="n">
        <v>68.70999999999999</v>
      </c>
    </row>
    <row r="1029">
      <c r="A1029" s="4" t="inlineStr">
        <is>
          <t>18/09/2008</t>
        </is>
      </c>
      <c r="B1029" s="31" t="n">
        <v>68.25</v>
      </c>
    </row>
    <row r="1030">
      <c r="A1030" s="4" t="inlineStr">
        <is>
          <t>19/09/2008</t>
        </is>
      </c>
      <c r="B1030" s="31" t="n">
        <v>68.45</v>
      </c>
    </row>
    <row r="1031">
      <c r="A1031" s="4" t="inlineStr">
        <is>
          <t>22/09/2008</t>
        </is>
      </c>
      <c r="B1031" s="31" t="n">
        <v>67.98</v>
      </c>
    </row>
    <row r="1032">
      <c r="A1032" s="4" t="inlineStr">
        <is>
          <t>23/09/2008</t>
        </is>
      </c>
      <c r="B1032" s="31" t="n">
        <v>68.16</v>
      </c>
    </row>
    <row r="1033">
      <c r="A1033" s="4" t="inlineStr">
        <is>
          <t>24/09/2008</t>
        </is>
      </c>
      <c r="B1033" s="31" t="n">
        <v>67.87</v>
      </c>
    </row>
    <row r="1034">
      <c r="A1034" s="4" t="inlineStr">
        <is>
          <t>25/09/2008</t>
        </is>
      </c>
      <c r="B1034" s="31" t="n">
        <v>67.58</v>
      </c>
    </row>
    <row r="1035">
      <c r="A1035" s="4" t="inlineStr">
        <is>
          <t>26/09/2008</t>
        </is>
      </c>
      <c r="B1035" s="31" t="n">
        <v>67.78</v>
      </c>
    </row>
    <row r="1036">
      <c r="A1036" s="4" t="inlineStr">
        <is>
          <t>29/09/2008</t>
        </is>
      </c>
      <c r="B1036" s="31" t="n">
        <v>67.58</v>
      </c>
    </row>
    <row r="1037">
      <c r="A1037" s="4" t="inlineStr">
        <is>
          <t>30/09/2008</t>
        </is>
      </c>
      <c r="B1037" s="31" t="n">
        <v>67.05</v>
      </c>
    </row>
    <row r="1038">
      <c r="A1038" s="4" t="inlineStr">
        <is>
          <t>01/10/2008</t>
        </is>
      </c>
      <c r="B1038" s="31" t="n">
        <v>66.45999999999999</v>
      </c>
    </row>
    <row r="1039">
      <c r="A1039" s="4" t="inlineStr">
        <is>
          <t>02/10/2008</t>
        </is>
      </c>
      <c r="B1039" s="31" t="n">
        <v>66.29000000000001</v>
      </c>
    </row>
    <row r="1040">
      <c r="A1040" s="4" t="inlineStr">
        <is>
          <t>03/10/2008</t>
        </is>
      </c>
      <c r="B1040" s="31" t="n">
        <v>66.23</v>
      </c>
    </row>
    <row r="1041">
      <c r="A1041" s="4" t="inlineStr">
        <is>
          <t>06/10/2008</t>
        </is>
      </c>
      <c r="B1041" s="31" t="n">
        <v>66.03</v>
      </c>
    </row>
    <row r="1042">
      <c r="A1042" s="4" t="inlineStr">
        <is>
          <t>07/10/2008</t>
        </is>
      </c>
      <c r="B1042" s="31" t="n">
        <v>65.88</v>
      </c>
    </row>
    <row r="1043">
      <c r="A1043" s="4" t="inlineStr">
        <is>
          <t>08/10/2008</t>
        </is>
      </c>
      <c r="B1043" s="31" t="n">
        <v>65.56</v>
      </c>
    </row>
    <row r="1044">
      <c r="A1044" s="4" t="inlineStr">
        <is>
          <t>09/10/2008</t>
        </is>
      </c>
      <c r="B1044" s="31" t="n">
        <v>65.27</v>
      </c>
    </row>
    <row r="1045">
      <c r="A1045" s="4" t="inlineStr">
        <is>
          <t>10/10/2008</t>
        </is>
      </c>
      <c r="B1045" s="31" t="n">
        <v>64.98999999999999</v>
      </c>
    </row>
    <row r="1046">
      <c r="A1046" s="4" t="inlineStr">
        <is>
          <t>13/10/2008</t>
        </is>
      </c>
      <c r="B1046" s="31" t="n">
        <v>64.38</v>
      </c>
    </row>
    <row r="1047">
      <c r="A1047" s="4" t="inlineStr">
        <is>
          <t>14/10/2008</t>
        </is>
      </c>
      <c r="B1047" s="31" t="n">
        <v>64.55</v>
      </c>
    </row>
    <row r="1048">
      <c r="A1048" s="4" t="inlineStr">
        <is>
          <t>15/10/2008</t>
        </is>
      </c>
      <c r="B1048" s="31" t="n">
        <v>64.75</v>
      </c>
    </row>
    <row r="1049">
      <c r="A1049" s="4" t="inlineStr">
        <is>
          <t>16/10/2008</t>
        </is>
      </c>
      <c r="B1049" s="31" t="n">
        <v>64.73</v>
      </c>
    </row>
    <row r="1050">
      <c r="A1050" s="4" t="inlineStr">
        <is>
          <t>17/10/2008</t>
        </is>
      </c>
      <c r="B1050" s="31" t="n">
        <v>64.90000000000001</v>
      </c>
    </row>
    <row r="1051">
      <c r="A1051" s="4" t="inlineStr">
        <is>
          <t>20/10/2008</t>
        </is>
      </c>
      <c r="B1051" s="31" t="n">
        <v>64.67</v>
      </c>
    </row>
    <row r="1052">
      <c r="A1052" s="4" t="inlineStr">
        <is>
          <t>21/10/2008</t>
        </is>
      </c>
      <c r="B1052" s="31" t="n">
        <v>64.55</v>
      </c>
    </row>
    <row r="1053">
      <c r="A1053" s="4" t="inlineStr">
        <is>
          <t>22/10/2008</t>
        </is>
      </c>
      <c r="B1053" s="31" t="n">
        <v>64.15000000000001</v>
      </c>
    </row>
    <row r="1054">
      <c r="A1054" s="4" t="inlineStr">
        <is>
          <t>23/10/2008</t>
        </is>
      </c>
      <c r="B1054" s="31" t="n">
        <v>63.86</v>
      </c>
    </row>
    <row r="1055">
      <c r="A1055" s="4" t="inlineStr">
        <is>
          <t>24/10/2008</t>
        </is>
      </c>
      <c r="B1055" s="31" t="n">
        <v>63.83</v>
      </c>
    </row>
    <row r="1056">
      <c r="A1056" s="4" t="inlineStr">
        <is>
          <t>27/10/2008</t>
        </is>
      </c>
      <c r="B1056" s="31" t="n">
        <v>63.48</v>
      </c>
    </row>
    <row r="1057">
      <c r="A1057" s="4" t="inlineStr">
        <is>
          <t>28/10/2008</t>
        </is>
      </c>
      <c r="B1057" s="31" t="n">
        <v>62.76</v>
      </c>
    </row>
    <row r="1058">
      <c r="A1058" s="4" t="inlineStr">
        <is>
          <t>29/10/2008</t>
        </is>
      </c>
      <c r="B1058" s="31" t="n">
        <v>62.21</v>
      </c>
    </row>
    <row r="1059">
      <c r="A1059" s="4" t="inlineStr">
        <is>
          <t>30/10/2008</t>
        </is>
      </c>
      <c r="B1059" s="31" t="n">
        <v>61.72</v>
      </c>
    </row>
    <row r="1060">
      <c r="A1060" s="4" t="inlineStr">
        <is>
          <t>31/10/2008</t>
        </is>
      </c>
      <c r="B1060" s="31" t="n">
        <v>61.69</v>
      </c>
    </row>
    <row r="1061">
      <c r="A1061" s="4" t="inlineStr">
        <is>
          <t>03/11/2008</t>
        </is>
      </c>
      <c r="B1061" s="31" t="n">
        <v>60.63</v>
      </c>
    </row>
    <row r="1062">
      <c r="A1062" s="4" t="inlineStr">
        <is>
          <t>04/11/2008</t>
        </is>
      </c>
      <c r="B1062" s="31" t="n">
        <v>60.45</v>
      </c>
    </row>
    <row r="1063">
      <c r="A1063" s="4" t="inlineStr">
        <is>
          <t>05/11/2008</t>
        </is>
      </c>
      <c r="B1063" s="31" t="n">
        <v>60.19</v>
      </c>
    </row>
    <row r="1064">
      <c r="A1064" s="4" t="inlineStr">
        <is>
          <t>06/11/2008</t>
        </is>
      </c>
      <c r="B1064" s="31" t="n">
        <v>59.96</v>
      </c>
    </row>
    <row r="1065">
      <c r="A1065" s="4" t="inlineStr">
        <is>
          <t>07/11/2008</t>
        </is>
      </c>
      <c r="B1065" s="31" t="n">
        <v>59.85</v>
      </c>
    </row>
    <row r="1066">
      <c r="A1066" s="4" t="inlineStr">
        <is>
          <t>10/11/2008</t>
        </is>
      </c>
      <c r="B1066" s="31" t="n">
        <v>59.56</v>
      </c>
    </row>
    <row r="1067">
      <c r="A1067" s="4" t="inlineStr">
        <is>
          <t>11/11/2008</t>
        </is>
      </c>
      <c r="B1067" s="31" t="n">
        <v>59.19</v>
      </c>
    </row>
    <row r="1068">
      <c r="A1068" s="4" t="inlineStr">
        <is>
          <t>12/11/2008</t>
        </is>
      </c>
      <c r="B1068" s="31" t="n">
        <v>59.24</v>
      </c>
    </row>
    <row r="1069">
      <c r="A1069" s="4" t="inlineStr">
        <is>
          <t>13/11/2008</t>
        </is>
      </c>
      <c r="B1069" s="31" t="n">
        <v>58.93</v>
      </c>
    </row>
    <row r="1070">
      <c r="A1070" s="4" t="inlineStr">
        <is>
          <t>14/11/2008</t>
        </is>
      </c>
      <c r="B1070" s="31" t="n">
        <v>58.7</v>
      </c>
    </row>
    <row r="1071">
      <c r="A1071" s="4" t="inlineStr">
        <is>
          <t>17/11/2008</t>
        </is>
      </c>
      <c r="B1071" s="31" t="n">
        <v>58.52</v>
      </c>
    </row>
    <row r="1072">
      <c r="A1072" s="4" t="inlineStr">
        <is>
          <t>18/11/2008</t>
        </is>
      </c>
      <c r="B1072" s="31" t="n">
        <v>58.38</v>
      </c>
    </row>
    <row r="1073">
      <c r="A1073" s="4" t="inlineStr">
        <is>
          <t>19/11/2008</t>
        </is>
      </c>
      <c r="B1073" s="31" t="n">
        <v>58.41</v>
      </c>
    </row>
    <row r="1074">
      <c r="A1074" s="4" t="inlineStr">
        <is>
          <t>20/11/2008</t>
        </is>
      </c>
      <c r="B1074" s="31" t="n">
        <v>58.5</v>
      </c>
    </row>
    <row r="1075">
      <c r="A1075" s="4" t="inlineStr">
        <is>
          <t>21/11/2008</t>
        </is>
      </c>
      <c r="B1075" s="31" t="n">
        <v>58.67</v>
      </c>
    </row>
    <row r="1076">
      <c r="A1076" s="4" t="inlineStr">
        <is>
          <t>24/11/2008</t>
        </is>
      </c>
      <c r="B1076" s="31" t="n">
        <v>58.52</v>
      </c>
    </row>
    <row r="1077">
      <c r="A1077" s="4" t="inlineStr">
        <is>
          <t>25/11/2008</t>
        </is>
      </c>
      <c r="B1077" s="31" t="n">
        <v>58.12</v>
      </c>
    </row>
    <row r="1078">
      <c r="A1078" s="4" t="inlineStr">
        <is>
          <t>26/11/2008</t>
        </is>
      </c>
      <c r="B1078" s="31" t="n">
        <v>57.95</v>
      </c>
    </row>
    <row r="1079">
      <c r="A1079" s="4" t="inlineStr">
        <is>
          <t>27/11/2008</t>
        </is>
      </c>
      <c r="B1079" s="31" t="n">
        <v>58.09</v>
      </c>
    </row>
    <row r="1080">
      <c r="A1080" s="4" t="inlineStr">
        <is>
          <t>28/11/2008</t>
        </is>
      </c>
      <c r="B1080" s="31" t="n">
        <v>58.18</v>
      </c>
    </row>
    <row r="1081">
      <c r="A1081" s="4" t="inlineStr">
        <is>
          <t>01/12/2008</t>
        </is>
      </c>
      <c r="B1081" s="31" t="n">
        <v>58.37</v>
      </c>
    </row>
    <row r="1082">
      <c r="A1082" s="4" t="inlineStr">
        <is>
          <t>02/12/2008</t>
        </is>
      </c>
      <c r="B1082" s="31" t="n">
        <v>58.57</v>
      </c>
    </row>
    <row r="1083">
      <c r="A1083" s="4" t="inlineStr">
        <is>
          <t>03/12/2008</t>
        </is>
      </c>
      <c r="B1083" s="31" t="n">
        <v>58.69</v>
      </c>
    </row>
    <row r="1084">
      <c r="A1084" s="4" t="inlineStr">
        <is>
          <t>04/12/2008</t>
        </is>
      </c>
      <c r="B1084" s="31" t="n">
        <v>58.77</v>
      </c>
    </row>
    <row r="1085">
      <c r="A1085" s="4" t="inlineStr">
        <is>
          <t>05/12/2008</t>
        </is>
      </c>
      <c r="B1085" s="31" t="n">
        <v>58.8</v>
      </c>
    </row>
    <row r="1086">
      <c r="A1086" s="4" t="inlineStr">
        <is>
          <t>08/12/2008</t>
        </is>
      </c>
      <c r="B1086" s="31" t="n">
        <v>58.95</v>
      </c>
    </row>
    <row r="1087">
      <c r="A1087" s="4" t="inlineStr">
        <is>
          <t>09/12/2008</t>
        </is>
      </c>
      <c r="B1087" s="31" t="n">
        <v>59.29</v>
      </c>
    </row>
    <row r="1088">
      <c r="A1088" s="4" t="inlineStr">
        <is>
          <t>10/12/2008</t>
        </is>
      </c>
      <c r="B1088" s="31" t="n">
        <v>59.44</v>
      </c>
    </row>
    <row r="1089">
      <c r="A1089" s="4" t="inlineStr">
        <is>
          <t>11/12/2008</t>
        </is>
      </c>
      <c r="B1089" s="31" t="n">
        <v>59.35</v>
      </c>
    </row>
    <row r="1090">
      <c r="A1090" s="4" t="inlineStr">
        <is>
          <t>12/12/2008</t>
        </is>
      </c>
      <c r="B1090" s="31" t="n">
        <v>59.81</v>
      </c>
    </row>
    <row r="1091">
      <c r="A1091" s="4" t="inlineStr">
        <is>
          <t>15/12/2008</t>
        </is>
      </c>
      <c r="B1091" s="31" t="n">
        <v>59.9</v>
      </c>
    </row>
    <row r="1092">
      <c r="A1092" s="4" t="inlineStr">
        <is>
          <t>16/12/2008</t>
        </is>
      </c>
      <c r="B1092" s="31" t="n">
        <v>59.81</v>
      </c>
    </row>
    <row r="1093">
      <c r="A1093" s="4" t="inlineStr">
        <is>
          <t>17/12/2008</t>
        </is>
      </c>
      <c r="B1093" s="31" t="n">
        <v>59.95</v>
      </c>
    </row>
    <row r="1094">
      <c r="A1094" s="4" t="inlineStr">
        <is>
          <t>18/12/2008</t>
        </is>
      </c>
      <c r="B1094" s="31" t="n">
        <v>60.3</v>
      </c>
    </row>
    <row r="1095">
      <c r="A1095" s="4" t="inlineStr">
        <is>
          <t>19/12/2008</t>
        </is>
      </c>
      <c r="B1095" s="31" t="n">
        <v>60.65</v>
      </c>
    </row>
    <row r="1096">
      <c r="A1096" s="4" t="inlineStr">
        <is>
          <t>22/12/2008</t>
        </is>
      </c>
      <c r="B1096" s="31" t="n">
        <v>60.73</v>
      </c>
    </row>
    <row r="1097">
      <c r="A1097" s="4" t="inlineStr">
        <is>
          <t>23/12/2008</t>
        </is>
      </c>
      <c r="B1097" s="31" t="n">
        <v>60.73</v>
      </c>
    </row>
    <row r="1098">
      <c r="A1098" s="4" t="inlineStr">
        <is>
          <t>26/12/2008</t>
        </is>
      </c>
      <c r="B1098" s="31" t="n">
        <v>60.73</v>
      </c>
    </row>
    <row r="1099">
      <c r="A1099" s="4" t="inlineStr">
        <is>
          <t>29/12/2008</t>
        </is>
      </c>
      <c r="B1099" s="31" t="n">
        <v>61.4</v>
      </c>
    </row>
    <row r="1100">
      <c r="A1100" s="4" t="inlineStr">
        <is>
          <t>30/12/2008</t>
        </is>
      </c>
      <c r="B1100" s="31" t="n">
        <v>61.34</v>
      </c>
    </row>
    <row r="1101">
      <c r="A1101" s="4" t="inlineStr">
        <is>
          <t>02/01/2009</t>
        </is>
      </c>
      <c r="B1101" s="31" t="n">
        <v>61.61</v>
      </c>
    </row>
    <row r="1102">
      <c r="A1102" s="4" t="inlineStr">
        <is>
          <t>05/01/2009</t>
        </is>
      </c>
      <c r="B1102" s="31" t="n">
        <v>62.19</v>
      </c>
    </row>
    <row r="1103">
      <c r="A1103" s="4" t="inlineStr">
        <is>
          <t>06/01/2009</t>
        </is>
      </c>
      <c r="B1103" s="31" t="n">
        <v>66.06999999999999</v>
      </c>
    </row>
    <row r="1104">
      <c r="A1104" s="4" t="inlineStr">
        <is>
          <t>07/01/2009</t>
        </is>
      </c>
      <c r="B1104" s="31" t="n">
        <v>68.23999999999999</v>
      </c>
    </row>
    <row r="1105">
      <c r="A1105" s="4" t="inlineStr">
        <is>
          <t>08/01/2009</t>
        </is>
      </c>
      <c r="B1105" s="31" t="n">
        <v>69.77</v>
      </c>
    </row>
    <row r="1106">
      <c r="A1106" s="4" t="inlineStr">
        <is>
          <t>09/01/2009</t>
        </is>
      </c>
      <c r="B1106" s="31" t="n">
        <v>70.2</v>
      </c>
    </row>
    <row r="1107">
      <c r="A1107" s="4" t="inlineStr">
        <is>
          <t>12/01/2009</t>
        </is>
      </c>
      <c r="B1107" s="31" t="n">
        <v>70.29000000000001</v>
      </c>
    </row>
    <row r="1108">
      <c r="A1108" s="4" t="inlineStr">
        <is>
          <t>13/01/2009</t>
        </is>
      </c>
      <c r="B1108" s="31" t="n">
        <v>70.38</v>
      </c>
    </row>
    <row r="1109">
      <c r="A1109" s="4" t="inlineStr">
        <is>
          <t>14/01/2009</t>
        </is>
      </c>
      <c r="B1109" s="31" t="n">
        <v>70.15000000000001</v>
      </c>
    </row>
    <row r="1110">
      <c r="A1110" s="4" t="inlineStr">
        <is>
          <t>15/01/2009</t>
        </is>
      </c>
      <c r="B1110" s="31" t="n">
        <v>69.22</v>
      </c>
    </row>
    <row r="1111">
      <c r="A1111" s="4" t="inlineStr">
        <is>
          <t>16/01/2009</t>
        </is>
      </c>
      <c r="B1111" s="31" t="n">
        <v>69.13</v>
      </c>
    </row>
    <row r="1112">
      <c r="A1112" s="4" t="inlineStr">
        <is>
          <t>19/01/2009</t>
        </is>
      </c>
      <c r="B1112" s="31" t="n">
        <v>69.51000000000001</v>
      </c>
    </row>
    <row r="1113">
      <c r="A1113" s="4" t="inlineStr">
        <is>
          <t>20/01/2009</t>
        </is>
      </c>
      <c r="B1113" s="31" t="n">
        <v>69.19</v>
      </c>
    </row>
    <row r="1114">
      <c r="A1114" s="4" t="inlineStr">
        <is>
          <t>21/01/2009</t>
        </is>
      </c>
      <c r="B1114" s="31" t="n">
        <v>68.93000000000001</v>
      </c>
    </row>
    <row r="1115">
      <c r="A1115" s="4" t="inlineStr">
        <is>
          <t>22/01/2009</t>
        </is>
      </c>
      <c r="B1115" s="31" t="n">
        <v>69.45</v>
      </c>
    </row>
    <row r="1116">
      <c r="A1116" s="4" t="inlineStr">
        <is>
          <t>23/01/2009</t>
        </is>
      </c>
      <c r="B1116" s="31" t="n">
        <v>69.91</v>
      </c>
    </row>
    <row r="1117">
      <c r="A1117" s="4" t="inlineStr">
        <is>
          <t>26/01/2009</t>
        </is>
      </c>
      <c r="B1117" s="31" t="n">
        <v>69.51000000000001</v>
      </c>
    </row>
    <row r="1118">
      <c r="A1118" s="4" t="inlineStr">
        <is>
          <t>27/01/2009</t>
        </is>
      </c>
      <c r="B1118" s="31" t="n">
        <v>69.36</v>
      </c>
    </row>
    <row r="1119">
      <c r="A1119" s="4" t="inlineStr">
        <is>
          <t>28/01/2009</t>
        </is>
      </c>
      <c r="B1119" s="31" t="n">
        <v>68.61</v>
      </c>
    </row>
    <row r="1120">
      <c r="A1120" s="4" t="inlineStr">
        <is>
          <t>29/01/2009</t>
        </is>
      </c>
      <c r="B1120" s="31" t="n">
        <v>68.67</v>
      </c>
    </row>
    <row r="1121">
      <c r="A1121" s="4" t="inlineStr">
        <is>
          <t>30/01/2009</t>
        </is>
      </c>
      <c r="B1121" s="31" t="n">
        <v>67.89</v>
      </c>
    </row>
    <row r="1122">
      <c r="A1122" s="4" t="inlineStr">
        <is>
          <t>02/02/2009</t>
        </is>
      </c>
      <c r="B1122" s="31" t="n">
        <v>67.48</v>
      </c>
    </row>
    <row r="1123">
      <c r="A1123" s="4" t="inlineStr">
        <is>
          <t>03/02/2009</t>
        </is>
      </c>
      <c r="B1123" s="31" t="n">
        <v>67.51000000000001</v>
      </c>
    </row>
    <row r="1124">
      <c r="A1124" s="4" t="inlineStr">
        <is>
          <t>04/02/2009</t>
        </is>
      </c>
      <c r="B1124" s="31" t="n">
        <v>67.59999999999999</v>
      </c>
    </row>
    <row r="1125">
      <c r="A1125" s="4" t="inlineStr">
        <is>
          <t>05/02/2009</t>
        </is>
      </c>
      <c r="B1125" s="31" t="n">
        <v>66.59</v>
      </c>
    </row>
    <row r="1126">
      <c r="A1126" s="4" t="inlineStr">
        <is>
          <t>06/02/2009</t>
        </is>
      </c>
      <c r="B1126" s="31" t="n">
        <v>66.20999999999999</v>
      </c>
    </row>
    <row r="1127">
      <c r="A1127" s="4" t="inlineStr">
        <is>
          <t>09/02/2009</t>
        </is>
      </c>
      <c r="B1127" s="31" t="n">
        <v>65.89</v>
      </c>
    </row>
    <row r="1128">
      <c r="A1128" s="4" t="inlineStr">
        <is>
          <t>10/02/2009</t>
        </is>
      </c>
      <c r="B1128" s="31" t="n">
        <v>65.17</v>
      </c>
    </row>
    <row r="1129">
      <c r="A1129" s="4" t="inlineStr">
        <is>
          <t>11/02/2009</t>
        </is>
      </c>
      <c r="B1129" s="31" t="n">
        <v>64.59999999999999</v>
      </c>
    </row>
    <row r="1130">
      <c r="A1130" s="4" t="inlineStr">
        <is>
          <t>12/02/2009</t>
        </is>
      </c>
      <c r="B1130" s="31" t="n">
        <v>64.16</v>
      </c>
    </row>
    <row r="1131">
      <c r="A1131" s="4" t="inlineStr">
        <is>
          <t>13/02/2009</t>
        </is>
      </c>
      <c r="B1131" s="31" t="n">
        <v>64.08</v>
      </c>
    </row>
    <row r="1132">
      <c r="A1132" s="4" t="inlineStr">
        <is>
          <t>16/02/2009</t>
        </is>
      </c>
      <c r="B1132" s="31" t="n">
        <v>63.84</v>
      </c>
    </row>
    <row r="1133">
      <c r="A1133" s="4" t="inlineStr">
        <is>
          <t>17/02/2009</t>
        </is>
      </c>
      <c r="B1133" s="31" t="n">
        <v>63.38</v>
      </c>
    </row>
    <row r="1134">
      <c r="A1134" s="4" t="inlineStr">
        <is>
          <t>18/02/2009</t>
        </is>
      </c>
      <c r="B1134" s="31" t="n">
        <v>62.08</v>
      </c>
    </row>
    <row r="1135">
      <c r="A1135" s="4" t="inlineStr">
        <is>
          <t>19/02/2009</t>
        </is>
      </c>
      <c r="B1135" s="31" t="n">
        <v>62.23</v>
      </c>
    </row>
    <row r="1136">
      <c r="A1136" s="4" t="inlineStr">
        <is>
          <t>20/02/2009</t>
        </is>
      </c>
      <c r="B1136" s="31" t="n">
        <v>61.59</v>
      </c>
    </row>
    <row r="1137">
      <c r="A1137" s="4" t="inlineStr">
        <is>
          <t>25/02/2009</t>
        </is>
      </c>
      <c r="B1137" s="31" t="n">
        <v>61.16</v>
      </c>
    </row>
    <row r="1138">
      <c r="A1138" s="4" t="inlineStr">
        <is>
          <t>26/02/2009</t>
        </is>
      </c>
      <c r="B1138" s="31" t="n">
        <v>61.54</v>
      </c>
    </row>
    <row r="1139">
      <c r="A1139" s="4" t="inlineStr">
        <is>
          <t>27/02/2009</t>
        </is>
      </c>
      <c r="B1139" s="31" t="n">
        <v>61.28</v>
      </c>
    </row>
    <row r="1140">
      <c r="A1140" s="4" t="inlineStr">
        <is>
          <t>02/03/2009</t>
        </is>
      </c>
      <c r="B1140" s="31" t="n">
        <v>60.83</v>
      </c>
    </row>
    <row r="1141">
      <c r="A1141" s="4" t="inlineStr">
        <is>
          <t>03/03/2009</t>
        </is>
      </c>
      <c r="B1141" s="31" t="n">
        <v>60.72</v>
      </c>
    </row>
    <row r="1142">
      <c r="A1142" s="4" t="inlineStr">
        <is>
          <t>04/03/2009</t>
        </is>
      </c>
      <c r="B1142" s="31" t="n">
        <v>60.28</v>
      </c>
    </row>
    <row r="1143">
      <c r="A1143" s="4" t="inlineStr">
        <is>
          <t>05/03/2009</t>
        </is>
      </c>
      <c r="B1143" s="31" t="n">
        <v>59.96</v>
      </c>
    </row>
    <row r="1144">
      <c r="A1144" s="4" t="inlineStr">
        <is>
          <t>06/03/2009</t>
        </is>
      </c>
      <c r="B1144" s="31" t="n">
        <v>59.9</v>
      </c>
    </row>
    <row r="1145">
      <c r="A1145" s="4" t="inlineStr">
        <is>
          <t>09/03/2009</t>
        </is>
      </c>
      <c r="B1145" s="31" t="n">
        <v>59.76</v>
      </c>
    </row>
    <row r="1146">
      <c r="A1146" s="4" t="inlineStr">
        <is>
          <t>10/03/2009</t>
        </is>
      </c>
      <c r="B1146" s="31" t="n">
        <v>59.87</v>
      </c>
    </row>
    <row r="1147">
      <c r="A1147" s="4" t="inlineStr">
        <is>
          <t>11/03/2009</t>
        </is>
      </c>
      <c r="B1147" s="31" t="n">
        <v>59.41</v>
      </c>
    </row>
    <row r="1148">
      <c r="A1148" s="4" t="inlineStr">
        <is>
          <t>12/03/2009</t>
        </is>
      </c>
      <c r="B1148" s="31" t="n">
        <v>59.17</v>
      </c>
    </row>
    <row r="1149">
      <c r="A1149" s="4" t="inlineStr">
        <is>
          <t>13/03/2009</t>
        </is>
      </c>
      <c r="B1149" s="31" t="n">
        <v>59.26</v>
      </c>
    </row>
    <row r="1150">
      <c r="A1150" s="4" t="inlineStr">
        <is>
          <t>16/03/2009</t>
        </is>
      </c>
      <c r="B1150" s="31" t="n">
        <v>59.84</v>
      </c>
    </row>
    <row r="1151">
      <c r="A1151" s="4" t="inlineStr">
        <is>
          <t>17/03/2009</t>
        </is>
      </c>
      <c r="B1151" s="31" t="n">
        <v>59.58</v>
      </c>
    </row>
    <row r="1152">
      <c r="A1152" s="4" t="inlineStr">
        <is>
          <t>18/03/2009</t>
        </is>
      </c>
      <c r="B1152" s="31" t="n">
        <v>59.96</v>
      </c>
    </row>
    <row r="1153">
      <c r="A1153" s="4" t="inlineStr">
        <is>
          <t>19/03/2009</t>
        </is>
      </c>
      <c r="B1153" s="31" t="n">
        <v>59.44</v>
      </c>
    </row>
    <row r="1154">
      <c r="A1154" s="4" t="inlineStr">
        <is>
          <t>20/03/2009</t>
        </is>
      </c>
      <c r="B1154" s="31" t="n">
        <v>59.32</v>
      </c>
    </row>
    <row r="1155">
      <c r="A1155" s="4" t="inlineStr">
        <is>
          <t>23/03/2009</t>
        </is>
      </c>
      <c r="B1155" s="31" t="n">
        <v>59.38</v>
      </c>
    </row>
    <row r="1156">
      <c r="A1156" s="4" t="inlineStr">
        <is>
          <t>24/03/2009</t>
        </is>
      </c>
      <c r="B1156" s="31" t="n">
        <v>59.61</v>
      </c>
    </row>
    <row r="1157">
      <c r="A1157" s="4" t="inlineStr">
        <is>
          <t>25/03/2009</t>
        </is>
      </c>
      <c r="B1157" s="31" t="n">
        <v>60.1</v>
      </c>
    </row>
    <row r="1158">
      <c r="A1158" s="4" t="inlineStr">
        <is>
          <t>26/03/2009</t>
        </is>
      </c>
      <c r="B1158" s="31" t="n">
        <v>60.4</v>
      </c>
    </row>
    <row r="1159">
      <c r="A1159" s="4" t="inlineStr">
        <is>
          <t>27/03/2009</t>
        </is>
      </c>
      <c r="B1159" s="31" t="n">
        <v>60.45</v>
      </c>
    </row>
    <row r="1160">
      <c r="A1160" s="4" t="inlineStr">
        <is>
          <t>30/03/2009</t>
        </is>
      </c>
      <c r="B1160" s="31" t="n">
        <v>60.54</v>
      </c>
    </row>
    <row r="1161">
      <c r="A1161" s="4" t="inlineStr">
        <is>
          <t>31/03/2009</t>
        </is>
      </c>
      <c r="B1161" s="31" t="n">
        <v>61.03</v>
      </c>
    </row>
    <row r="1162">
      <c r="A1162" s="4" t="inlineStr">
        <is>
          <t>01/04/2009</t>
        </is>
      </c>
      <c r="B1162" s="31" t="n">
        <v>61.18</v>
      </c>
    </row>
    <row r="1163">
      <c r="A1163" s="4" t="inlineStr">
        <is>
          <t>02/04/2009</t>
        </is>
      </c>
      <c r="B1163" s="31" t="n">
        <v>61.24</v>
      </c>
    </row>
    <row r="1164">
      <c r="A1164" s="4" t="inlineStr">
        <is>
          <t>03/04/2009</t>
        </is>
      </c>
      <c r="B1164" s="31" t="n">
        <v>61.18</v>
      </c>
    </row>
    <row r="1165">
      <c r="A1165" s="4" t="inlineStr">
        <is>
          <t>06/04/2009</t>
        </is>
      </c>
      <c r="B1165" s="31" t="n">
        <v>61.18</v>
      </c>
    </row>
    <row r="1166">
      <c r="A1166" s="4" t="inlineStr">
        <is>
          <t>07/04/2009</t>
        </is>
      </c>
      <c r="B1166" s="31" t="n">
        <v>61.27</v>
      </c>
    </row>
    <row r="1167">
      <c r="A1167" s="4" t="inlineStr">
        <is>
          <t>08/04/2009</t>
        </is>
      </c>
      <c r="B1167" s="31" t="n">
        <v>61.42</v>
      </c>
    </row>
    <row r="1168">
      <c r="A1168" s="4" t="inlineStr">
        <is>
          <t>09/04/2009</t>
        </is>
      </c>
      <c r="B1168" s="31" t="n">
        <v>61.51</v>
      </c>
    </row>
    <row r="1169">
      <c r="A1169" s="4" t="inlineStr">
        <is>
          <t>13/04/2009</t>
        </is>
      </c>
      <c r="B1169" s="31" t="n">
        <v>61.04</v>
      </c>
    </row>
    <row r="1170">
      <c r="A1170" s="4" t="inlineStr">
        <is>
          <t>14/04/2009</t>
        </is>
      </c>
      <c r="B1170" s="31" t="n">
        <v>61.07</v>
      </c>
    </row>
    <row r="1171">
      <c r="A1171" s="4" t="inlineStr">
        <is>
          <t>15/04/2009</t>
        </is>
      </c>
      <c r="B1171" s="31" t="n">
        <v>61.24</v>
      </c>
    </row>
    <row r="1172">
      <c r="A1172" s="4" t="inlineStr">
        <is>
          <t>16/04/2009</t>
        </is>
      </c>
      <c r="B1172" s="31" t="n">
        <v>61.45</v>
      </c>
    </row>
    <row r="1173">
      <c r="A1173" s="4" t="inlineStr">
        <is>
          <t>17/04/2009</t>
        </is>
      </c>
      <c r="B1173" s="31" t="n">
        <v>61.68</v>
      </c>
    </row>
    <row r="1174">
      <c r="A1174" s="4" t="inlineStr">
        <is>
          <t>20/04/2009</t>
        </is>
      </c>
      <c r="B1174" s="31" t="n">
        <v>61.85</v>
      </c>
    </row>
    <row r="1175">
      <c r="A1175" s="4" t="inlineStr">
        <is>
          <t>22/04/2009</t>
        </is>
      </c>
      <c r="B1175" s="31" t="n">
        <v>61.94</v>
      </c>
    </row>
    <row r="1176">
      <c r="A1176" s="4" t="inlineStr">
        <is>
          <t>23/04/2009</t>
        </is>
      </c>
      <c r="B1176" s="31" t="n">
        <v>62.67</v>
      </c>
    </row>
    <row r="1177">
      <c r="A1177" s="4" t="inlineStr">
        <is>
          <t>24/04/2009</t>
        </is>
      </c>
      <c r="B1177" s="31" t="n">
        <v>63.14</v>
      </c>
    </row>
    <row r="1178">
      <c r="A1178" s="4" t="inlineStr">
        <is>
          <t>27/04/2009</t>
        </is>
      </c>
      <c r="B1178" s="31" t="n">
        <v>63.22</v>
      </c>
    </row>
    <row r="1179">
      <c r="A1179" s="4" t="inlineStr">
        <is>
          <t>28/04/2009</t>
        </is>
      </c>
      <c r="B1179" s="31" t="n">
        <v>63.63</v>
      </c>
    </row>
    <row r="1180">
      <c r="A1180" s="4" t="inlineStr">
        <is>
          <t>29/04/2009</t>
        </is>
      </c>
      <c r="B1180" s="31" t="n">
        <v>63.95</v>
      </c>
    </row>
    <row r="1181">
      <c r="A1181" s="4" t="inlineStr">
        <is>
          <t>30/04/2009</t>
        </is>
      </c>
      <c r="B1181" s="31" t="n">
        <v>64.18000000000001</v>
      </c>
    </row>
    <row r="1182">
      <c r="A1182" s="4" t="inlineStr">
        <is>
          <t>04/05/2009</t>
        </is>
      </c>
      <c r="B1182" s="31" t="n">
        <v>64.52</v>
      </c>
    </row>
    <row r="1183">
      <c r="A1183" s="4" t="inlineStr">
        <is>
          <t>05/05/2009</t>
        </is>
      </c>
      <c r="B1183" s="31" t="n">
        <v>64.81</v>
      </c>
    </row>
    <row r="1184">
      <c r="A1184" s="4" t="inlineStr">
        <is>
          <t>06/05/2009</t>
        </is>
      </c>
      <c r="B1184" s="31" t="n">
        <v>64.98999999999999</v>
      </c>
    </row>
    <row r="1185">
      <c r="A1185" s="4" t="inlineStr">
        <is>
          <t>07/05/2009</t>
        </is>
      </c>
      <c r="B1185" s="31" t="n">
        <v>65.34</v>
      </c>
    </row>
    <row r="1186">
      <c r="A1186" s="4" t="inlineStr">
        <is>
          <t>08/05/2009</t>
        </is>
      </c>
      <c r="B1186" s="31" t="n">
        <v>65.40000000000001</v>
      </c>
    </row>
    <row r="1187">
      <c r="A1187" s="4" t="inlineStr">
        <is>
          <t>11/05/2009</t>
        </is>
      </c>
      <c r="B1187" s="31" t="n">
        <v>65.19</v>
      </c>
    </row>
    <row r="1188">
      <c r="A1188" s="4" t="inlineStr">
        <is>
          <t>12/05/2009</t>
        </is>
      </c>
      <c r="B1188" s="31" t="n">
        <v>64.90000000000001</v>
      </c>
    </row>
    <row r="1189">
      <c r="A1189" s="4" t="inlineStr">
        <is>
          <t>13/05/2009</t>
        </is>
      </c>
      <c r="B1189" s="31" t="n">
        <v>64.81</v>
      </c>
    </row>
    <row r="1190">
      <c r="A1190" s="4" t="inlineStr">
        <is>
          <t>14/05/2009</t>
        </is>
      </c>
      <c r="B1190" s="31" t="n">
        <v>64.61</v>
      </c>
    </row>
    <row r="1191">
      <c r="A1191" s="4" t="inlineStr">
        <is>
          <t>15/05/2009</t>
        </is>
      </c>
      <c r="B1191" s="31" t="n">
        <v>64.40000000000001</v>
      </c>
    </row>
    <row r="1192">
      <c r="A1192" s="4" t="inlineStr">
        <is>
          <t>18/05/2009</t>
        </is>
      </c>
      <c r="B1192" s="31" t="n">
        <v>64.38</v>
      </c>
    </row>
    <row r="1193">
      <c r="A1193" s="4" t="inlineStr">
        <is>
          <t>19/05/2009</t>
        </is>
      </c>
      <c r="B1193" s="31" t="n">
        <v>64.52</v>
      </c>
    </row>
    <row r="1194">
      <c r="A1194" s="4" t="inlineStr">
        <is>
          <t>20/05/2009</t>
        </is>
      </c>
      <c r="B1194" s="31" t="n">
        <v>64.78</v>
      </c>
    </row>
    <row r="1195">
      <c r="A1195" s="4" t="inlineStr">
        <is>
          <t>21/05/2009</t>
        </is>
      </c>
      <c r="B1195" s="31" t="n">
        <v>64.93000000000001</v>
      </c>
    </row>
    <row r="1196">
      <c r="A1196" s="4" t="inlineStr">
        <is>
          <t>22/05/2009</t>
        </is>
      </c>
      <c r="B1196" s="31" t="n">
        <v>64.75</v>
      </c>
    </row>
    <row r="1197">
      <c r="A1197" s="4" t="inlineStr">
        <is>
          <t>25/05/2009</t>
        </is>
      </c>
      <c r="B1197" s="31" t="n">
        <v>64.87</v>
      </c>
    </row>
    <row r="1198">
      <c r="A1198" s="4" t="inlineStr">
        <is>
          <t>26/05/2009</t>
        </is>
      </c>
      <c r="B1198" s="31" t="n">
        <v>64.95999999999999</v>
      </c>
    </row>
    <row r="1199">
      <c r="A1199" s="4" t="inlineStr">
        <is>
          <t>27/05/2009</t>
        </is>
      </c>
      <c r="B1199" s="31" t="n">
        <v>64.98999999999999</v>
      </c>
    </row>
    <row r="1200">
      <c r="A1200" s="4" t="inlineStr">
        <is>
          <t>28/05/2009</t>
        </is>
      </c>
      <c r="B1200" s="31" t="n">
        <v>65.02</v>
      </c>
    </row>
    <row r="1201">
      <c r="A1201" s="4" t="inlineStr">
        <is>
          <t>29/05/2009</t>
        </is>
      </c>
      <c r="B1201" s="31" t="n">
        <v>64.87</v>
      </c>
    </row>
    <row r="1202">
      <c r="A1202" s="4" t="inlineStr">
        <is>
          <t>01/06/2009</t>
        </is>
      </c>
      <c r="B1202" s="31" t="n">
        <v>64.91</v>
      </c>
    </row>
    <row r="1203">
      <c r="A1203" s="4" t="inlineStr">
        <is>
          <t>02/06/2009</t>
        </is>
      </c>
      <c r="B1203" s="31" t="n">
        <v>64.84999999999999</v>
      </c>
    </row>
    <row r="1204">
      <c r="A1204" s="4" t="inlineStr">
        <is>
          <t>03/06/2009</t>
        </is>
      </c>
      <c r="B1204" s="31" t="n">
        <v>64.95999999999999</v>
      </c>
    </row>
    <row r="1205">
      <c r="A1205" s="4" t="inlineStr">
        <is>
          <t>04/06/2009</t>
        </is>
      </c>
      <c r="B1205" s="31" t="n">
        <v>65.14</v>
      </c>
    </row>
    <row r="1206">
      <c r="A1206" s="4" t="inlineStr">
        <is>
          <t>05/06/2009</t>
        </is>
      </c>
      <c r="B1206" s="31" t="n">
        <v>65.45999999999999</v>
      </c>
    </row>
    <row r="1207">
      <c r="A1207" s="4" t="inlineStr">
        <is>
          <t>08/06/2009</t>
        </is>
      </c>
      <c r="B1207" s="31" t="n">
        <v>65.61</v>
      </c>
    </row>
    <row r="1208">
      <c r="A1208" s="4" t="inlineStr">
        <is>
          <t>09/06/2009</t>
        </is>
      </c>
      <c r="B1208" s="31" t="n">
        <v>65.72</v>
      </c>
    </row>
    <row r="1209">
      <c r="A1209" s="4" t="inlineStr">
        <is>
          <t>10/06/2009</t>
        </is>
      </c>
      <c r="B1209" s="31" t="n">
        <v>65.84</v>
      </c>
    </row>
    <row r="1210">
      <c r="A1210" s="4" t="inlineStr">
        <is>
          <t>12/06/2009</t>
        </is>
      </c>
      <c r="B1210" s="31" t="n">
        <v>65.90000000000001</v>
      </c>
    </row>
    <row r="1211">
      <c r="A1211" s="4" t="inlineStr">
        <is>
          <t>15/06/2009</t>
        </is>
      </c>
      <c r="B1211" s="31" t="n">
        <v>65.48999999999999</v>
      </c>
    </row>
    <row r="1212">
      <c r="A1212" s="4" t="inlineStr">
        <is>
          <t>16/06/2009</t>
        </is>
      </c>
      <c r="B1212" s="31" t="n">
        <v>65.45999999999999</v>
      </c>
    </row>
    <row r="1213">
      <c r="A1213" s="4" t="inlineStr">
        <is>
          <t>17/06/2009</t>
        </is>
      </c>
      <c r="B1213" s="31" t="n">
        <v>65.43000000000001</v>
      </c>
    </row>
    <row r="1214">
      <c r="A1214" s="4" t="inlineStr">
        <is>
          <t>18/06/2009</t>
        </is>
      </c>
      <c r="B1214" s="31" t="n">
        <v>65.31</v>
      </c>
    </row>
    <row r="1215">
      <c r="A1215" s="4" t="inlineStr">
        <is>
          <t>19/06/2009</t>
        </is>
      </c>
      <c r="B1215" s="31" t="n">
        <v>65.23</v>
      </c>
    </row>
    <row r="1216">
      <c r="A1216" s="4" t="inlineStr">
        <is>
          <t>22/06/2009</t>
        </is>
      </c>
      <c r="B1216" s="31" t="n">
        <v>64.61</v>
      </c>
    </row>
    <row r="1217">
      <c r="A1217" s="4" t="inlineStr">
        <is>
          <t>23/06/2009</t>
        </is>
      </c>
      <c r="B1217" s="31" t="n">
        <v>64.38</v>
      </c>
    </row>
    <row r="1218">
      <c r="A1218" s="4" t="inlineStr">
        <is>
          <t>24/06/2009</t>
        </is>
      </c>
      <c r="B1218" s="31" t="n">
        <v>64</v>
      </c>
    </row>
    <row r="1219">
      <c r="A1219" s="4" t="inlineStr">
        <is>
          <t>25/06/2009</t>
        </is>
      </c>
      <c r="B1219" s="31" t="n">
        <v>63.94</v>
      </c>
    </row>
    <row r="1220">
      <c r="A1220" s="4" t="inlineStr">
        <is>
          <t>26/06/2009</t>
        </is>
      </c>
      <c r="B1220" s="31" t="n">
        <v>63.83</v>
      </c>
    </row>
    <row r="1221">
      <c r="A1221" s="4" t="inlineStr">
        <is>
          <t>29/06/2009</t>
        </is>
      </c>
      <c r="B1221" s="31" t="n">
        <v>63.39</v>
      </c>
    </row>
    <row r="1222">
      <c r="A1222" s="4" t="inlineStr">
        <is>
          <t>30/06/2009</t>
        </is>
      </c>
      <c r="B1222" s="31" t="n">
        <v>63.19</v>
      </c>
    </row>
    <row r="1223">
      <c r="A1223" s="4" t="inlineStr">
        <is>
          <t>01/07/2009</t>
        </is>
      </c>
      <c r="B1223" s="31" t="n">
        <v>63.16</v>
      </c>
    </row>
    <row r="1224">
      <c r="A1224" s="4" t="inlineStr">
        <is>
          <t>02/07/2009</t>
        </is>
      </c>
      <c r="B1224" s="31" t="n">
        <v>62.87</v>
      </c>
    </row>
    <row r="1225">
      <c r="A1225" s="4" t="inlineStr">
        <is>
          <t>03/07/2009</t>
        </is>
      </c>
      <c r="B1225" s="31" t="n">
        <v>62.87</v>
      </c>
    </row>
    <row r="1226">
      <c r="A1226" s="4" t="inlineStr">
        <is>
          <t>06/07/2009</t>
        </is>
      </c>
      <c r="B1226" s="31" t="n">
        <v>62.61</v>
      </c>
    </row>
    <row r="1227">
      <c r="A1227" s="4" t="inlineStr">
        <is>
          <t>07/07/2009</t>
        </is>
      </c>
      <c r="B1227" s="31" t="n">
        <v>62.29</v>
      </c>
    </row>
    <row r="1228">
      <c r="A1228" s="4" t="inlineStr">
        <is>
          <t>08/07/2009</t>
        </is>
      </c>
      <c r="B1228" s="31" t="n">
        <v>61.64</v>
      </c>
    </row>
    <row r="1229">
      <c r="A1229" s="4" t="inlineStr">
        <is>
          <t>10/07/2009</t>
        </is>
      </c>
      <c r="B1229" s="31" t="n">
        <v>60.76</v>
      </c>
    </row>
    <row r="1230">
      <c r="A1230" s="4" t="inlineStr">
        <is>
          <t>13/07/2009</t>
        </is>
      </c>
      <c r="B1230" s="31" t="n">
        <v>60.47</v>
      </c>
    </row>
    <row r="1231">
      <c r="A1231" s="4" t="inlineStr">
        <is>
          <t>14/07/2009</t>
        </is>
      </c>
      <c r="B1231" s="31" t="n">
        <v>59.94</v>
      </c>
    </row>
    <row r="1232">
      <c r="A1232" s="4" t="inlineStr">
        <is>
          <t>15/07/2009</t>
        </is>
      </c>
      <c r="B1232" s="31" t="n">
        <v>59.83</v>
      </c>
    </row>
    <row r="1233">
      <c r="A1233" s="4" t="inlineStr">
        <is>
          <t>16/07/2009</t>
        </is>
      </c>
      <c r="B1233" s="31" t="n">
        <v>59.74</v>
      </c>
    </row>
    <row r="1234">
      <c r="A1234" s="4" t="inlineStr">
        <is>
          <t>17/07/2009</t>
        </is>
      </c>
      <c r="B1234" s="31" t="n">
        <v>59.53</v>
      </c>
    </row>
    <row r="1235">
      <c r="A1235" s="4" t="inlineStr">
        <is>
          <t>20/07/2009</t>
        </is>
      </c>
      <c r="B1235" s="31" t="n">
        <v>59.53</v>
      </c>
    </row>
    <row r="1236">
      <c r="A1236" s="4" t="inlineStr">
        <is>
          <t>21/07/2009</t>
        </is>
      </c>
      <c r="B1236" s="31" t="n">
        <v>59.39</v>
      </c>
    </row>
    <row r="1237">
      <c r="A1237" s="4" t="inlineStr">
        <is>
          <t>22/07/2009</t>
        </is>
      </c>
      <c r="B1237" s="31" t="n">
        <v>59.18</v>
      </c>
    </row>
    <row r="1238">
      <c r="A1238" s="4" t="inlineStr">
        <is>
          <t>23/07/2009</t>
        </is>
      </c>
      <c r="B1238" s="31" t="n">
        <v>59.15</v>
      </c>
    </row>
    <row r="1239">
      <c r="A1239" s="4" t="inlineStr">
        <is>
          <t>24/07/2009</t>
        </is>
      </c>
      <c r="B1239" s="31" t="n">
        <v>58.95</v>
      </c>
    </row>
    <row r="1240">
      <c r="A1240" s="4" t="inlineStr">
        <is>
          <t>27/07/2009</t>
        </is>
      </c>
      <c r="B1240" s="31" t="n">
        <v>58.83</v>
      </c>
    </row>
    <row r="1241">
      <c r="A1241" s="4" t="inlineStr">
        <is>
          <t>28/07/2009</t>
        </is>
      </c>
      <c r="B1241" s="31" t="n">
        <v>58.68</v>
      </c>
    </row>
    <row r="1242">
      <c r="A1242" s="4" t="inlineStr">
        <is>
          <t>29/07/2009</t>
        </is>
      </c>
      <c r="B1242" s="31" t="n">
        <v>58.65</v>
      </c>
    </row>
    <row r="1243">
      <c r="A1243" s="4" t="inlineStr">
        <is>
          <t>30/07/2009</t>
        </is>
      </c>
      <c r="B1243" s="31" t="n">
        <v>58.33</v>
      </c>
    </row>
    <row r="1244">
      <c r="A1244" s="4" t="inlineStr">
        <is>
          <t>31/07/2009</t>
        </is>
      </c>
      <c r="B1244" s="31" t="n">
        <v>58.07</v>
      </c>
    </row>
    <row r="1245">
      <c r="A1245" s="4" t="inlineStr">
        <is>
          <t>03/08/2009</t>
        </is>
      </c>
      <c r="B1245" s="31" t="n">
        <v>57.84</v>
      </c>
    </row>
    <row r="1246">
      <c r="A1246" s="4" t="inlineStr">
        <is>
          <t>04/08/2009</t>
        </is>
      </c>
      <c r="B1246" s="31" t="n">
        <v>57.84</v>
      </c>
    </row>
    <row r="1247">
      <c r="A1247" s="4" t="inlineStr">
        <is>
          <t>05/08/2009</t>
        </is>
      </c>
      <c r="B1247" s="31" t="n">
        <v>57.34</v>
      </c>
    </row>
    <row r="1248">
      <c r="A1248" s="4" t="inlineStr">
        <is>
          <t>06/08/2009</t>
        </is>
      </c>
      <c r="B1248" s="31" t="n">
        <v>57.37</v>
      </c>
    </row>
    <row r="1249">
      <c r="A1249" s="4" t="inlineStr">
        <is>
          <t>07/08/2009</t>
        </is>
      </c>
      <c r="B1249" s="31" t="n">
        <v>57.54</v>
      </c>
    </row>
    <row r="1250">
      <c r="A1250" s="4" t="inlineStr">
        <is>
          <t>10/08/2009</t>
        </is>
      </c>
      <c r="B1250" s="31" t="n">
        <v>57.54</v>
      </c>
    </row>
    <row r="1251">
      <c r="A1251" s="4" t="inlineStr">
        <is>
          <t>11/08/2009</t>
        </is>
      </c>
      <c r="B1251" s="31" t="n">
        <v>57.04</v>
      </c>
    </row>
    <row r="1252">
      <c r="A1252" s="4" t="inlineStr">
        <is>
          <t>12/08/2009</t>
        </is>
      </c>
      <c r="B1252" s="31" t="n">
        <v>57.37</v>
      </c>
    </row>
    <row r="1253">
      <c r="A1253" s="4" t="inlineStr">
        <is>
          <t>13/08/2009</t>
        </is>
      </c>
      <c r="B1253" s="31" t="n">
        <v>57.13</v>
      </c>
    </row>
    <row r="1254">
      <c r="A1254" s="4" t="inlineStr">
        <is>
          <t>14/08/2009</t>
        </is>
      </c>
      <c r="B1254" s="31" t="n">
        <v>56.87</v>
      </c>
    </row>
    <row r="1255">
      <c r="A1255" s="4" t="inlineStr">
        <is>
          <t>17/08/2009</t>
        </is>
      </c>
      <c r="B1255" s="31" t="n">
        <v>56.98</v>
      </c>
    </row>
    <row r="1256">
      <c r="A1256" s="4" t="inlineStr">
        <is>
          <t>18/08/2009</t>
        </is>
      </c>
      <c r="B1256" s="31" t="n">
        <v>56.66</v>
      </c>
    </row>
    <row r="1257">
      <c r="A1257" s="4" t="inlineStr">
        <is>
          <t>19/08/2009</t>
        </is>
      </c>
      <c r="B1257" s="31" t="n">
        <v>56.72</v>
      </c>
    </row>
    <row r="1258">
      <c r="A1258" s="4" t="inlineStr">
        <is>
          <t>20/08/2009</t>
        </is>
      </c>
      <c r="B1258" s="31" t="n">
        <v>57.04</v>
      </c>
    </row>
    <row r="1259">
      <c r="A1259" s="4" t="inlineStr">
        <is>
          <t>21/08/2009</t>
        </is>
      </c>
      <c r="B1259" s="31" t="n">
        <v>56.95</v>
      </c>
    </row>
    <row r="1260">
      <c r="A1260" s="4" t="inlineStr">
        <is>
          <t>24/08/2009</t>
        </is>
      </c>
      <c r="B1260" s="31" t="n">
        <v>56.81</v>
      </c>
    </row>
    <row r="1261">
      <c r="A1261" s="4" t="inlineStr">
        <is>
          <t>25/08/2009</t>
        </is>
      </c>
      <c r="B1261" s="31" t="n">
        <v>56.81</v>
      </c>
    </row>
    <row r="1262">
      <c r="A1262" s="4" t="inlineStr">
        <is>
          <t>26/08/2009</t>
        </is>
      </c>
      <c r="B1262" s="31" t="n">
        <v>56.72</v>
      </c>
    </row>
    <row r="1263">
      <c r="A1263" s="4" t="inlineStr">
        <is>
          <t>27/08/2009</t>
        </is>
      </c>
      <c r="B1263" s="31" t="n">
        <v>56.75</v>
      </c>
    </row>
    <row r="1264">
      <c r="A1264" s="4" t="inlineStr">
        <is>
          <t>28/08/2009</t>
        </is>
      </c>
      <c r="B1264" s="31" t="n">
        <v>56.81</v>
      </c>
    </row>
    <row r="1265">
      <c r="A1265" s="4" t="inlineStr">
        <is>
          <t>31/08/2009</t>
        </is>
      </c>
      <c r="B1265" s="31" t="n">
        <v>56.72</v>
      </c>
    </row>
    <row r="1266">
      <c r="A1266" s="4" t="inlineStr">
        <is>
          <t>01/09/2009</t>
        </is>
      </c>
      <c r="B1266" s="31" t="n">
        <v>56.42</v>
      </c>
    </row>
    <row r="1267">
      <c r="A1267" s="4" t="inlineStr">
        <is>
          <t>02/09/2009</t>
        </is>
      </c>
      <c r="B1267" s="31" t="n">
        <v>56.19</v>
      </c>
    </row>
    <row r="1268">
      <c r="A1268" s="4" t="inlineStr">
        <is>
          <t>03/09/2009</t>
        </is>
      </c>
      <c r="B1268" s="31" t="n">
        <v>56.13</v>
      </c>
    </row>
    <row r="1269">
      <c r="A1269" s="4" t="inlineStr">
        <is>
          <t>04/09/2009</t>
        </is>
      </c>
      <c r="B1269" s="31" t="n">
        <v>56.01</v>
      </c>
    </row>
    <row r="1270">
      <c r="A1270" s="4" t="inlineStr">
        <is>
          <t>08/09/2009</t>
        </is>
      </c>
      <c r="B1270" s="31" t="n">
        <v>55.93</v>
      </c>
    </row>
    <row r="1271">
      <c r="A1271" s="4" t="inlineStr">
        <is>
          <t>09/09/2009</t>
        </is>
      </c>
      <c r="B1271" s="31" t="n">
        <v>55.87</v>
      </c>
    </row>
    <row r="1272">
      <c r="A1272" s="4" t="inlineStr">
        <is>
          <t>10/09/2009</t>
        </is>
      </c>
      <c r="B1272" s="31" t="n">
        <v>55.95</v>
      </c>
    </row>
    <row r="1273">
      <c r="A1273" s="4" t="inlineStr">
        <is>
          <t>11/09/2009</t>
        </is>
      </c>
      <c r="B1273" s="31" t="n">
        <v>55.49</v>
      </c>
    </row>
    <row r="1274">
      <c r="A1274" s="4" t="inlineStr">
        <is>
          <t>14/09/2009</t>
        </is>
      </c>
      <c r="B1274" s="31" t="n">
        <v>55.63</v>
      </c>
    </row>
    <row r="1275">
      <c r="A1275" s="4" t="inlineStr">
        <is>
          <t>15/09/2009</t>
        </is>
      </c>
      <c r="B1275" s="31" t="n">
        <v>55.4</v>
      </c>
    </row>
    <row r="1276">
      <c r="A1276" s="4" t="inlineStr">
        <is>
          <t>16/09/2009</t>
        </is>
      </c>
      <c r="B1276" s="31" t="n">
        <v>55.54</v>
      </c>
    </row>
    <row r="1277">
      <c r="A1277" s="4" t="inlineStr">
        <is>
          <t>17/09/2009</t>
        </is>
      </c>
      <c r="B1277" s="31" t="n">
        <v>55.02</v>
      </c>
    </row>
    <row r="1278">
      <c r="A1278" s="4" t="inlineStr">
        <is>
          <t>18/09/2009</t>
        </is>
      </c>
      <c r="B1278" s="31" t="n">
        <v>55.34</v>
      </c>
    </row>
    <row r="1279">
      <c r="A1279" s="4" t="inlineStr">
        <is>
          <t>21/09/2009</t>
        </is>
      </c>
      <c r="B1279" s="31" t="n">
        <v>55.63</v>
      </c>
    </row>
    <row r="1280">
      <c r="A1280" s="4" t="inlineStr">
        <is>
          <t>22/09/2009</t>
        </is>
      </c>
      <c r="B1280" s="31" t="n">
        <v>55.78</v>
      </c>
    </row>
    <row r="1281">
      <c r="A1281" s="4" t="inlineStr">
        <is>
          <t>23/09/2009</t>
        </is>
      </c>
      <c r="B1281" s="31" t="n">
        <v>56.31</v>
      </c>
    </row>
    <row r="1282">
      <c r="A1282" s="4" t="inlineStr">
        <is>
          <t>24/09/2009</t>
        </is>
      </c>
      <c r="B1282" s="31" t="n">
        <v>56.19</v>
      </c>
    </row>
    <row r="1283">
      <c r="A1283" s="4" t="inlineStr">
        <is>
          <t>25/09/2009</t>
        </is>
      </c>
      <c r="B1283" s="31" t="n">
        <v>56.42</v>
      </c>
    </row>
    <row r="1284">
      <c r="A1284" s="4" t="inlineStr">
        <is>
          <t>28/09/2009</t>
        </is>
      </c>
      <c r="B1284" s="31" t="n">
        <v>56.77</v>
      </c>
    </row>
    <row r="1285">
      <c r="A1285" s="4" t="inlineStr">
        <is>
          <t>29/09/2009</t>
        </is>
      </c>
      <c r="B1285" s="31" t="n">
        <v>56.89</v>
      </c>
    </row>
    <row r="1286">
      <c r="A1286" s="4" t="inlineStr">
        <is>
          <t>30/09/2009</t>
        </is>
      </c>
      <c r="B1286" s="31" t="n">
        <v>57.04</v>
      </c>
    </row>
    <row r="1287">
      <c r="A1287" s="4" t="inlineStr">
        <is>
          <t>01/10/2009</t>
        </is>
      </c>
      <c r="B1287" s="31" t="n">
        <v>57.48</v>
      </c>
    </row>
    <row r="1288">
      <c r="A1288" s="4" t="inlineStr">
        <is>
          <t>02/10/2009</t>
        </is>
      </c>
      <c r="B1288" s="31" t="n">
        <v>57.62</v>
      </c>
    </row>
    <row r="1289">
      <c r="A1289" s="4" t="inlineStr">
        <is>
          <t>05/10/2009</t>
        </is>
      </c>
      <c r="B1289" s="31" t="n">
        <v>58.38</v>
      </c>
    </row>
    <row r="1290">
      <c r="A1290" s="4" t="inlineStr">
        <is>
          <t>06/10/2009</t>
        </is>
      </c>
      <c r="B1290" s="31" t="n">
        <v>58.97</v>
      </c>
    </row>
    <row r="1291">
      <c r="A1291" s="4" t="inlineStr">
        <is>
          <t>07/10/2009</t>
        </is>
      </c>
      <c r="B1291" s="31" t="n">
        <v>59.12</v>
      </c>
    </row>
    <row r="1292">
      <c r="A1292" s="4" t="inlineStr">
        <is>
          <t>08/10/2009</t>
        </is>
      </c>
      <c r="B1292" s="31" t="n">
        <v>60.55</v>
      </c>
    </row>
    <row r="1293">
      <c r="A1293" s="4" t="inlineStr">
        <is>
          <t>09/10/2009</t>
        </is>
      </c>
      <c r="B1293" s="31" t="n">
        <v>60.67</v>
      </c>
    </row>
    <row r="1294">
      <c r="A1294" s="4" t="inlineStr">
        <is>
          <t>13/10/2009</t>
        </is>
      </c>
      <c r="B1294" s="31" t="n">
        <v>60.76</v>
      </c>
    </row>
    <row r="1295">
      <c r="A1295" s="4" t="inlineStr">
        <is>
          <t>14/10/2009</t>
        </is>
      </c>
      <c r="B1295" s="31" t="n">
        <v>60.81</v>
      </c>
    </row>
    <row r="1296">
      <c r="A1296" s="4" t="inlineStr">
        <is>
          <t>15/10/2009</t>
        </is>
      </c>
      <c r="B1296" s="31" t="n">
        <v>60.58</v>
      </c>
    </row>
    <row r="1297">
      <c r="A1297" s="4" t="inlineStr">
        <is>
          <t>16/10/2009</t>
        </is>
      </c>
      <c r="B1297" s="31" t="n">
        <v>60.81</v>
      </c>
    </row>
    <row r="1298">
      <c r="A1298" s="4" t="inlineStr">
        <is>
          <t>19/10/2009</t>
        </is>
      </c>
      <c r="B1298" s="31" t="n">
        <v>60.67</v>
      </c>
    </row>
    <row r="1299">
      <c r="A1299" s="4" t="inlineStr">
        <is>
          <t>20/10/2009</t>
        </is>
      </c>
      <c r="B1299" s="31" t="n">
        <v>60.84</v>
      </c>
    </row>
    <row r="1300">
      <c r="A1300" s="4" t="inlineStr">
        <is>
          <t>21/10/2009</t>
        </is>
      </c>
      <c r="B1300" s="31" t="n">
        <v>60.67</v>
      </c>
    </row>
    <row r="1301">
      <c r="A1301" s="4" t="inlineStr">
        <is>
          <t>22/10/2009</t>
        </is>
      </c>
      <c r="B1301" s="31" t="n">
        <v>60.73</v>
      </c>
    </row>
    <row r="1302">
      <c r="A1302" s="4" t="inlineStr">
        <is>
          <t>23/10/2009</t>
        </is>
      </c>
      <c r="B1302" s="31" t="n">
        <v>60.9</v>
      </c>
    </row>
    <row r="1303">
      <c r="A1303" s="4" t="inlineStr">
        <is>
          <t>26/10/2009</t>
        </is>
      </c>
      <c r="B1303" s="31" t="n">
        <v>61.11</v>
      </c>
    </row>
    <row r="1304">
      <c r="A1304" s="4" t="inlineStr">
        <is>
          <t>27/10/2009</t>
        </is>
      </c>
      <c r="B1304" s="31" t="n">
        <v>61.19</v>
      </c>
    </row>
    <row r="1305">
      <c r="A1305" s="4" t="inlineStr">
        <is>
          <t>28/10/2009</t>
        </is>
      </c>
      <c r="B1305" s="31" t="n">
        <v>61.37</v>
      </c>
    </row>
    <row r="1306">
      <c r="A1306" s="4" t="inlineStr">
        <is>
          <t>29/10/2009</t>
        </is>
      </c>
      <c r="B1306" s="31" t="n">
        <v>61.52</v>
      </c>
    </row>
    <row r="1307">
      <c r="A1307" s="4" t="inlineStr">
        <is>
          <t>30/10/2009</t>
        </is>
      </c>
      <c r="B1307" s="31" t="n">
        <v>61.52</v>
      </c>
    </row>
    <row r="1308">
      <c r="A1308" s="4" t="inlineStr">
        <is>
          <t>03/11/2009</t>
        </is>
      </c>
      <c r="B1308" s="31" t="n">
        <v>61.25</v>
      </c>
    </row>
    <row r="1309">
      <c r="A1309" s="4" t="inlineStr">
        <is>
          <t>04/11/2009</t>
        </is>
      </c>
      <c r="B1309" s="31" t="n">
        <v>60.96</v>
      </c>
    </row>
    <row r="1310">
      <c r="A1310" s="4" t="inlineStr">
        <is>
          <t>05/11/2009</t>
        </is>
      </c>
      <c r="B1310" s="31" t="n">
        <v>60.4</v>
      </c>
    </row>
    <row r="1311">
      <c r="A1311" s="4" t="inlineStr">
        <is>
          <t>06/11/2009</t>
        </is>
      </c>
      <c r="B1311" s="31" t="n">
        <v>60.52</v>
      </c>
    </row>
    <row r="1312">
      <c r="A1312" s="4" t="inlineStr">
        <is>
          <t>09/11/2009</t>
        </is>
      </c>
      <c r="B1312" s="31" t="n">
        <v>60.87</v>
      </c>
    </row>
    <row r="1313">
      <c r="A1313" s="4" t="inlineStr">
        <is>
          <t>10/11/2009</t>
        </is>
      </c>
      <c r="B1313" s="31" t="n">
        <v>60.43</v>
      </c>
    </row>
    <row r="1314">
      <c r="A1314" s="4" t="inlineStr">
        <is>
          <t>11/11/2009</t>
        </is>
      </c>
      <c r="B1314" s="31" t="n">
        <v>60.55</v>
      </c>
    </row>
    <row r="1315">
      <c r="A1315" s="4" t="inlineStr">
        <is>
          <t>12/11/2009</t>
        </is>
      </c>
      <c r="B1315" s="31" t="n">
        <v>60.11</v>
      </c>
    </row>
    <row r="1316">
      <c r="A1316" s="4" t="inlineStr">
        <is>
          <t>13/11/2009</t>
        </is>
      </c>
      <c r="B1316" s="31" t="n">
        <v>60.23</v>
      </c>
    </row>
    <row r="1317">
      <c r="A1317" s="4" t="inlineStr">
        <is>
          <t>16/11/2009</t>
        </is>
      </c>
      <c r="B1317" s="31" t="n">
        <v>60.26</v>
      </c>
    </row>
    <row r="1318">
      <c r="A1318" s="4" t="inlineStr">
        <is>
          <t>17/11/2009</t>
        </is>
      </c>
      <c r="B1318" s="31" t="n">
        <v>60.08</v>
      </c>
    </row>
    <row r="1319">
      <c r="A1319" s="4" t="inlineStr">
        <is>
          <t>18/11/2009</t>
        </is>
      </c>
      <c r="B1319" s="31" t="n">
        <v>59.67</v>
      </c>
    </row>
    <row r="1320">
      <c r="A1320" s="4" t="inlineStr">
        <is>
          <t>19/11/2009</t>
        </is>
      </c>
      <c r="B1320" s="31" t="n">
        <v>59.2</v>
      </c>
    </row>
    <row r="1321">
      <c r="A1321" s="4" t="inlineStr">
        <is>
          <t>20/11/2009</t>
        </is>
      </c>
      <c r="B1321" s="31" t="n">
        <v>59.03</v>
      </c>
    </row>
    <row r="1322">
      <c r="A1322" s="4" t="inlineStr">
        <is>
          <t>23/11/2009</t>
        </is>
      </c>
      <c r="B1322" s="31" t="n">
        <v>59.09</v>
      </c>
    </row>
    <row r="1323">
      <c r="A1323" s="4" t="inlineStr">
        <is>
          <t>24/11/2009</t>
        </is>
      </c>
      <c r="B1323" s="31" t="n">
        <v>58.47</v>
      </c>
    </row>
    <row r="1324">
      <c r="A1324" s="4" t="inlineStr">
        <is>
          <t>25/11/2009</t>
        </is>
      </c>
      <c r="B1324" s="31" t="n">
        <v>58.27</v>
      </c>
    </row>
    <row r="1325">
      <c r="A1325" s="4" t="inlineStr">
        <is>
          <t>26/11/2009</t>
        </is>
      </c>
      <c r="B1325" s="31" t="n">
        <v>58.06</v>
      </c>
    </row>
    <row r="1326">
      <c r="A1326" s="4" t="inlineStr">
        <is>
          <t>27/11/2009</t>
        </is>
      </c>
      <c r="B1326" s="31" t="n">
        <v>58.21</v>
      </c>
    </row>
    <row r="1327">
      <c r="A1327" s="4" t="inlineStr">
        <is>
          <t>30/11/2009</t>
        </is>
      </c>
      <c r="B1327" s="31" t="n">
        <v>57.89</v>
      </c>
    </row>
    <row r="1328">
      <c r="A1328" s="4" t="inlineStr">
        <is>
          <t>01/12/2009</t>
        </is>
      </c>
      <c r="B1328" s="31" t="n">
        <v>57.86</v>
      </c>
    </row>
    <row r="1329">
      <c r="A1329" s="4" t="inlineStr">
        <is>
          <t>02/12/2009</t>
        </is>
      </c>
      <c r="B1329" s="31" t="n">
        <v>58.04</v>
      </c>
    </row>
    <row r="1330">
      <c r="A1330" s="4" t="inlineStr">
        <is>
          <t>03/12/2009</t>
        </is>
      </c>
      <c r="B1330" s="31" t="n">
        <v>57.28</v>
      </c>
    </row>
    <row r="1331">
      <c r="A1331" s="4" t="inlineStr">
        <is>
          <t>04/12/2009</t>
        </is>
      </c>
      <c r="B1331" s="31" t="n">
        <v>57.75</v>
      </c>
    </row>
    <row r="1332">
      <c r="A1332" s="4" t="inlineStr">
        <is>
          <t>07/12/2009</t>
        </is>
      </c>
      <c r="B1332" s="31" t="n">
        <v>57.72</v>
      </c>
    </row>
    <row r="1333">
      <c r="A1333" s="4" t="inlineStr">
        <is>
          <t>08/12/2009</t>
        </is>
      </c>
      <c r="B1333" s="31" t="n">
        <v>57.63</v>
      </c>
    </row>
    <row r="1334">
      <c r="A1334" s="4" t="inlineStr">
        <is>
          <t>09/12/2009</t>
        </is>
      </c>
      <c r="B1334" s="31" t="n">
        <v>57.63</v>
      </c>
    </row>
    <row r="1335">
      <c r="A1335" s="4" t="inlineStr">
        <is>
          <t>10/12/2009</t>
        </is>
      </c>
      <c r="B1335" s="31" t="n">
        <v>58.6</v>
      </c>
    </row>
    <row r="1336">
      <c r="A1336" s="4" t="inlineStr">
        <is>
          <t>11/12/2009</t>
        </is>
      </c>
      <c r="B1336" s="31" t="n">
        <v>58.68</v>
      </c>
    </row>
    <row r="1337">
      <c r="A1337" s="4" t="inlineStr">
        <is>
          <t>14/12/2009</t>
        </is>
      </c>
      <c r="B1337" s="31" t="n">
        <v>58.45</v>
      </c>
    </row>
    <row r="1338">
      <c r="A1338" s="4" t="inlineStr">
        <is>
          <t>15/12/2009</t>
        </is>
      </c>
      <c r="B1338" s="31" t="n">
        <v>58.36</v>
      </c>
    </row>
    <row r="1339">
      <c r="A1339" s="4" t="inlineStr">
        <is>
          <t>16/12/2009</t>
        </is>
      </c>
      <c r="B1339" s="31" t="n">
        <v>59.33</v>
      </c>
    </row>
    <row r="1340">
      <c r="A1340" s="4" t="inlineStr">
        <is>
          <t>17/12/2009</t>
        </is>
      </c>
      <c r="B1340" s="31" t="n">
        <v>59.62</v>
      </c>
    </row>
    <row r="1341">
      <c r="A1341" s="4" t="inlineStr">
        <is>
          <t>18/12/2009</t>
        </is>
      </c>
      <c r="B1341" s="31" t="n">
        <v>59.86</v>
      </c>
    </row>
    <row r="1342">
      <c r="A1342" s="4" t="inlineStr">
        <is>
          <t>21/12/2009</t>
        </is>
      </c>
      <c r="B1342" s="31" t="n">
        <v>59.77</v>
      </c>
    </row>
    <row r="1343">
      <c r="A1343" s="4" t="inlineStr">
        <is>
          <t>22/12/2009</t>
        </is>
      </c>
      <c r="B1343" s="31" t="n">
        <v>59.36</v>
      </c>
    </row>
    <row r="1344">
      <c r="A1344" s="4" t="inlineStr">
        <is>
          <t>23/12/2009</t>
        </is>
      </c>
      <c r="B1344" s="31" t="n">
        <v>59.8</v>
      </c>
    </row>
    <row r="1345">
      <c r="A1345" s="4" t="inlineStr">
        <is>
          <t>28/12/2009</t>
        </is>
      </c>
      <c r="B1345" s="31" t="n">
        <v>59.48</v>
      </c>
    </row>
    <row r="1346">
      <c r="A1346" s="4" t="inlineStr">
        <is>
          <t>29/12/2009</t>
        </is>
      </c>
      <c r="B1346" s="31" t="n">
        <v>59.39</v>
      </c>
    </row>
    <row r="1347">
      <c r="A1347" s="4" t="inlineStr">
        <is>
          <t>30/12/2009</t>
        </is>
      </c>
      <c r="B1347" s="31" t="n">
        <v>59.04</v>
      </c>
    </row>
    <row r="1348">
      <c r="A1348" s="4" t="inlineStr">
        <is>
          <t>04/01/2010</t>
        </is>
      </c>
      <c r="B1348" s="31" t="n">
        <v>59.39</v>
      </c>
    </row>
    <row r="1349">
      <c r="A1349" s="4" t="inlineStr">
        <is>
          <t>05/01/2010</t>
        </is>
      </c>
      <c r="B1349" s="31" t="n">
        <v>59.42</v>
      </c>
    </row>
    <row r="1350">
      <c r="A1350" s="4" t="inlineStr">
        <is>
          <t>06/01/2010</t>
        </is>
      </c>
      <c r="B1350" s="31" t="n">
        <v>58.99</v>
      </c>
    </row>
    <row r="1351">
      <c r="A1351" s="4" t="inlineStr">
        <is>
          <t>07/01/2010</t>
        </is>
      </c>
      <c r="B1351" s="31" t="n">
        <v>59.07</v>
      </c>
    </row>
    <row r="1352">
      <c r="A1352" s="4" t="inlineStr">
        <is>
          <t>08/01/2010</t>
        </is>
      </c>
      <c r="B1352" s="31" t="n">
        <v>58.78</v>
      </c>
    </row>
    <row r="1353">
      <c r="A1353" s="4" t="inlineStr">
        <is>
          <t>11/01/2010</t>
        </is>
      </c>
      <c r="B1353" s="31" t="n">
        <v>58.81</v>
      </c>
    </row>
    <row r="1354">
      <c r="A1354" s="4" t="inlineStr">
        <is>
          <t>12/01/2010</t>
        </is>
      </c>
      <c r="B1354" s="31" t="n">
        <v>57.94</v>
      </c>
    </row>
    <row r="1355">
      <c r="A1355" s="4" t="inlineStr">
        <is>
          <t>13/01/2010</t>
        </is>
      </c>
      <c r="B1355" s="31" t="n">
        <v>56.92</v>
      </c>
    </row>
    <row r="1356">
      <c r="A1356" s="4" t="inlineStr">
        <is>
          <t>14/01/2010</t>
        </is>
      </c>
      <c r="B1356" s="31" t="n">
        <v>57.36</v>
      </c>
    </row>
    <row r="1357">
      <c r="A1357" s="4" t="inlineStr">
        <is>
          <t>15/01/2010</t>
        </is>
      </c>
      <c r="B1357" s="31" t="n">
        <v>57.3</v>
      </c>
    </row>
    <row r="1358">
      <c r="A1358" s="4" t="inlineStr">
        <is>
          <t>18/01/2010</t>
        </is>
      </c>
      <c r="B1358" s="31" t="n">
        <v>57.15</v>
      </c>
    </row>
    <row r="1359">
      <c r="A1359" s="4" t="inlineStr">
        <is>
          <t>19/01/2010</t>
        </is>
      </c>
      <c r="B1359" s="31" t="n">
        <v>56.8</v>
      </c>
    </row>
    <row r="1360">
      <c r="A1360" s="4" t="inlineStr">
        <is>
          <t>20/01/2010</t>
        </is>
      </c>
      <c r="B1360" s="31" t="n">
        <v>56.51</v>
      </c>
    </row>
    <row r="1361">
      <c r="A1361" s="4" t="inlineStr">
        <is>
          <t>21/01/2010</t>
        </is>
      </c>
      <c r="B1361" s="31" t="n">
        <v>56.13</v>
      </c>
    </row>
    <row r="1362">
      <c r="A1362" s="4" t="inlineStr">
        <is>
          <t>22/01/2010</t>
        </is>
      </c>
      <c r="B1362" s="31" t="n">
        <v>56.19</v>
      </c>
    </row>
    <row r="1363">
      <c r="A1363" s="4" t="inlineStr">
        <is>
          <t>25/01/2010</t>
        </is>
      </c>
      <c r="B1363" s="31" t="n">
        <v>55.52</v>
      </c>
    </row>
    <row r="1364">
      <c r="A1364" s="4" t="inlineStr">
        <is>
          <t>26/01/2010</t>
        </is>
      </c>
      <c r="B1364" s="31" t="n">
        <v>55.78</v>
      </c>
    </row>
    <row r="1365">
      <c r="A1365" s="4" t="inlineStr">
        <is>
          <t>27/01/2010</t>
        </is>
      </c>
      <c r="B1365" s="31" t="n">
        <v>55.93</v>
      </c>
    </row>
    <row r="1366">
      <c r="A1366" s="4" t="inlineStr">
        <is>
          <t>28/01/2010</t>
        </is>
      </c>
      <c r="B1366" s="31" t="n">
        <v>55.87</v>
      </c>
    </row>
    <row r="1367">
      <c r="A1367" s="4" t="inlineStr">
        <is>
          <t>29/01/2010</t>
        </is>
      </c>
      <c r="B1367" s="31" t="n">
        <v>55.64</v>
      </c>
    </row>
    <row r="1368">
      <c r="A1368" s="4" t="inlineStr">
        <is>
          <t>01/02/2010</t>
        </is>
      </c>
      <c r="B1368" s="31" t="n">
        <v>54.93</v>
      </c>
    </row>
    <row r="1369">
      <c r="A1369" s="4" t="inlineStr">
        <is>
          <t>02/02/2010</t>
        </is>
      </c>
      <c r="B1369" s="31" t="n">
        <v>54.61</v>
      </c>
    </row>
    <row r="1370">
      <c r="A1370" s="4" t="inlineStr">
        <is>
          <t>03/02/2010</t>
        </is>
      </c>
      <c r="B1370" s="31" t="n">
        <v>54.56</v>
      </c>
    </row>
    <row r="1371">
      <c r="A1371" s="4" t="inlineStr">
        <is>
          <t>04/02/2010</t>
        </is>
      </c>
      <c r="B1371" s="31" t="n">
        <v>54.04</v>
      </c>
    </row>
    <row r="1372">
      <c r="A1372" s="4" t="inlineStr">
        <is>
          <t>05/02/2010</t>
        </is>
      </c>
      <c r="B1372" s="31" t="n">
        <v>53.63</v>
      </c>
    </row>
    <row r="1373">
      <c r="A1373" s="4" t="inlineStr">
        <is>
          <t>08/02/2010</t>
        </is>
      </c>
      <c r="B1373" s="31" t="n">
        <v>53.61</v>
      </c>
    </row>
    <row r="1374">
      <c r="A1374" s="4" t="inlineStr">
        <is>
          <t>09/02/2010</t>
        </is>
      </c>
      <c r="B1374" s="31" t="n">
        <v>53</v>
      </c>
    </row>
    <row r="1375">
      <c r="A1375" s="4" t="inlineStr">
        <is>
          <t>10/02/2010</t>
        </is>
      </c>
      <c r="B1375" s="31" t="n">
        <v>51.96</v>
      </c>
    </row>
    <row r="1376">
      <c r="A1376" s="4" t="inlineStr">
        <is>
          <t>11/02/2010</t>
        </is>
      </c>
      <c r="B1376" s="31" t="n">
        <v>52.17</v>
      </c>
    </row>
    <row r="1377">
      <c r="A1377" s="4" t="inlineStr">
        <is>
          <t>12/02/2010</t>
        </is>
      </c>
      <c r="B1377" s="31" t="n">
        <v>51.91</v>
      </c>
    </row>
    <row r="1378">
      <c r="A1378" s="4" t="inlineStr">
        <is>
          <t>17/02/2010</t>
        </is>
      </c>
      <c r="B1378" s="31" t="n">
        <v>52.02</v>
      </c>
    </row>
    <row r="1379">
      <c r="A1379" s="4" t="inlineStr">
        <is>
          <t>18/02/2010</t>
        </is>
      </c>
      <c r="B1379" s="31" t="n">
        <v>51.88</v>
      </c>
    </row>
    <row r="1380">
      <c r="A1380" s="4" t="inlineStr">
        <is>
          <t>19/02/2010</t>
        </is>
      </c>
      <c r="B1380" s="31" t="n">
        <v>52.11</v>
      </c>
    </row>
    <row r="1381">
      <c r="A1381" s="4" t="inlineStr">
        <is>
          <t>22/02/2010</t>
        </is>
      </c>
      <c r="B1381" s="31" t="n">
        <v>51.82</v>
      </c>
    </row>
    <row r="1382">
      <c r="A1382" s="4" t="inlineStr">
        <is>
          <t>23/02/2010</t>
        </is>
      </c>
      <c r="B1382" s="31" t="n">
        <v>52.08</v>
      </c>
    </row>
    <row r="1383">
      <c r="A1383" s="4" t="inlineStr">
        <is>
          <t>24/02/2010</t>
        </is>
      </c>
      <c r="B1383" s="31" t="n">
        <v>51.96</v>
      </c>
    </row>
    <row r="1384">
      <c r="A1384" s="4" t="inlineStr">
        <is>
          <t>25/02/2010</t>
        </is>
      </c>
      <c r="B1384" s="31" t="n">
        <v>52.11</v>
      </c>
    </row>
    <row r="1385">
      <c r="A1385" s="4" t="inlineStr">
        <is>
          <t>26/02/2010</t>
        </is>
      </c>
      <c r="B1385" s="31" t="n">
        <v>52.34</v>
      </c>
    </row>
    <row r="1386">
      <c r="A1386" s="4" t="inlineStr">
        <is>
          <t>01/03/2010</t>
        </is>
      </c>
      <c r="B1386" s="31" t="n">
        <v>51.74</v>
      </c>
    </row>
    <row r="1387">
      <c r="A1387" s="4" t="inlineStr">
        <is>
          <t>02/03/2010</t>
        </is>
      </c>
      <c r="B1387" s="31" t="n">
        <v>51.65</v>
      </c>
    </row>
    <row r="1388">
      <c r="A1388" s="4" t="inlineStr">
        <is>
          <t>03/03/2010</t>
        </is>
      </c>
      <c r="B1388" s="31" t="n">
        <v>52.42</v>
      </c>
    </row>
    <row r="1389">
      <c r="A1389" s="4" t="inlineStr">
        <is>
          <t>04/03/2010</t>
        </is>
      </c>
      <c r="B1389" s="31" t="n">
        <v>52.59</v>
      </c>
    </row>
    <row r="1390">
      <c r="A1390" s="4" t="inlineStr">
        <is>
          <t>05/03/2010</t>
        </is>
      </c>
      <c r="B1390" s="31" t="n">
        <v>52.68</v>
      </c>
    </row>
    <row r="1391">
      <c r="A1391" s="4" t="inlineStr">
        <is>
          <t>08/03/2010</t>
        </is>
      </c>
      <c r="B1391" s="31" t="n">
        <v>52.62</v>
      </c>
    </row>
    <row r="1392">
      <c r="A1392" s="4" t="inlineStr">
        <is>
          <t>09/03/2010</t>
        </is>
      </c>
      <c r="B1392" s="31" t="n">
        <v>52.88</v>
      </c>
    </row>
    <row r="1393">
      <c r="A1393" s="4" t="inlineStr">
        <is>
          <t>10/03/2010</t>
        </is>
      </c>
      <c r="B1393" s="31" t="n">
        <v>52.99</v>
      </c>
    </row>
    <row r="1394">
      <c r="A1394" s="4" t="inlineStr">
        <is>
          <t>11/03/2010</t>
        </is>
      </c>
      <c r="B1394" s="31" t="n">
        <v>53.28</v>
      </c>
    </row>
    <row r="1395">
      <c r="A1395" s="4" t="inlineStr">
        <is>
          <t>12/03/2010</t>
        </is>
      </c>
      <c r="B1395" s="31" t="n">
        <v>53.22</v>
      </c>
    </row>
    <row r="1396">
      <c r="A1396" s="4" t="inlineStr">
        <is>
          <t>15/03/2010</t>
        </is>
      </c>
      <c r="B1396" s="31" t="n">
        <v>53.31</v>
      </c>
    </row>
    <row r="1397">
      <c r="A1397" s="4" t="inlineStr">
        <is>
          <t>16/03/2010</t>
        </is>
      </c>
      <c r="B1397" s="31" t="n">
        <v>53.19</v>
      </c>
    </row>
    <row r="1398">
      <c r="A1398" s="4" t="inlineStr">
        <is>
          <t>17/03/2010</t>
        </is>
      </c>
      <c r="B1398" s="31" t="n">
        <v>53.16</v>
      </c>
    </row>
    <row r="1399">
      <c r="A1399" s="4" t="inlineStr">
        <is>
          <t>18/03/2010</t>
        </is>
      </c>
      <c r="B1399" s="31" t="n">
        <v>53.02</v>
      </c>
    </row>
    <row r="1400">
      <c r="A1400" s="4" t="inlineStr">
        <is>
          <t>19/03/2010</t>
        </is>
      </c>
      <c r="B1400" s="31" t="n">
        <v>52.76</v>
      </c>
    </row>
    <row r="1401">
      <c r="A1401" s="4" t="inlineStr">
        <is>
          <t>22/03/2010</t>
        </is>
      </c>
      <c r="B1401" s="31" t="n">
        <v>53.13</v>
      </c>
    </row>
    <row r="1402">
      <c r="A1402" s="4" t="inlineStr">
        <is>
          <t>23/03/2010</t>
        </is>
      </c>
      <c r="B1402" s="31" t="n">
        <v>52.94</v>
      </c>
    </row>
    <row r="1403">
      <c r="A1403" s="4" t="inlineStr">
        <is>
          <t>24/03/2010</t>
        </is>
      </c>
      <c r="B1403" s="31" t="n">
        <v>52.99</v>
      </c>
    </row>
    <row r="1404">
      <c r="A1404" s="4" t="inlineStr">
        <is>
          <t>25/03/2010</t>
        </is>
      </c>
      <c r="B1404" s="31" t="n">
        <v>52.08</v>
      </c>
    </row>
    <row r="1405">
      <c r="A1405" s="4" t="inlineStr">
        <is>
          <t>26/03/2010</t>
        </is>
      </c>
      <c r="B1405" s="31" t="n">
        <v>52.82</v>
      </c>
    </row>
    <row r="1406">
      <c r="A1406" s="4" t="inlineStr">
        <is>
          <t>29/03/2010</t>
        </is>
      </c>
      <c r="B1406" s="31" t="n">
        <v>51.91</v>
      </c>
    </row>
    <row r="1407">
      <c r="A1407" s="4" t="inlineStr">
        <is>
          <t>30/03/2010</t>
        </is>
      </c>
      <c r="B1407" s="31" t="n">
        <v>52.08</v>
      </c>
    </row>
    <row r="1408">
      <c r="A1408" s="4" t="inlineStr">
        <is>
          <t>31/03/2010</t>
        </is>
      </c>
      <c r="B1408" s="31" t="n">
        <v>51.99</v>
      </c>
    </row>
    <row r="1409">
      <c r="A1409" s="4" t="inlineStr">
        <is>
          <t>01/04/2010</t>
        </is>
      </c>
      <c r="B1409" s="31" t="n">
        <v>51.82</v>
      </c>
    </row>
    <row r="1410">
      <c r="A1410" s="4" t="inlineStr">
        <is>
          <t>05/04/2010</t>
        </is>
      </c>
      <c r="B1410" s="31" t="n">
        <v>51.6</v>
      </c>
    </row>
    <row r="1411">
      <c r="A1411" s="4" t="inlineStr">
        <is>
          <t>06/04/2010</t>
        </is>
      </c>
      <c r="B1411" s="31" t="n">
        <v>51.74</v>
      </c>
    </row>
    <row r="1412">
      <c r="A1412" s="4" t="inlineStr">
        <is>
          <t>07/04/2010</t>
        </is>
      </c>
      <c r="B1412" s="31" t="n">
        <v>51.46</v>
      </c>
    </row>
    <row r="1413">
      <c r="A1413" s="4" t="inlineStr">
        <is>
          <t>08/04/2010</t>
        </is>
      </c>
      <c r="B1413" s="31" t="n">
        <v>51.71</v>
      </c>
    </row>
    <row r="1414">
      <c r="A1414" s="4" t="inlineStr">
        <is>
          <t>09/04/2010</t>
        </is>
      </c>
      <c r="B1414" s="31" t="n">
        <v>51.65</v>
      </c>
    </row>
    <row r="1415">
      <c r="A1415" s="4" t="inlineStr">
        <is>
          <t>12/04/2010</t>
        </is>
      </c>
      <c r="B1415" s="31" t="n">
        <v>51.85</v>
      </c>
    </row>
    <row r="1416">
      <c r="A1416" s="4" t="inlineStr">
        <is>
          <t>13/04/2010</t>
        </is>
      </c>
      <c r="B1416" s="31" t="n">
        <v>51.71</v>
      </c>
    </row>
    <row r="1417">
      <c r="A1417" s="4" t="inlineStr">
        <is>
          <t>14/04/2010</t>
        </is>
      </c>
      <c r="B1417" s="31" t="n">
        <v>51.51</v>
      </c>
    </row>
    <row r="1418">
      <c r="A1418" s="4" t="inlineStr">
        <is>
          <t>15/04/2010</t>
        </is>
      </c>
      <c r="B1418" s="31" t="n">
        <v>51.46</v>
      </c>
    </row>
    <row r="1419">
      <c r="A1419" s="4" t="inlineStr">
        <is>
          <t>16/04/2010</t>
        </is>
      </c>
      <c r="B1419" s="31" t="n">
        <v>51.34</v>
      </c>
    </row>
    <row r="1420">
      <c r="A1420" s="4" t="inlineStr">
        <is>
          <t>19/04/2010</t>
        </is>
      </c>
      <c r="B1420" s="31" t="n">
        <v>51.09</v>
      </c>
    </row>
    <row r="1421">
      <c r="A1421" s="4" t="inlineStr">
        <is>
          <t>20/04/2010</t>
        </is>
      </c>
      <c r="B1421" s="31" t="n">
        <v>51.17</v>
      </c>
    </row>
    <row r="1422">
      <c r="A1422" s="4" t="inlineStr">
        <is>
          <t>22/04/2010</t>
        </is>
      </c>
      <c r="B1422" s="31" t="n">
        <v>51.4</v>
      </c>
    </row>
    <row r="1423">
      <c r="A1423" s="4" t="inlineStr">
        <is>
          <t>23/04/2010</t>
        </is>
      </c>
      <c r="B1423" s="31" t="n">
        <v>51.09</v>
      </c>
    </row>
    <row r="1424">
      <c r="A1424" s="4" t="inlineStr">
        <is>
          <t>26/04/2010</t>
        </is>
      </c>
      <c r="B1424" s="31" t="n">
        <v>51.12</v>
      </c>
    </row>
    <row r="1425">
      <c r="A1425" s="4" t="inlineStr">
        <is>
          <t>27/04/2010</t>
        </is>
      </c>
      <c r="B1425" s="31" t="n">
        <v>51.06</v>
      </c>
    </row>
    <row r="1426">
      <c r="A1426" s="4" t="inlineStr">
        <is>
          <t>28/04/2010</t>
        </is>
      </c>
      <c r="B1426" s="31" t="n">
        <v>50.97</v>
      </c>
    </row>
    <row r="1427">
      <c r="A1427" s="4" t="inlineStr">
        <is>
          <t>29/04/2010</t>
        </is>
      </c>
      <c r="B1427" s="31" t="n">
        <v>50.97</v>
      </c>
    </row>
    <row r="1428">
      <c r="A1428" s="4" t="inlineStr">
        <is>
          <t>30/04/2010</t>
        </is>
      </c>
      <c r="B1428" s="31" t="n">
        <v>51.06</v>
      </c>
    </row>
    <row r="1429">
      <c r="A1429" s="4" t="inlineStr">
        <is>
          <t>03/05/2010</t>
        </is>
      </c>
      <c r="B1429" s="31" t="n">
        <v>50.26</v>
      </c>
    </row>
    <row r="1430">
      <c r="A1430" s="4" t="inlineStr">
        <is>
          <t>04/05/2010</t>
        </is>
      </c>
      <c r="B1430" s="31" t="n">
        <v>50.68</v>
      </c>
    </row>
    <row r="1431">
      <c r="A1431" s="4" t="inlineStr">
        <is>
          <t>05/05/2010</t>
        </is>
      </c>
      <c r="B1431" s="31" t="n">
        <v>50.65</v>
      </c>
    </row>
    <row r="1432">
      <c r="A1432" s="4" t="inlineStr">
        <is>
          <t>06/05/2010</t>
        </is>
      </c>
      <c r="B1432" s="31" t="n">
        <v>50.88</v>
      </c>
    </row>
    <row r="1433">
      <c r="A1433" s="4" t="inlineStr">
        <is>
          <t>07/05/2010</t>
        </is>
      </c>
      <c r="B1433" s="31" t="n">
        <v>50.96</v>
      </c>
    </row>
    <row r="1434">
      <c r="A1434" s="4" t="inlineStr">
        <is>
          <t>10/05/2010</t>
        </is>
      </c>
      <c r="B1434" s="31" t="n">
        <v>51.72</v>
      </c>
    </row>
    <row r="1435">
      <c r="A1435" s="4" t="inlineStr">
        <is>
          <t>11/05/2010</t>
        </is>
      </c>
      <c r="B1435" s="31" t="n">
        <v>52.05</v>
      </c>
    </row>
    <row r="1436">
      <c r="A1436" s="4" t="inlineStr">
        <is>
          <t>12/05/2010</t>
        </is>
      </c>
      <c r="B1436" s="31" t="n">
        <v>51.47</v>
      </c>
    </row>
    <row r="1437">
      <c r="A1437" s="4" t="inlineStr">
        <is>
          <t>13/05/2010</t>
        </is>
      </c>
      <c r="B1437" s="31" t="n">
        <v>51.75</v>
      </c>
    </row>
    <row r="1438">
      <c r="A1438" s="4" t="inlineStr">
        <is>
          <t>14/05/2010</t>
        </is>
      </c>
      <c r="B1438" s="31" t="n">
        <v>52.11</v>
      </c>
    </row>
    <row r="1439">
      <c r="A1439" s="4" t="inlineStr">
        <is>
          <t>17/05/2010</t>
        </is>
      </c>
      <c r="B1439" s="31" t="n">
        <v>52.44</v>
      </c>
    </row>
    <row r="1440">
      <c r="A1440" s="4" t="inlineStr">
        <is>
          <t>18/05/2010</t>
        </is>
      </c>
      <c r="B1440" s="31" t="n">
        <v>52.19</v>
      </c>
    </row>
    <row r="1441">
      <c r="A1441" s="4" t="inlineStr">
        <is>
          <t>19/05/2010</t>
        </is>
      </c>
      <c r="B1441" s="31" t="n">
        <v>52.44</v>
      </c>
    </row>
    <row r="1442">
      <c r="A1442" s="4" t="inlineStr">
        <is>
          <t>20/05/2010</t>
        </is>
      </c>
      <c r="B1442" s="31" t="n">
        <v>52.61</v>
      </c>
    </row>
    <row r="1443">
      <c r="A1443" s="4" t="inlineStr">
        <is>
          <t>21/05/2010</t>
        </is>
      </c>
      <c r="B1443" s="31" t="n">
        <v>52.92</v>
      </c>
    </row>
    <row r="1444">
      <c r="A1444" s="4" t="inlineStr">
        <is>
          <t>24/05/2010</t>
        </is>
      </c>
      <c r="B1444" s="31" t="n">
        <v>53.2</v>
      </c>
    </row>
    <row r="1445">
      <c r="A1445" s="4" t="inlineStr">
        <is>
          <t>25/05/2010</t>
        </is>
      </c>
      <c r="B1445" s="31" t="n">
        <v>52.92</v>
      </c>
    </row>
    <row r="1446">
      <c r="A1446" s="4" t="inlineStr">
        <is>
          <t>26/05/2010</t>
        </is>
      </c>
      <c r="B1446" s="31" t="n">
        <v>53.65</v>
      </c>
    </row>
    <row r="1447">
      <c r="A1447" s="4" t="inlineStr">
        <is>
          <t>27/05/2010</t>
        </is>
      </c>
      <c r="B1447" s="31" t="n">
        <v>53.84</v>
      </c>
    </row>
    <row r="1448">
      <c r="A1448" s="4" t="inlineStr">
        <is>
          <t>28/05/2010</t>
        </is>
      </c>
      <c r="B1448" s="31" t="n">
        <v>53.76</v>
      </c>
    </row>
    <row r="1449">
      <c r="A1449" s="4" t="inlineStr">
        <is>
          <t>31/05/2010</t>
        </is>
      </c>
      <c r="B1449" s="31" t="n">
        <v>54.21</v>
      </c>
    </row>
    <row r="1450">
      <c r="A1450" s="4" t="inlineStr">
        <is>
          <t>01/06/2010</t>
        </is>
      </c>
      <c r="B1450" s="31" t="n">
        <v>53.94</v>
      </c>
    </row>
    <row r="1451">
      <c r="A1451" s="4" t="inlineStr">
        <is>
          <t>02/06/2010</t>
        </is>
      </c>
      <c r="B1451" s="31" t="n">
        <v>54.64</v>
      </c>
    </row>
    <row r="1452">
      <c r="A1452" s="4" t="inlineStr">
        <is>
          <t>04/06/2010</t>
        </is>
      </c>
      <c r="B1452" s="31" t="n">
        <v>54.8</v>
      </c>
    </row>
    <row r="1453">
      <c r="A1453" s="4" t="inlineStr">
        <is>
          <t>07/06/2010</t>
        </is>
      </c>
      <c r="B1453" s="31" t="n">
        <v>55.36</v>
      </c>
    </row>
    <row r="1454">
      <c r="A1454" s="4" t="inlineStr">
        <is>
          <t>08/06/2010</t>
        </is>
      </c>
      <c r="B1454" s="31" t="n">
        <v>55.41</v>
      </c>
    </row>
    <row r="1455">
      <c r="A1455" s="4" t="inlineStr">
        <is>
          <t>09/06/2010</t>
        </is>
      </c>
      <c r="B1455" s="31" t="n">
        <v>55.3</v>
      </c>
    </row>
    <row r="1456">
      <c r="A1456" s="4" t="inlineStr">
        <is>
          <t>10/06/2010</t>
        </is>
      </c>
      <c r="B1456" s="31" t="n">
        <v>54.97</v>
      </c>
    </row>
    <row r="1457">
      <c r="A1457" s="4" t="inlineStr">
        <is>
          <t>11/06/2010</t>
        </is>
      </c>
      <c r="B1457" s="31" t="n">
        <v>54.89</v>
      </c>
    </row>
    <row r="1458">
      <c r="A1458" s="4" t="inlineStr">
        <is>
          <t>14/06/2010</t>
        </is>
      </c>
      <c r="B1458" s="31" t="n">
        <v>55.16</v>
      </c>
    </row>
    <row r="1459">
      <c r="A1459" s="4" t="inlineStr">
        <is>
          <t>15/06/2010</t>
        </is>
      </c>
      <c r="B1459" s="31" t="n">
        <v>54.72</v>
      </c>
    </row>
    <row r="1460">
      <c r="A1460" s="4" t="inlineStr">
        <is>
          <t>16/06/2010</t>
        </is>
      </c>
      <c r="B1460" s="31" t="n">
        <v>54.22</v>
      </c>
    </row>
    <row r="1461">
      <c r="A1461" s="4" t="inlineStr">
        <is>
          <t>17/06/2010</t>
        </is>
      </c>
      <c r="B1461" s="31" t="n">
        <v>53.83</v>
      </c>
    </row>
    <row r="1462">
      <c r="A1462" s="4" t="inlineStr">
        <is>
          <t>18/06/2010</t>
        </is>
      </c>
      <c r="B1462" s="31" t="n">
        <v>53.94</v>
      </c>
    </row>
    <row r="1463">
      <c r="A1463" s="4" t="inlineStr">
        <is>
          <t>21/06/2010</t>
        </is>
      </c>
      <c r="B1463" s="31" t="n">
        <v>53.69</v>
      </c>
    </row>
    <row r="1464">
      <c r="A1464" s="4" t="inlineStr">
        <is>
          <t>22/06/2010</t>
        </is>
      </c>
      <c r="B1464" s="31" t="n">
        <v>53.28</v>
      </c>
    </row>
    <row r="1465">
      <c r="A1465" s="4" t="inlineStr">
        <is>
          <t>23/06/2010</t>
        </is>
      </c>
      <c r="B1465" s="31" t="n">
        <v>52.53</v>
      </c>
    </row>
    <row r="1466">
      <c r="A1466" s="4" t="inlineStr">
        <is>
          <t>24/06/2010</t>
        </is>
      </c>
      <c r="B1466" s="31" t="n">
        <v>52.11</v>
      </c>
    </row>
    <row r="1467">
      <c r="A1467" s="4" t="inlineStr">
        <is>
          <t>25/06/2010</t>
        </is>
      </c>
      <c r="B1467" s="31" t="n">
        <v>52.14</v>
      </c>
    </row>
    <row r="1468">
      <c r="A1468" s="4" t="inlineStr">
        <is>
          <t>28/06/2010</t>
        </is>
      </c>
      <c r="B1468" s="31" t="n">
        <v>52.42</v>
      </c>
    </row>
    <row r="1469">
      <c r="A1469" s="4" t="inlineStr">
        <is>
          <t>29/06/2010</t>
        </is>
      </c>
      <c r="B1469" s="31" t="n">
        <v>52.06</v>
      </c>
    </row>
    <row r="1470">
      <c r="A1470" s="4" t="inlineStr">
        <is>
          <t>30/06/2010</t>
        </is>
      </c>
      <c r="B1470" s="31" t="n">
        <v>51.97</v>
      </c>
    </row>
    <row r="1471">
      <c r="A1471" s="4" t="inlineStr">
        <is>
          <t>01/07/2010</t>
        </is>
      </c>
      <c r="B1471" s="31" t="n">
        <v>51.54</v>
      </c>
    </row>
    <row r="1472">
      <c r="A1472" s="4" t="inlineStr">
        <is>
          <t>02/07/2010</t>
        </is>
      </c>
      <c r="B1472" s="31" t="n">
        <v>51.43</v>
      </c>
    </row>
    <row r="1473">
      <c r="A1473" s="4" t="inlineStr">
        <is>
          <t>05/07/2010</t>
        </is>
      </c>
      <c r="B1473" s="31" t="n">
        <v>51.37</v>
      </c>
    </row>
    <row r="1474">
      <c r="A1474" s="4" t="inlineStr">
        <is>
          <t>06/07/2010</t>
        </is>
      </c>
      <c r="B1474" s="31" t="n">
        <v>51.51</v>
      </c>
    </row>
    <row r="1475">
      <c r="A1475" s="4" t="inlineStr">
        <is>
          <t>07/07/2010</t>
        </is>
      </c>
      <c r="B1475" s="31" t="n">
        <v>51.09</v>
      </c>
    </row>
    <row r="1476">
      <c r="A1476" s="4" t="inlineStr">
        <is>
          <t>08/07/2010</t>
        </is>
      </c>
      <c r="B1476" s="31" t="n">
        <v>50.48</v>
      </c>
    </row>
    <row r="1477">
      <c r="A1477" s="4" t="inlineStr">
        <is>
          <t>12/07/2010</t>
        </is>
      </c>
      <c r="B1477" s="31" t="n">
        <v>50.37</v>
      </c>
    </row>
    <row r="1478">
      <c r="A1478" s="4" t="inlineStr">
        <is>
          <t>13/07/2010</t>
        </is>
      </c>
      <c r="B1478" s="31" t="n">
        <v>50.35</v>
      </c>
    </row>
    <row r="1479">
      <c r="A1479" s="4" t="inlineStr">
        <is>
          <t>14/07/2010</t>
        </is>
      </c>
      <c r="B1479" s="31" t="n">
        <v>50.98</v>
      </c>
    </row>
    <row r="1480">
      <c r="A1480" s="4" t="inlineStr">
        <is>
          <t>15/07/2010</t>
        </is>
      </c>
      <c r="B1480" s="31" t="n">
        <v>50.79</v>
      </c>
    </row>
    <row r="1481">
      <c r="A1481" s="4" t="inlineStr">
        <is>
          <t>16/07/2010</t>
        </is>
      </c>
      <c r="B1481" s="31" t="n">
        <v>51.98</v>
      </c>
    </row>
    <row r="1482">
      <c r="A1482" s="4" t="inlineStr">
        <is>
          <t>19/07/2010</t>
        </is>
      </c>
      <c r="B1482" s="31" t="n">
        <v>52.56</v>
      </c>
    </row>
    <row r="1483">
      <c r="A1483" s="4" t="inlineStr">
        <is>
          <t>20/07/2010</t>
        </is>
      </c>
      <c r="B1483" s="31" t="n">
        <v>52.92</v>
      </c>
    </row>
    <row r="1484">
      <c r="A1484" s="4" t="inlineStr">
        <is>
          <t>21/07/2010</t>
        </is>
      </c>
      <c r="B1484" s="31" t="n">
        <v>52.92</v>
      </c>
    </row>
    <row r="1485">
      <c r="A1485" s="4" t="inlineStr">
        <is>
          <t>22/07/2010</t>
        </is>
      </c>
      <c r="B1485" s="31" t="n">
        <v>53</v>
      </c>
    </row>
    <row r="1486">
      <c r="A1486" s="4" t="inlineStr">
        <is>
          <t>23/07/2010</t>
        </is>
      </c>
      <c r="B1486" s="31" t="n">
        <v>53.36</v>
      </c>
    </row>
    <row r="1487">
      <c r="A1487" s="4" t="inlineStr">
        <is>
          <t>26/07/2010</t>
        </is>
      </c>
      <c r="B1487" s="31" t="n">
        <v>53.61</v>
      </c>
    </row>
    <row r="1488">
      <c r="A1488" s="4" t="inlineStr">
        <is>
          <t>27/07/2010</t>
        </is>
      </c>
      <c r="B1488" s="31" t="n">
        <v>53.81</v>
      </c>
    </row>
    <row r="1489">
      <c r="A1489" s="4" t="inlineStr">
        <is>
          <t>28/07/2010</t>
        </is>
      </c>
      <c r="B1489" s="31" t="n">
        <v>53.56</v>
      </c>
    </row>
    <row r="1490">
      <c r="A1490" s="4" t="inlineStr">
        <is>
          <t>29/07/2010</t>
        </is>
      </c>
      <c r="B1490" s="31" t="n">
        <v>53.64</v>
      </c>
    </row>
    <row r="1491">
      <c r="A1491" s="4" t="inlineStr">
        <is>
          <t>30/07/2010</t>
        </is>
      </c>
      <c r="B1491" s="31" t="n">
        <v>54.2</v>
      </c>
    </row>
    <row r="1492">
      <c r="A1492" s="4" t="inlineStr">
        <is>
          <t>02/08/2010</t>
        </is>
      </c>
      <c r="B1492" s="31" t="n">
        <v>53.4</v>
      </c>
    </row>
    <row r="1493">
      <c r="A1493" s="4" t="inlineStr">
        <is>
          <t>03/08/2010</t>
        </is>
      </c>
      <c r="B1493" s="31" t="n">
        <v>53.86</v>
      </c>
    </row>
    <row r="1494">
      <c r="A1494" s="4" t="inlineStr">
        <is>
          <t>04/08/2010</t>
        </is>
      </c>
      <c r="B1494" s="31" t="n">
        <v>54.17</v>
      </c>
    </row>
    <row r="1495">
      <c r="A1495" s="4" t="inlineStr">
        <is>
          <t>05/08/2010</t>
        </is>
      </c>
      <c r="B1495" s="31" t="n">
        <v>54.22</v>
      </c>
    </row>
    <row r="1496">
      <c r="A1496" s="4" t="inlineStr">
        <is>
          <t>06/08/2010</t>
        </is>
      </c>
      <c r="B1496" s="31" t="n">
        <v>54.58</v>
      </c>
    </row>
    <row r="1497">
      <c r="A1497" s="4" t="inlineStr">
        <is>
          <t>09/08/2010</t>
        </is>
      </c>
      <c r="B1497" s="31" t="n">
        <v>55.32</v>
      </c>
    </row>
    <row r="1498">
      <c r="A1498" s="4" t="inlineStr">
        <is>
          <t>10/08/2010</t>
        </is>
      </c>
      <c r="B1498" s="31" t="n">
        <v>55.07</v>
      </c>
    </row>
    <row r="1499">
      <c r="A1499" s="4" t="inlineStr">
        <is>
          <t>11/08/2010</t>
        </is>
      </c>
      <c r="B1499" s="31" t="n">
        <v>55.62</v>
      </c>
    </row>
    <row r="1500">
      <c r="A1500" s="4" t="inlineStr">
        <is>
          <t>12/08/2010</t>
        </is>
      </c>
      <c r="B1500" s="31" t="n">
        <v>55.4</v>
      </c>
    </row>
    <row r="1501">
      <c r="A1501" s="4" t="inlineStr">
        <is>
          <t>13/08/2010</t>
        </is>
      </c>
      <c r="B1501" s="31" t="n">
        <v>55.32</v>
      </c>
    </row>
    <row r="1502">
      <c r="A1502" s="4" t="inlineStr">
        <is>
          <t>16/08/2010</t>
        </is>
      </c>
      <c r="B1502" s="31" t="n">
        <v>55.71</v>
      </c>
    </row>
    <row r="1503">
      <c r="A1503" s="4" t="inlineStr">
        <is>
          <t>17/08/2010</t>
        </is>
      </c>
      <c r="B1503" s="31" t="n">
        <v>56.39</v>
      </c>
    </row>
    <row r="1504">
      <c r="A1504" s="4" t="inlineStr">
        <is>
          <t>18/08/2010</t>
        </is>
      </c>
      <c r="B1504" s="31" t="n">
        <v>56.39</v>
      </c>
    </row>
    <row r="1505">
      <c r="A1505" s="4" t="inlineStr">
        <is>
          <t>19/08/2010</t>
        </is>
      </c>
      <c r="B1505" s="31" t="n">
        <v>57.27</v>
      </c>
    </row>
    <row r="1506">
      <c r="A1506" s="4" t="inlineStr">
        <is>
          <t>20/08/2010</t>
        </is>
      </c>
      <c r="B1506" s="31" t="n">
        <v>56.61</v>
      </c>
    </row>
    <row r="1507">
      <c r="A1507" s="4" t="inlineStr">
        <is>
          <t>23/08/2010</t>
        </is>
      </c>
      <c r="B1507" s="31" t="n">
        <v>57.3</v>
      </c>
    </row>
    <row r="1508">
      <c r="A1508" s="4" t="inlineStr">
        <is>
          <t>24/08/2010</t>
        </is>
      </c>
      <c r="B1508" s="31" t="n">
        <v>57.44</v>
      </c>
    </row>
    <row r="1509">
      <c r="A1509" s="4" t="inlineStr">
        <is>
          <t>25/08/2010</t>
        </is>
      </c>
      <c r="B1509" s="31" t="n">
        <v>58.84</v>
      </c>
    </row>
    <row r="1510">
      <c r="A1510" s="4" t="inlineStr">
        <is>
          <t>26/08/2010</t>
        </is>
      </c>
      <c r="B1510" s="31" t="n">
        <v>59.39</v>
      </c>
    </row>
    <row r="1511">
      <c r="A1511" s="4" t="inlineStr">
        <is>
          <t>27/08/2010</t>
        </is>
      </c>
      <c r="B1511" s="31" t="n">
        <v>59.91</v>
      </c>
    </row>
    <row r="1512">
      <c r="A1512" s="4" t="inlineStr">
        <is>
          <t>30/08/2010</t>
        </is>
      </c>
      <c r="B1512" s="31" t="n">
        <v>59.96</v>
      </c>
    </row>
    <row r="1513">
      <c r="A1513" s="4" t="inlineStr">
        <is>
          <t>31/08/2010</t>
        </is>
      </c>
      <c r="B1513" s="31" t="n">
        <v>60.82</v>
      </c>
    </row>
    <row r="1514">
      <c r="A1514" s="4" t="inlineStr">
        <is>
          <t>01/09/2010</t>
        </is>
      </c>
      <c r="B1514" s="31" t="n">
        <v>60.67</v>
      </c>
    </row>
    <row r="1515">
      <c r="A1515" s="4" t="inlineStr">
        <is>
          <t>02/09/2010</t>
        </is>
      </c>
      <c r="B1515" s="31" t="n">
        <v>60.89</v>
      </c>
    </row>
    <row r="1516">
      <c r="A1516" s="4" t="inlineStr">
        <is>
          <t>03/09/2010</t>
        </is>
      </c>
      <c r="B1516" s="31" t="n">
        <v>61.92</v>
      </c>
    </row>
    <row r="1517">
      <c r="A1517" s="4" t="inlineStr">
        <is>
          <t>06/09/2010</t>
        </is>
      </c>
      <c r="B1517" s="31" t="n">
        <v>62.54</v>
      </c>
    </row>
    <row r="1518">
      <c r="A1518" s="4" t="inlineStr">
        <is>
          <t>08/09/2010</t>
        </is>
      </c>
      <c r="B1518" s="31" t="n">
        <v>62.54</v>
      </c>
    </row>
    <row r="1519">
      <c r="A1519" s="4" t="inlineStr">
        <is>
          <t>09/09/2010</t>
        </is>
      </c>
      <c r="B1519" s="31" t="n">
        <v>64.09</v>
      </c>
    </row>
    <row r="1520">
      <c r="A1520" s="4" t="inlineStr">
        <is>
          <t>10/09/2010</t>
        </is>
      </c>
      <c r="B1520" s="31" t="n">
        <v>64.45</v>
      </c>
    </row>
    <row r="1521">
      <c r="A1521" s="4" t="inlineStr">
        <is>
          <t>13/09/2010</t>
        </is>
      </c>
      <c r="B1521" s="31" t="n">
        <v>64.66</v>
      </c>
    </row>
    <row r="1522">
      <c r="A1522" s="4" t="inlineStr">
        <is>
          <t>14/09/2010</t>
        </is>
      </c>
      <c r="B1522" s="31" t="n">
        <v>65.23</v>
      </c>
    </row>
    <row r="1523">
      <c r="A1523" s="4" t="inlineStr">
        <is>
          <t>15/09/2010</t>
        </is>
      </c>
      <c r="B1523" s="31" t="n">
        <v>65.89</v>
      </c>
    </row>
    <row r="1524">
      <c r="A1524" s="4" t="inlineStr">
        <is>
          <t>16/09/2010</t>
        </is>
      </c>
      <c r="B1524" s="31" t="n">
        <v>65.89</v>
      </c>
    </row>
    <row r="1525">
      <c r="A1525" s="4" t="inlineStr">
        <is>
          <t>17/09/2010</t>
        </is>
      </c>
      <c r="B1525" s="31" t="n">
        <v>68.25</v>
      </c>
    </row>
    <row r="1526">
      <c r="A1526" s="4" t="inlineStr">
        <is>
          <t>20/09/2010</t>
        </is>
      </c>
      <c r="B1526" s="31" t="n">
        <v>68.28</v>
      </c>
    </row>
    <row r="1527">
      <c r="A1527" s="4" t="inlineStr">
        <is>
          <t>21/09/2010</t>
        </is>
      </c>
      <c r="B1527" s="31" t="n">
        <v>70.94</v>
      </c>
    </row>
    <row r="1528">
      <c r="A1528" s="4" t="inlineStr">
        <is>
          <t>22/09/2010</t>
        </is>
      </c>
      <c r="B1528" s="31" t="n">
        <v>70.34</v>
      </c>
    </row>
    <row r="1529">
      <c r="A1529" s="4" t="inlineStr">
        <is>
          <t>23/09/2010</t>
        </is>
      </c>
      <c r="B1529" s="31" t="n">
        <v>68.59999999999999</v>
      </c>
    </row>
    <row r="1530">
      <c r="A1530" s="4" t="inlineStr">
        <is>
          <t>24/09/2010</t>
        </is>
      </c>
      <c r="B1530" s="31" t="n">
        <v>70.75</v>
      </c>
    </row>
    <row r="1531">
      <c r="A1531" s="4" t="inlineStr">
        <is>
          <t>27/09/2010</t>
        </is>
      </c>
      <c r="B1531" s="31" t="n">
        <v>70.15000000000001</v>
      </c>
    </row>
    <row r="1532">
      <c r="A1532" s="4" t="inlineStr">
        <is>
          <t>28/09/2010</t>
        </is>
      </c>
      <c r="B1532" s="31" t="n">
        <v>69.72</v>
      </c>
    </row>
    <row r="1533">
      <c r="A1533" s="4" t="inlineStr">
        <is>
          <t>29/09/2010</t>
        </is>
      </c>
      <c r="B1533" s="31" t="n">
        <v>67.54000000000001</v>
      </c>
    </row>
    <row r="1534">
      <c r="A1534" s="4" t="inlineStr">
        <is>
          <t>30/09/2010</t>
        </is>
      </c>
      <c r="B1534" s="31" t="n">
        <v>66.51000000000001</v>
      </c>
    </row>
    <row r="1535">
      <c r="A1535" s="4" t="inlineStr">
        <is>
          <t>01/10/2010</t>
        </is>
      </c>
      <c r="B1535" s="31" t="n">
        <v>65.33</v>
      </c>
    </row>
    <row r="1536">
      <c r="A1536" s="4" t="inlineStr">
        <is>
          <t>04/10/2010</t>
        </is>
      </c>
      <c r="B1536" s="31" t="n">
        <v>64.45</v>
      </c>
    </row>
    <row r="1537">
      <c r="A1537" s="4" t="inlineStr">
        <is>
          <t>05/10/2010</t>
        </is>
      </c>
      <c r="B1537" s="31" t="n">
        <v>64.53</v>
      </c>
    </row>
    <row r="1538">
      <c r="A1538" s="4" t="inlineStr">
        <is>
          <t>06/10/2010</t>
        </is>
      </c>
      <c r="B1538" s="31" t="n">
        <v>64.45</v>
      </c>
    </row>
    <row r="1539">
      <c r="A1539" s="4" t="inlineStr">
        <is>
          <t>07/10/2010</t>
        </is>
      </c>
      <c r="B1539" s="31" t="n">
        <v>64.28</v>
      </c>
    </row>
    <row r="1540">
      <c r="A1540" s="4" t="inlineStr">
        <is>
          <t>08/10/2010</t>
        </is>
      </c>
      <c r="B1540" s="31" t="n">
        <v>64.98</v>
      </c>
    </row>
    <row r="1541">
      <c r="A1541" s="4" t="inlineStr">
        <is>
          <t>11/10/2010</t>
        </is>
      </c>
      <c r="B1541" s="31" t="n">
        <v>64.95999999999999</v>
      </c>
    </row>
    <row r="1542">
      <c r="A1542" s="4" t="inlineStr">
        <is>
          <t>13/10/2010</t>
        </is>
      </c>
      <c r="B1542" s="31" t="n">
        <v>67.62</v>
      </c>
    </row>
    <row r="1543">
      <c r="A1543" s="4" t="inlineStr">
        <is>
          <t>14/10/2010</t>
        </is>
      </c>
      <c r="B1543" s="31" t="n">
        <v>68.43000000000001</v>
      </c>
    </row>
    <row r="1544">
      <c r="A1544" s="4" t="inlineStr">
        <is>
          <t>15/10/2010</t>
        </is>
      </c>
      <c r="B1544" s="31" t="n">
        <v>68.13</v>
      </c>
    </row>
    <row r="1545">
      <c r="A1545" s="4" t="inlineStr">
        <is>
          <t>18/10/2010</t>
        </is>
      </c>
      <c r="B1545" s="31" t="n">
        <v>68.05</v>
      </c>
    </row>
    <row r="1546">
      <c r="A1546" s="4" t="inlineStr">
        <is>
          <t>19/10/2010</t>
        </is>
      </c>
      <c r="B1546" s="31" t="n">
        <v>68.67</v>
      </c>
    </row>
    <row r="1547">
      <c r="A1547" s="4" t="inlineStr">
        <is>
          <t>20/10/2010</t>
        </is>
      </c>
      <c r="B1547" s="31" t="n">
        <v>68.31999999999999</v>
      </c>
    </row>
    <row r="1548">
      <c r="A1548" s="4" t="inlineStr">
        <is>
          <t>21/10/2010</t>
        </is>
      </c>
      <c r="B1548" s="31" t="n">
        <v>68.94</v>
      </c>
    </row>
    <row r="1549">
      <c r="A1549" s="4" t="inlineStr">
        <is>
          <t>22/10/2010</t>
        </is>
      </c>
      <c r="B1549" s="31" t="n">
        <v>69.20999999999999</v>
      </c>
    </row>
    <row r="1550">
      <c r="A1550" s="4" t="inlineStr">
        <is>
          <t>25/10/2010</t>
        </is>
      </c>
      <c r="B1550" s="31" t="n">
        <v>69.26000000000001</v>
      </c>
    </row>
    <row r="1551">
      <c r="A1551" s="4" t="inlineStr">
        <is>
          <t>26/10/2010</t>
        </is>
      </c>
      <c r="B1551" s="31" t="n">
        <v>69.98999999999999</v>
      </c>
    </row>
    <row r="1552">
      <c r="A1552" s="4" t="inlineStr">
        <is>
          <t>27/10/2010</t>
        </is>
      </c>
      <c r="B1552" s="31" t="n">
        <v>70.18000000000001</v>
      </c>
    </row>
    <row r="1553">
      <c r="A1553" s="4" t="inlineStr">
        <is>
          <t>28/10/2010</t>
        </is>
      </c>
      <c r="B1553" s="31" t="n">
        <v>71.33</v>
      </c>
    </row>
    <row r="1554">
      <c r="A1554" s="4" t="inlineStr">
        <is>
          <t>29/10/2010</t>
        </is>
      </c>
      <c r="B1554" s="31" t="n">
        <v>71.98</v>
      </c>
    </row>
    <row r="1555">
      <c r="A1555" s="4" t="inlineStr">
        <is>
          <t>01/11/2010</t>
        </is>
      </c>
      <c r="B1555" s="31" t="n">
        <v>70.63</v>
      </c>
    </row>
    <row r="1556">
      <c r="A1556" s="4" t="inlineStr">
        <is>
          <t>03/11/2010</t>
        </is>
      </c>
      <c r="B1556" s="31" t="n">
        <v>71.29000000000001</v>
      </c>
    </row>
    <row r="1557">
      <c r="A1557" s="4" t="inlineStr">
        <is>
          <t>04/11/2010</t>
        </is>
      </c>
      <c r="B1557" s="31" t="n">
        <v>71.93000000000001</v>
      </c>
    </row>
    <row r="1558">
      <c r="A1558" s="4" t="inlineStr">
        <is>
          <t>05/11/2010</t>
        </is>
      </c>
      <c r="B1558" s="31" t="n">
        <v>71.51000000000001</v>
      </c>
    </row>
    <row r="1559">
      <c r="A1559" s="4" t="inlineStr">
        <is>
          <t>08/11/2010</t>
        </is>
      </c>
      <c r="B1559" s="31" t="n">
        <v>72.38</v>
      </c>
    </row>
    <row r="1560">
      <c r="A1560" s="4" t="inlineStr">
        <is>
          <t>09/11/2010</t>
        </is>
      </c>
      <c r="B1560" s="31" t="n">
        <v>73.33</v>
      </c>
    </row>
    <row r="1561">
      <c r="A1561" s="4" t="inlineStr">
        <is>
          <t>10/11/2010</t>
        </is>
      </c>
      <c r="B1561" s="31" t="n">
        <v>74.93000000000001</v>
      </c>
    </row>
    <row r="1562">
      <c r="A1562" s="4" t="inlineStr">
        <is>
          <t>11/11/2010</t>
        </is>
      </c>
      <c r="B1562" s="31" t="n">
        <v>76.01000000000001</v>
      </c>
    </row>
    <row r="1563">
      <c r="A1563" s="4" t="inlineStr">
        <is>
          <t>12/11/2010</t>
        </is>
      </c>
      <c r="B1563" s="31" t="n">
        <v>76.52</v>
      </c>
    </row>
    <row r="1564">
      <c r="A1564" s="4" t="inlineStr">
        <is>
          <t>16/11/2010</t>
        </is>
      </c>
      <c r="B1564" s="31" t="n">
        <v>76.15000000000001</v>
      </c>
    </row>
    <row r="1565">
      <c r="A1565" s="4" t="inlineStr">
        <is>
          <t>17/11/2010</t>
        </is>
      </c>
      <c r="B1565" s="31" t="n">
        <v>76.38</v>
      </c>
    </row>
    <row r="1566">
      <c r="A1566" s="4" t="inlineStr">
        <is>
          <t>18/11/2010</t>
        </is>
      </c>
      <c r="B1566" s="31" t="n">
        <v>76.65000000000001</v>
      </c>
    </row>
    <row r="1567">
      <c r="A1567" s="4" t="inlineStr">
        <is>
          <t>19/11/2010</t>
        </is>
      </c>
      <c r="B1567" s="31" t="n">
        <v>76.48999999999999</v>
      </c>
    </row>
    <row r="1568">
      <c r="A1568" s="4" t="inlineStr">
        <is>
          <t>22/11/2010</t>
        </is>
      </c>
      <c r="B1568" s="31" t="n">
        <v>75.8</v>
      </c>
    </row>
    <row r="1569">
      <c r="A1569" s="4" t="inlineStr">
        <is>
          <t>23/11/2010</t>
        </is>
      </c>
      <c r="B1569" s="31" t="n">
        <v>77.13</v>
      </c>
    </row>
    <row r="1570">
      <c r="A1570" s="4" t="inlineStr">
        <is>
          <t>24/11/2010</t>
        </is>
      </c>
      <c r="B1570" s="31" t="n">
        <v>77.05</v>
      </c>
    </row>
    <row r="1571">
      <c r="A1571" s="4" t="inlineStr">
        <is>
          <t>25/11/2010</t>
        </is>
      </c>
      <c r="B1571" s="31" t="n">
        <v>76.73</v>
      </c>
    </row>
    <row r="1572">
      <c r="A1572" s="4" t="inlineStr">
        <is>
          <t>26/11/2010</t>
        </is>
      </c>
      <c r="B1572" s="31" t="n">
        <v>76.56999999999999</v>
      </c>
    </row>
    <row r="1573">
      <c r="A1573" s="4" t="inlineStr">
        <is>
          <t>29/11/2010</t>
        </is>
      </c>
      <c r="B1573" s="31" t="n">
        <v>76.52</v>
      </c>
    </row>
    <row r="1574">
      <c r="A1574" s="4" t="inlineStr">
        <is>
          <t>30/11/2010</t>
        </is>
      </c>
      <c r="B1574" s="31" t="n">
        <v>75.88</v>
      </c>
    </row>
    <row r="1575">
      <c r="A1575" s="4" t="inlineStr">
        <is>
          <t>01/12/2010</t>
        </is>
      </c>
      <c r="B1575" s="31" t="n">
        <v>75.78</v>
      </c>
    </row>
    <row r="1576">
      <c r="A1576" s="4" t="inlineStr">
        <is>
          <t>02/12/2010</t>
        </is>
      </c>
      <c r="B1576" s="31" t="n">
        <v>75.62</v>
      </c>
    </row>
    <row r="1577">
      <c r="A1577" s="4" t="inlineStr">
        <is>
          <t>03/12/2010</t>
        </is>
      </c>
      <c r="B1577" s="31" t="n">
        <v>75.2</v>
      </c>
    </row>
    <row r="1578">
      <c r="A1578" s="4" t="inlineStr">
        <is>
          <t>06/12/2010</t>
        </is>
      </c>
      <c r="B1578" s="31" t="n">
        <v>75.02</v>
      </c>
    </row>
    <row r="1579">
      <c r="A1579" s="4" t="inlineStr">
        <is>
          <t>07/12/2010</t>
        </is>
      </c>
      <c r="B1579" s="31" t="n">
        <v>74.62</v>
      </c>
    </row>
    <row r="1580">
      <c r="A1580" s="4" t="inlineStr">
        <is>
          <t>08/12/2010</t>
        </is>
      </c>
      <c r="B1580" s="31" t="n">
        <v>74.62</v>
      </c>
    </row>
    <row r="1581">
      <c r="A1581" s="4" t="inlineStr">
        <is>
          <t>09/12/2010</t>
        </is>
      </c>
      <c r="B1581" s="31" t="n">
        <v>74.59999999999999</v>
      </c>
    </row>
    <row r="1582">
      <c r="A1582" s="4" t="inlineStr">
        <is>
          <t>10/12/2010</t>
        </is>
      </c>
      <c r="B1582" s="31" t="n">
        <v>74.68000000000001</v>
      </c>
    </row>
    <row r="1583">
      <c r="A1583" s="4" t="inlineStr">
        <is>
          <t>13/12/2010</t>
        </is>
      </c>
      <c r="B1583" s="31" t="n">
        <v>74.65000000000001</v>
      </c>
    </row>
    <row r="1584">
      <c r="A1584" s="4" t="inlineStr">
        <is>
          <t>14/12/2010</t>
        </is>
      </c>
      <c r="B1584" s="31" t="n">
        <v>74.25</v>
      </c>
    </row>
    <row r="1585">
      <c r="A1585" s="4" t="inlineStr">
        <is>
          <t>15/12/2010</t>
        </is>
      </c>
      <c r="B1585" s="31" t="n">
        <v>74.52</v>
      </c>
    </row>
    <row r="1586">
      <c r="A1586" s="4" t="inlineStr">
        <is>
          <t>16/12/2010</t>
        </is>
      </c>
      <c r="B1586" s="31" t="n">
        <v>74.18000000000001</v>
      </c>
    </row>
    <row r="1587">
      <c r="A1587" s="4" t="inlineStr">
        <is>
          <t>17/12/2010</t>
        </is>
      </c>
      <c r="B1587" s="31" t="n">
        <v>74.75</v>
      </c>
    </row>
    <row r="1588">
      <c r="A1588" s="4" t="inlineStr">
        <is>
          <t>20/12/2010</t>
        </is>
      </c>
      <c r="B1588" s="31" t="n">
        <v>75.06999999999999</v>
      </c>
    </row>
    <row r="1589">
      <c r="A1589" s="4" t="inlineStr">
        <is>
          <t>21/12/2010</t>
        </is>
      </c>
      <c r="B1589" s="31" t="n">
        <v>74.2</v>
      </c>
    </row>
    <row r="1590">
      <c r="A1590" s="4" t="inlineStr">
        <is>
          <t>22/12/2010</t>
        </is>
      </c>
      <c r="B1590" s="31" t="n">
        <v>74.04000000000001</v>
      </c>
    </row>
    <row r="1591">
      <c r="A1591" s="4" t="inlineStr">
        <is>
          <t>23/12/2010</t>
        </is>
      </c>
      <c r="B1591" s="31" t="n">
        <v>74.2</v>
      </c>
    </row>
    <row r="1592">
      <c r="A1592" s="4" t="inlineStr">
        <is>
          <t>27/12/2010</t>
        </is>
      </c>
      <c r="B1592" s="31" t="n">
        <v>74.59999999999999</v>
      </c>
    </row>
    <row r="1593">
      <c r="A1593" s="4" t="inlineStr">
        <is>
          <t>28/12/2010</t>
        </is>
      </c>
      <c r="B1593" s="31" t="n">
        <v>74.54000000000001</v>
      </c>
    </row>
    <row r="1594">
      <c r="A1594" s="4" t="inlineStr">
        <is>
          <t>29/12/2010</t>
        </is>
      </c>
      <c r="B1594" s="31" t="n">
        <v>74.75</v>
      </c>
    </row>
    <row r="1595">
      <c r="A1595" s="4" t="inlineStr">
        <is>
          <t>30/12/2010</t>
        </is>
      </c>
      <c r="B1595" s="31" t="n">
        <v>74.45999999999999</v>
      </c>
    </row>
    <row r="1596">
      <c r="A1596" s="4" t="inlineStr">
        <is>
          <t>03/01/2011</t>
        </is>
      </c>
      <c r="B1596" s="31" t="n">
        <v>73.75</v>
      </c>
    </row>
    <row r="1597">
      <c r="A1597" s="4" t="inlineStr">
        <is>
          <t>04/01/2011</t>
        </is>
      </c>
      <c r="B1597" s="31" t="n">
        <v>74.01000000000001</v>
      </c>
    </row>
    <row r="1598">
      <c r="A1598" s="4" t="inlineStr">
        <is>
          <t>05/01/2011</t>
        </is>
      </c>
      <c r="B1598" s="31" t="n">
        <v>74.48</v>
      </c>
    </row>
    <row r="1599">
      <c r="A1599" s="4" t="inlineStr">
        <is>
          <t>06/01/2011</t>
        </is>
      </c>
      <c r="B1599" s="31" t="n">
        <v>75</v>
      </c>
    </row>
    <row r="1600">
      <c r="A1600" s="4" t="inlineStr">
        <is>
          <t>07/01/2011</t>
        </is>
      </c>
      <c r="B1600" s="31" t="n">
        <v>75.68000000000001</v>
      </c>
    </row>
    <row r="1601">
      <c r="A1601" s="4" t="inlineStr">
        <is>
          <t>10/01/2011</t>
        </is>
      </c>
      <c r="B1601" s="31" t="n">
        <v>76.44</v>
      </c>
    </row>
    <row r="1602">
      <c r="A1602" s="4" t="inlineStr">
        <is>
          <t>11/01/2011</t>
        </is>
      </c>
      <c r="B1602" s="31" t="n">
        <v>76.78</v>
      </c>
    </row>
    <row r="1603">
      <c r="A1603" s="4" t="inlineStr">
        <is>
          <t>12/01/2011</t>
        </is>
      </c>
      <c r="B1603" s="31" t="n">
        <v>76.78</v>
      </c>
    </row>
    <row r="1604">
      <c r="A1604" s="4" t="inlineStr">
        <is>
          <t>13/01/2011</t>
        </is>
      </c>
      <c r="B1604" s="31" t="n">
        <v>78.14</v>
      </c>
    </row>
    <row r="1605">
      <c r="A1605" s="4" t="inlineStr">
        <is>
          <t>14/01/2011</t>
        </is>
      </c>
      <c r="B1605" s="31" t="n">
        <v>78.69</v>
      </c>
    </row>
    <row r="1606">
      <c r="A1606" s="4" t="inlineStr">
        <is>
          <t>17/01/2011</t>
        </is>
      </c>
      <c r="B1606" s="31" t="n">
        <v>79.03</v>
      </c>
    </row>
    <row r="1607">
      <c r="A1607" s="4" t="inlineStr">
        <is>
          <t>18/01/2011</t>
        </is>
      </c>
      <c r="B1607" s="31" t="n">
        <v>80.15000000000001</v>
      </c>
    </row>
    <row r="1608">
      <c r="A1608" s="4" t="inlineStr">
        <is>
          <t>19/01/2011</t>
        </is>
      </c>
      <c r="B1608" s="31" t="n">
        <v>81.59</v>
      </c>
    </row>
    <row r="1609">
      <c r="A1609" s="4" t="inlineStr">
        <is>
          <t>20/01/2011</t>
        </is>
      </c>
      <c r="B1609" s="31" t="n">
        <v>81.93000000000001</v>
      </c>
    </row>
    <row r="1610">
      <c r="A1610" s="4" t="inlineStr">
        <is>
          <t>21/01/2011</t>
        </is>
      </c>
      <c r="B1610" s="31" t="n">
        <v>82.40000000000001</v>
      </c>
    </row>
    <row r="1611">
      <c r="A1611" s="4" t="inlineStr">
        <is>
          <t>24/01/2011</t>
        </is>
      </c>
      <c r="B1611" s="31" t="n">
        <v>81.98</v>
      </c>
    </row>
    <row r="1612">
      <c r="A1612" s="4" t="inlineStr">
        <is>
          <t>25/01/2011</t>
        </is>
      </c>
      <c r="B1612" s="31" t="n">
        <v>82.73999999999999</v>
      </c>
    </row>
    <row r="1613">
      <c r="A1613" s="4" t="inlineStr">
        <is>
          <t>26/01/2011</t>
        </is>
      </c>
      <c r="B1613" s="31" t="n">
        <v>83.73</v>
      </c>
    </row>
    <row r="1614">
      <c r="A1614" s="4" t="inlineStr">
        <is>
          <t>27/01/2011</t>
        </is>
      </c>
      <c r="B1614" s="31" t="n">
        <v>83.98999999999999</v>
      </c>
    </row>
    <row r="1615">
      <c r="A1615" s="4" t="inlineStr">
        <is>
          <t>28/01/2011</t>
        </is>
      </c>
      <c r="B1615" s="31" t="n">
        <v>83.86</v>
      </c>
    </row>
    <row r="1616">
      <c r="A1616" s="4" t="inlineStr">
        <is>
          <t>31/01/2011</t>
        </is>
      </c>
      <c r="B1616" s="31" t="n">
        <v>83.89</v>
      </c>
    </row>
    <row r="1617">
      <c r="A1617" s="4" t="inlineStr">
        <is>
          <t>01/02/2011</t>
        </is>
      </c>
      <c r="B1617" s="31" t="n">
        <v>83.39</v>
      </c>
    </row>
    <row r="1618">
      <c r="A1618" s="4" t="inlineStr">
        <is>
          <t>02/02/2011</t>
        </is>
      </c>
      <c r="B1618" s="31" t="n">
        <v>83.42</v>
      </c>
    </row>
    <row r="1619">
      <c r="A1619" s="4" t="inlineStr">
        <is>
          <t>03/02/2011</t>
        </is>
      </c>
      <c r="B1619" s="31" t="n">
        <v>83.19</v>
      </c>
    </row>
    <row r="1620">
      <c r="A1620" s="4" t="inlineStr">
        <is>
          <t>04/02/2011</t>
        </is>
      </c>
      <c r="B1620" s="31" t="n">
        <v>83.08</v>
      </c>
    </row>
    <row r="1621">
      <c r="A1621" s="4" t="inlineStr">
        <is>
          <t>07/02/2011</t>
        </is>
      </c>
      <c r="B1621" s="31" t="n">
        <v>82.59</v>
      </c>
    </row>
    <row r="1622">
      <c r="A1622" s="4" t="inlineStr">
        <is>
          <t>08/02/2011</t>
        </is>
      </c>
      <c r="B1622" s="31" t="n">
        <v>82.48999999999999</v>
      </c>
    </row>
    <row r="1623">
      <c r="A1623" s="4" t="inlineStr">
        <is>
          <t>09/02/2011</t>
        </is>
      </c>
      <c r="B1623" s="31" t="n">
        <v>82.67</v>
      </c>
    </row>
    <row r="1624">
      <c r="A1624" s="4" t="inlineStr">
        <is>
          <t>10/02/2011</t>
        </is>
      </c>
      <c r="B1624" s="31" t="n">
        <v>82.51000000000001</v>
      </c>
    </row>
    <row r="1625">
      <c r="A1625" s="4" t="inlineStr">
        <is>
          <t>11/02/2011</t>
        </is>
      </c>
      <c r="B1625" s="31" t="n">
        <v>82.54000000000001</v>
      </c>
    </row>
    <row r="1626">
      <c r="A1626" s="4" t="inlineStr">
        <is>
          <t>14/02/2011</t>
        </is>
      </c>
      <c r="B1626" s="31" t="n">
        <v>82.8</v>
      </c>
    </row>
    <row r="1627">
      <c r="A1627" s="4" t="inlineStr">
        <is>
          <t>15/02/2011</t>
        </is>
      </c>
      <c r="B1627" s="31" t="n">
        <v>82.06999999999999</v>
      </c>
    </row>
    <row r="1628">
      <c r="A1628" s="4" t="inlineStr">
        <is>
          <t>16/02/2011</t>
        </is>
      </c>
      <c r="B1628" s="31" t="n">
        <v>82.13</v>
      </c>
    </row>
    <row r="1629">
      <c r="A1629" s="4" t="inlineStr">
        <is>
          <t>17/02/2011</t>
        </is>
      </c>
      <c r="B1629" s="31" t="n">
        <v>81.34999999999999</v>
      </c>
    </row>
    <row r="1630">
      <c r="A1630" s="4" t="inlineStr">
        <is>
          <t>18/02/2011</t>
        </is>
      </c>
      <c r="B1630" s="31" t="n">
        <v>80.55</v>
      </c>
    </row>
    <row r="1631">
      <c r="A1631" s="4" t="inlineStr">
        <is>
          <t>21/02/2011</t>
        </is>
      </c>
      <c r="B1631" s="31" t="n">
        <v>80.98999999999999</v>
      </c>
    </row>
    <row r="1632">
      <c r="A1632" s="4" t="inlineStr">
        <is>
          <t>22/02/2011</t>
        </is>
      </c>
      <c r="B1632" s="31" t="n">
        <v>80.88</v>
      </c>
    </row>
    <row r="1633">
      <c r="A1633" s="4" t="inlineStr">
        <is>
          <t>23/02/2011</t>
        </is>
      </c>
      <c r="B1633" s="31" t="n">
        <v>81.01000000000001</v>
      </c>
    </row>
    <row r="1634">
      <c r="A1634" s="4" t="inlineStr">
        <is>
          <t>24/02/2011</t>
        </is>
      </c>
      <c r="B1634" s="31" t="n">
        <v>80.68000000000001</v>
      </c>
    </row>
    <row r="1635">
      <c r="A1635" s="4" t="inlineStr">
        <is>
          <t>25/02/2011</t>
        </is>
      </c>
      <c r="B1635" s="31" t="n">
        <v>80.26000000000001</v>
      </c>
    </row>
    <row r="1636">
      <c r="A1636" s="4" t="inlineStr">
        <is>
          <t>28/02/2011</t>
        </is>
      </c>
      <c r="B1636" s="31" t="n">
        <v>80.23999999999999</v>
      </c>
    </row>
    <row r="1637">
      <c r="A1637" s="4" t="inlineStr">
        <is>
          <t>01/03/2011</t>
        </is>
      </c>
      <c r="B1637" s="31" t="n">
        <v>80.26000000000001</v>
      </c>
    </row>
    <row r="1638">
      <c r="A1638" s="4" t="inlineStr">
        <is>
          <t>02/03/2011</t>
        </is>
      </c>
      <c r="B1638" s="31" t="n">
        <v>79.59</v>
      </c>
    </row>
    <row r="1639">
      <c r="A1639" s="4" t="inlineStr">
        <is>
          <t>03/03/2011</t>
        </is>
      </c>
      <c r="B1639" s="31" t="n">
        <v>80.39</v>
      </c>
    </row>
    <row r="1640">
      <c r="A1640" s="4" t="inlineStr">
        <is>
          <t>04/03/2011</t>
        </is>
      </c>
      <c r="B1640" s="31" t="n">
        <v>80.45999999999999</v>
      </c>
    </row>
    <row r="1641">
      <c r="A1641" s="4" t="inlineStr">
        <is>
          <t>09/03/2011</t>
        </is>
      </c>
      <c r="B1641" s="31" t="n">
        <v>80.69</v>
      </c>
    </row>
    <row r="1642">
      <c r="A1642" s="4" t="inlineStr">
        <is>
          <t>10/03/2011</t>
        </is>
      </c>
      <c r="B1642" s="31" t="n">
        <v>80.26000000000001</v>
      </c>
    </row>
    <row r="1643">
      <c r="A1643" s="4" t="inlineStr">
        <is>
          <t>11/03/2011</t>
        </is>
      </c>
      <c r="B1643" s="31" t="n">
        <v>80.64</v>
      </c>
    </row>
    <row r="1644">
      <c r="A1644" s="4" t="inlineStr">
        <is>
          <t>14/03/2011</t>
        </is>
      </c>
      <c r="B1644" s="31" t="n">
        <v>80.69</v>
      </c>
    </row>
    <row r="1645">
      <c r="A1645" s="4" t="inlineStr">
        <is>
          <t>15/03/2011</t>
        </is>
      </c>
      <c r="B1645" s="31" t="n">
        <v>81.62</v>
      </c>
    </row>
    <row r="1646">
      <c r="A1646" s="4" t="inlineStr">
        <is>
          <t>16/03/2011</t>
        </is>
      </c>
      <c r="B1646" s="31" t="n">
        <v>81.95</v>
      </c>
    </row>
    <row r="1647">
      <c r="A1647" s="4" t="inlineStr">
        <is>
          <t>17/03/2011</t>
        </is>
      </c>
      <c r="B1647" s="31" t="n">
        <v>81.54000000000001</v>
      </c>
    </row>
    <row r="1648">
      <c r="A1648" s="4" t="inlineStr">
        <is>
          <t>18/03/2011</t>
        </is>
      </c>
      <c r="B1648" s="31" t="n">
        <v>81.88</v>
      </c>
    </row>
    <row r="1649">
      <c r="A1649" s="4" t="inlineStr">
        <is>
          <t>21/03/2011</t>
        </is>
      </c>
      <c r="B1649" s="31" t="n">
        <v>81.90000000000001</v>
      </c>
    </row>
    <row r="1650">
      <c r="A1650" s="4" t="inlineStr">
        <is>
          <t>22/03/2011</t>
        </is>
      </c>
      <c r="B1650" s="31" t="n">
        <v>81.64</v>
      </c>
    </row>
    <row r="1651">
      <c r="A1651" s="4" t="inlineStr">
        <is>
          <t>23/03/2011</t>
        </is>
      </c>
      <c r="B1651" s="31" t="n">
        <v>81.62</v>
      </c>
    </row>
    <row r="1652">
      <c r="A1652" s="4" t="inlineStr">
        <is>
          <t>24/03/2011</t>
        </is>
      </c>
      <c r="B1652" s="31" t="n">
        <v>81.39</v>
      </c>
    </row>
    <row r="1653">
      <c r="A1653" s="4" t="inlineStr">
        <is>
          <t>25/03/2011</t>
        </is>
      </c>
      <c r="B1653" s="31" t="n">
        <v>81</v>
      </c>
    </row>
    <row r="1654">
      <c r="A1654" s="4" t="inlineStr">
        <is>
          <t>28/03/2011</t>
        </is>
      </c>
      <c r="B1654" s="31" t="n">
        <v>81.03</v>
      </c>
    </row>
    <row r="1655">
      <c r="A1655" s="4" t="inlineStr">
        <is>
          <t>29/03/2011</t>
        </is>
      </c>
      <c r="B1655" s="31" t="n">
        <v>79.64</v>
      </c>
    </row>
    <row r="1656">
      <c r="A1656" s="4" t="inlineStr">
        <is>
          <t>30/03/2011</t>
        </is>
      </c>
      <c r="B1656" s="31" t="n">
        <v>79.45999999999999</v>
      </c>
    </row>
    <row r="1657">
      <c r="A1657" s="4" t="inlineStr">
        <is>
          <t>31/03/2011</t>
        </is>
      </c>
      <c r="B1657" s="31" t="n">
        <v>79.38</v>
      </c>
    </row>
    <row r="1658">
      <c r="A1658" s="4" t="inlineStr">
        <is>
          <t>01/04/2011</t>
        </is>
      </c>
      <c r="B1658" s="31" t="n">
        <v>78.77</v>
      </c>
    </row>
    <row r="1659">
      <c r="A1659" s="4" t="inlineStr">
        <is>
          <t>04/04/2011</t>
        </is>
      </c>
      <c r="B1659" s="31" t="n">
        <v>78.81999999999999</v>
      </c>
    </row>
    <row r="1660">
      <c r="A1660" s="4" t="inlineStr">
        <is>
          <t>05/04/2011</t>
        </is>
      </c>
      <c r="B1660" s="31" t="n">
        <v>78.13</v>
      </c>
    </row>
    <row r="1661">
      <c r="A1661" s="4" t="inlineStr">
        <is>
          <t>06/04/2011</t>
        </is>
      </c>
      <c r="B1661" s="31" t="n">
        <v>77.16</v>
      </c>
    </row>
    <row r="1662">
      <c r="A1662" s="4" t="inlineStr">
        <is>
          <t>07/04/2011</t>
        </is>
      </c>
      <c r="B1662" s="31" t="n">
        <v>77.39</v>
      </c>
    </row>
    <row r="1663">
      <c r="A1663" s="4" t="inlineStr">
        <is>
          <t>08/04/2011</t>
        </is>
      </c>
      <c r="B1663" s="31" t="n">
        <v>77.75</v>
      </c>
    </row>
    <row r="1664">
      <c r="A1664" s="4" t="inlineStr">
        <is>
          <t>11/04/2011</t>
        </is>
      </c>
      <c r="B1664" s="31" t="n">
        <v>77.90000000000001</v>
      </c>
    </row>
    <row r="1665">
      <c r="A1665" s="4" t="inlineStr">
        <is>
          <t>12/04/2011</t>
        </is>
      </c>
      <c r="B1665" s="31" t="n">
        <v>77.7</v>
      </c>
    </row>
    <row r="1666">
      <c r="A1666" s="4" t="inlineStr">
        <is>
          <t>13/04/2011</t>
        </is>
      </c>
      <c r="B1666" s="31" t="n">
        <v>77.16</v>
      </c>
    </row>
    <row r="1667">
      <c r="A1667" s="4" t="inlineStr">
        <is>
          <t>14/04/2011</t>
        </is>
      </c>
      <c r="B1667" s="31" t="n">
        <v>77.16</v>
      </c>
    </row>
    <row r="1668">
      <c r="A1668" s="4" t="inlineStr">
        <is>
          <t>15/04/2011</t>
        </is>
      </c>
      <c r="B1668" s="31" t="n">
        <v>77.03</v>
      </c>
    </row>
    <row r="1669">
      <c r="A1669" s="4" t="inlineStr">
        <is>
          <t>18/04/2011</t>
        </is>
      </c>
      <c r="B1669" s="31" t="n">
        <v>76.65000000000001</v>
      </c>
    </row>
    <row r="1670">
      <c r="A1670" s="4" t="inlineStr">
        <is>
          <t>19/04/2011</t>
        </is>
      </c>
      <c r="B1670" s="31" t="n">
        <v>75.47</v>
      </c>
    </row>
    <row r="1671">
      <c r="A1671" s="4" t="inlineStr">
        <is>
          <t>20/04/2011</t>
        </is>
      </c>
      <c r="B1671" s="31" t="n">
        <v>74.86</v>
      </c>
    </row>
    <row r="1672">
      <c r="A1672" s="4" t="inlineStr">
        <is>
          <t>25/04/2011</t>
        </is>
      </c>
      <c r="B1672" s="31" t="n">
        <v>75.52</v>
      </c>
    </row>
    <row r="1673">
      <c r="A1673" s="4" t="inlineStr">
        <is>
          <t>26/04/2011</t>
        </is>
      </c>
      <c r="B1673" s="31" t="n">
        <v>75.34</v>
      </c>
    </row>
    <row r="1674">
      <c r="A1674" s="4" t="inlineStr">
        <is>
          <t>27/04/2011</t>
        </is>
      </c>
      <c r="B1674" s="31" t="n">
        <v>73.81</v>
      </c>
    </row>
    <row r="1675">
      <c r="A1675" s="4" t="inlineStr">
        <is>
          <t>28/04/2011</t>
        </is>
      </c>
      <c r="B1675" s="31" t="n">
        <v>74.22</v>
      </c>
    </row>
    <row r="1676">
      <c r="A1676" s="4" t="inlineStr">
        <is>
          <t>29/04/2011</t>
        </is>
      </c>
      <c r="B1676" s="31" t="n">
        <v>74.91</v>
      </c>
    </row>
    <row r="1677">
      <c r="A1677" s="4" t="inlineStr">
        <is>
          <t>02/05/2011</t>
        </is>
      </c>
      <c r="B1677" s="31" t="n">
        <v>72.90000000000001</v>
      </c>
    </row>
    <row r="1678">
      <c r="A1678" s="4" t="inlineStr">
        <is>
          <t>03/05/2011</t>
        </is>
      </c>
      <c r="B1678" s="31" t="n">
        <v>72.93000000000001</v>
      </c>
    </row>
    <row r="1679">
      <c r="A1679" s="4" t="inlineStr">
        <is>
          <t>04/05/2011</t>
        </is>
      </c>
      <c r="B1679" s="31" t="n">
        <v>72.31999999999999</v>
      </c>
    </row>
    <row r="1680">
      <c r="A1680" s="4" t="inlineStr">
        <is>
          <t>05/05/2011</t>
        </is>
      </c>
      <c r="B1680" s="31" t="n">
        <v>72.47</v>
      </c>
    </row>
    <row r="1681">
      <c r="A1681" s="4" t="inlineStr">
        <is>
          <t>06/05/2011</t>
        </is>
      </c>
      <c r="B1681" s="31" t="n">
        <v>71.86</v>
      </c>
    </row>
    <row r="1682">
      <c r="A1682" s="4" t="inlineStr">
        <is>
          <t>09/05/2011</t>
        </is>
      </c>
      <c r="B1682" s="31" t="n">
        <v>71.83</v>
      </c>
    </row>
    <row r="1683">
      <c r="A1683" s="4" t="inlineStr">
        <is>
          <t>10/05/2011</t>
        </is>
      </c>
      <c r="B1683" s="31" t="n">
        <v>72.06</v>
      </c>
    </row>
    <row r="1684">
      <c r="A1684" s="4" t="inlineStr">
        <is>
          <t>11/05/2011</t>
        </is>
      </c>
      <c r="B1684" s="31" t="n">
        <v>71.76000000000001</v>
      </c>
    </row>
    <row r="1685">
      <c r="A1685" s="4" t="inlineStr">
        <is>
          <t>12/05/2011</t>
        </is>
      </c>
      <c r="B1685" s="31" t="n">
        <v>71.5</v>
      </c>
    </row>
    <row r="1686">
      <c r="A1686" s="4" t="inlineStr">
        <is>
          <t>13/05/2011</t>
        </is>
      </c>
      <c r="B1686" s="31" t="n">
        <v>71.70999999999999</v>
      </c>
    </row>
    <row r="1687">
      <c r="A1687" s="4" t="inlineStr">
        <is>
          <t>16/05/2011</t>
        </is>
      </c>
      <c r="B1687" s="31" t="n">
        <v>72.42</v>
      </c>
    </row>
    <row r="1688">
      <c r="A1688" s="4" t="inlineStr">
        <is>
          <t>17/05/2011</t>
        </is>
      </c>
      <c r="B1688" s="31" t="n">
        <v>73.03</v>
      </c>
    </row>
    <row r="1689">
      <c r="A1689" s="4" t="inlineStr">
        <is>
          <t>18/05/2011</t>
        </is>
      </c>
      <c r="B1689" s="31" t="n">
        <v>72.5</v>
      </c>
    </row>
    <row r="1690">
      <c r="A1690" s="4" t="inlineStr">
        <is>
          <t>19/05/2011</t>
        </is>
      </c>
      <c r="B1690" s="31" t="n">
        <v>72.90000000000001</v>
      </c>
    </row>
    <row r="1691">
      <c r="A1691" s="4" t="inlineStr">
        <is>
          <t>20/05/2011</t>
        </is>
      </c>
      <c r="B1691" s="31" t="n">
        <v>72.65000000000001</v>
      </c>
    </row>
    <row r="1692">
      <c r="A1692" s="4" t="inlineStr">
        <is>
          <t>23/05/2011</t>
        </is>
      </c>
      <c r="B1692" s="31" t="n">
        <v>73.59</v>
      </c>
    </row>
    <row r="1693">
      <c r="A1693" s="4" t="inlineStr">
        <is>
          <t>24/05/2011</t>
        </is>
      </c>
      <c r="B1693" s="31" t="n">
        <v>74.38</v>
      </c>
    </row>
    <row r="1694">
      <c r="A1694" s="4" t="inlineStr">
        <is>
          <t>25/05/2011</t>
        </is>
      </c>
      <c r="B1694" s="31" t="n">
        <v>74.59</v>
      </c>
    </row>
    <row r="1695">
      <c r="A1695" s="4" t="inlineStr">
        <is>
          <t>26/05/2011</t>
        </is>
      </c>
      <c r="B1695" s="31" t="n">
        <v>74.45999999999999</v>
      </c>
    </row>
    <row r="1696">
      <c r="A1696" s="4" t="inlineStr">
        <is>
          <t>27/05/2011</t>
        </is>
      </c>
      <c r="B1696" s="31" t="n">
        <v>75.34999999999999</v>
      </c>
    </row>
    <row r="1697">
      <c r="A1697" s="4" t="inlineStr">
        <is>
          <t>30/05/2011</t>
        </is>
      </c>
      <c r="B1697" s="31" t="n">
        <v>75.2</v>
      </c>
    </row>
    <row r="1698">
      <c r="A1698" s="4" t="inlineStr">
        <is>
          <t>31/05/2011</t>
        </is>
      </c>
      <c r="B1698" s="31" t="n">
        <v>75.94</v>
      </c>
    </row>
    <row r="1699">
      <c r="A1699" s="4" t="inlineStr">
        <is>
          <t>01/06/2011</t>
        </is>
      </c>
      <c r="B1699" s="31" t="n">
        <v>76.3</v>
      </c>
    </row>
    <row r="1700">
      <c r="A1700" s="4" t="inlineStr">
        <is>
          <t>02/06/2011</t>
        </is>
      </c>
      <c r="B1700" s="31" t="n">
        <v>77.22</v>
      </c>
    </row>
    <row r="1701">
      <c r="A1701" s="4" t="inlineStr">
        <is>
          <t>03/06/2011</t>
        </is>
      </c>
      <c r="B1701" s="31" t="n">
        <v>77.34999999999999</v>
      </c>
    </row>
    <row r="1702">
      <c r="A1702" s="4" t="inlineStr">
        <is>
          <t>06/06/2011</t>
        </is>
      </c>
      <c r="B1702" s="31" t="n">
        <v>78.23999999999999</v>
      </c>
    </row>
    <row r="1703">
      <c r="A1703" s="4" t="inlineStr">
        <is>
          <t>07/06/2011</t>
        </is>
      </c>
      <c r="B1703" s="31" t="n">
        <v>78.81</v>
      </c>
    </row>
    <row r="1704">
      <c r="A1704" s="4" t="inlineStr">
        <is>
          <t>08/06/2011</t>
        </is>
      </c>
      <c r="B1704" s="31" t="n">
        <v>79.19</v>
      </c>
    </row>
    <row r="1705">
      <c r="A1705" s="4" t="inlineStr">
        <is>
          <t>09/06/2011</t>
        </is>
      </c>
      <c r="B1705" s="31" t="n">
        <v>79.75</v>
      </c>
    </row>
    <row r="1706">
      <c r="A1706" s="4" t="inlineStr">
        <is>
          <t>10/06/2011</t>
        </is>
      </c>
      <c r="B1706" s="31" t="n">
        <v>79.98</v>
      </c>
    </row>
    <row r="1707">
      <c r="A1707" s="4" t="inlineStr">
        <is>
          <t>13/06/2011</t>
        </is>
      </c>
      <c r="B1707" s="31" t="n">
        <v>79.62</v>
      </c>
    </row>
    <row r="1708">
      <c r="A1708" s="4" t="inlineStr">
        <is>
          <t>14/06/2011</t>
        </is>
      </c>
      <c r="B1708" s="31" t="n">
        <v>79.7</v>
      </c>
    </row>
    <row r="1709">
      <c r="A1709" s="4" t="inlineStr">
        <is>
          <t>15/06/2011</t>
        </is>
      </c>
      <c r="B1709" s="31" t="n">
        <v>80.08</v>
      </c>
    </row>
    <row r="1710">
      <c r="A1710" s="4" t="inlineStr">
        <is>
          <t>16/06/2011</t>
        </is>
      </c>
      <c r="B1710" s="31" t="n">
        <v>79.65000000000001</v>
      </c>
    </row>
    <row r="1711">
      <c r="A1711" s="4" t="inlineStr">
        <is>
          <t>17/06/2011</t>
        </is>
      </c>
      <c r="B1711" s="31" t="n">
        <v>79.67</v>
      </c>
    </row>
    <row r="1712">
      <c r="A1712" s="4" t="inlineStr">
        <is>
          <t>20/06/2011</t>
        </is>
      </c>
      <c r="B1712" s="31" t="n">
        <v>79.16</v>
      </c>
    </row>
    <row r="1713">
      <c r="A1713" s="4" t="inlineStr">
        <is>
          <t>21/06/2011</t>
        </is>
      </c>
      <c r="B1713" s="31" t="n">
        <v>78.42</v>
      </c>
    </row>
    <row r="1714">
      <c r="A1714" s="4" t="inlineStr">
        <is>
          <t>22/06/2011</t>
        </is>
      </c>
      <c r="B1714" s="31" t="n">
        <v>77.68000000000001</v>
      </c>
    </row>
    <row r="1715">
      <c r="A1715" s="4" t="inlineStr">
        <is>
          <t>24/06/2011</t>
        </is>
      </c>
      <c r="B1715" s="31" t="n">
        <v>77.98999999999999</v>
      </c>
    </row>
    <row r="1716">
      <c r="A1716" s="4" t="inlineStr">
        <is>
          <t>27/06/2011</t>
        </is>
      </c>
      <c r="B1716" s="31" t="n">
        <v>77.17</v>
      </c>
    </row>
    <row r="1717">
      <c r="A1717" s="4" t="inlineStr">
        <is>
          <t>28/06/2011</t>
        </is>
      </c>
      <c r="B1717" s="31" t="n">
        <v>76.64</v>
      </c>
    </row>
    <row r="1718">
      <c r="A1718" s="4" t="inlineStr">
        <is>
          <t>29/06/2011</t>
        </is>
      </c>
      <c r="B1718" s="31" t="n">
        <v>77.43000000000001</v>
      </c>
    </row>
    <row r="1719">
      <c r="A1719" s="4" t="inlineStr">
        <is>
          <t>30/06/2011</t>
        </is>
      </c>
      <c r="B1719" s="31" t="n">
        <v>78.22</v>
      </c>
    </row>
    <row r="1720">
      <c r="A1720" s="4" t="inlineStr">
        <is>
          <t>01/07/2011</t>
        </is>
      </c>
      <c r="B1720" s="31" t="n">
        <v>79.44</v>
      </c>
    </row>
    <row r="1721">
      <c r="A1721" s="4" t="inlineStr">
        <is>
          <t>04/07/2011</t>
        </is>
      </c>
      <c r="B1721" s="31" t="n">
        <v>78.54000000000001</v>
      </c>
    </row>
    <row r="1722">
      <c r="A1722" s="4" t="inlineStr">
        <is>
          <t>05/07/2011</t>
        </is>
      </c>
      <c r="B1722" s="31" t="n">
        <v>79.03</v>
      </c>
    </row>
    <row r="1723">
      <c r="A1723" s="4" t="inlineStr">
        <is>
          <t>06/07/2011</t>
        </is>
      </c>
      <c r="B1723" s="31" t="n">
        <v>79.18000000000001</v>
      </c>
    </row>
    <row r="1724">
      <c r="A1724" s="4" t="inlineStr">
        <is>
          <t>07/07/2011</t>
        </is>
      </c>
      <c r="B1724" s="31" t="n">
        <v>78.87</v>
      </c>
    </row>
    <row r="1725">
      <c r="A1725" s="4" t="inlineStr">
        <is>
          <t>08/07/2011</t>
        </is>
      </c>
      <c r="B1725" s="31" t="n">
        <v>78.39</v>
      </c>
    </row>
    <row r="1726">
      <c r="A1726" s="4" t="inlineStr">
        <is>
          <t>11/07/2011</t>
        </is>
      </c>
      <c r="B1726" s="31" t="n">
        <v>77.44</v>
      </c>
    </row>
    <row r="1727">
      <c r="A1727" s="4" t="inlineStr">
        <is>
          <t>12/07/2011</t>
        </is>
      </c>
      <c r="B1727" s="31" t="n">
        <v>77.47</v>
      </c>
    </row>
    <row r="1728">
      <c r="A1728" s="4" t="inlineStr">
        <is>
          <t>13/07/2011</t>
        </is>
      </c>
      <c r="B1728" s="31" t="n">
        <v>77.26000000000001</v>
      </c>
    </row>
    <row r="1729">
      <c r="A1729" s="4" t="inlineStr">
        <is>
          <t>14/07/2011</t>
        </is>
      </c>
      <c r="B1729" s="31" t="n">
        <v>76.29000000000001</v>
      </c>
    </row>
    <row r="1730">
      <c r="A1730" s="4" t="inlineStr">
        <is>
          <t>15/07/2011</t>
        </is>
      </c>
      <c r="B1730" s="31" t="n">
        <v>76.59999999999999</v>
      </c>
    </row>
    <row r="1731">
      <c r="A1731" s="4" t="inlineStr">
        <is>
          <t>18/07/2011</t>
        </is>
      </c>
      <c r="B1731" s="31" t="n">
        <v>76.31999999999999</v>
      </c>
    </row>
    <row r="1732">
      <c r="A1732" s="4" t="inlineStr">
        <is>
          <t>19/07/2011</t>
        </is>
      </c>
      <c r="B1732" s="31" t="n">
        <v>75.94</v>
      </c>
    </row>
    <row r="1733">
      <c r="A1733" s="4" t="inlineStr">
        <is>
          <t>20/07/2011</t>
        </is>
      </c>
      <c r="B1733" s="31" t="n">
        <v>76.88</v>
      </c>
    </row>
    <row r="1734">
      <c r="A1734" s="4" t="inlineStr">
        <is>
          <t>21/07/2011</t>
        </is>
      </c>
      <c r="B1734" s="31" t="n">
        <v>77.01000000000001</v>
      </c>
    </row>
    <row r="1735">
      <c r="A1735" s="4" t="inlineStr">
        <is>
          <t>22/07/2011</t>
        </is>
      </c>
      <c r="B1735" s="31" t="n">
        <v>77.44</v>
      </c>
    </row>
    <row r="1736">
      <c r="A1736" s="4" t="inlineStr">
        <is>
          <t>25/07/2011</t>
        </is>
      </c>
      <c r="B1736" s="31" t="n">
        <v>77.03</v>
      </c>
    </row>
    <row r="1737">
      <c r="A1737" s="4" t="inlineStr">
        <is>
          <t>26/07/2011</t>
        </is>
      </c>
      <c r="B1737" s="31" t="n">
        <v>76.83</v>
      </c>
    </row>
    <row r="1738">
      <c r="A1738" s="4" t="inlineStr">
        <is>
          <t>27/07/2011</t>
        </is>
      </c>
      <c r="B1738" s="31" t="n">
        <v>77.01000000000001</v>
      </c>
    </row>
    <row r="1739">
      <c r="A1739" s="4" t="inlineStr">
        <is>
          <t>28/07/2011</t>
        </is>
      </c>
      <c r="B1739" s="31" t="n">
        <v>76.68000000000001</v>
      </c>
    </row>
    <row r="1740">
      <c r="A1740" s="4" t="inlineStr">
        <is>
          <t>29/07/2011</t>
        </is>
      </c>
      <c r="B1740" s="31" t="n">
        <v>77.11</v>
      </c>
    </row>
    <row r="1741">
      <c r="A1741" s="4" t="inlineStr">
        <is>
          <t>01/08/2011</t>
        </is>
      </c>
      <c r="B1741" s="31" t="n">
        <v>76.14</v>
      </c>
    </row>
    <row r="1742">
      <c r="A1742" s="4" t="inlineStr">
        <is>
          <t>02/08/2011</t>
        </is>
      </c>
      <c r="B1742" s="31" t="n">
        <v>76.34</v>
      </c>
    </row>
    <row r="1743">
      <c r="A1743" s="4" t="inlineStr">
        <is>
          <t>03/08/2011</t>
        </is>
      </c>
      <c r="B1743" s="31" t="n">
        <v>76.93000000000001</v>
      </c>
    </row>
    <row r="1744">
      <c r="A1744" s="4" t="inlineStr">
        <is>
          <t>04/08/2011</t>
        </is>
      </c>
      <c r="B1744" s="31" t="n">
        <v>76.7</v>
      </c>
    </row>
    <row r="1745">
      <c r="A1745" s="4" t="inlineStr">
        <is>
          <t>05/08/2011</t>
        </is>
      </c>
      <c r="B1745" s="31" t="n">
        <v>76.62</v>
      </c>
    </row>
    <row r="1746">
      <c r="A1746" s="4" t="inlineStr">
        <is>
          <t>08/08/2011</t>
        </is>
      </c>
      <c r="B1746" s="31" t="n">
        <v>76.8</v>
      </c>
    </row>
    <row r="1747">
      <c r="A1747" s="4" t="inlineStr">
        <is>
          <t>09/08/2011</t>
        </is>
      </c>
      <c r="B1747" s="31" t="n">
        <v>76.84999999999999</v>
      </c>
    </row>
    <row r="1748">
      <c r="A1748" s="4" t="inlineStr">
        <is>
          <t>10/08/2011</t>
        </is>
      </c>
      <c r="B1748" s="31" t="n">
        <v>76.67</v>
      </c>
    </row>
    <row r="1749">
      <c r="A1749" s="4" t="inlineStr">
        <is>
          <t>11/08/2011</t>
        </is>
      </c>
      <c r="B1749" s="31" t="n">
        <v>76.34</v>
      </c>
    </row>
    <row r="1750">
      <c r="A1750" s="4" t="inlineStr">
        <is>
          <t>12/08/2011</t>
        </is>
      </c>
      <c r="B1750" s="31" t="n">
        <v>76.03</v>
      </c>
    </row>
    <row r="1751">
      <c r="A1751" s="4" t="inlineStr">
        <is>
          <t>15/08/2011</t>
        </is>
      </c>
      <c r="B1751" s="31" t="n">
        <v>76.47</v>
      </c>
    </row>
    <row r="1752">
      <c r="A1752" s="4" t="inlineStr">
        <is>
          <t>16/08/2011</t>
        </is>
      </c>
      <c r="B1752" s="31" t="n">
        <v>76.62</v>
      </c>
    </row>
    <row r="1753">
      <c r="A1753" s="4" t="inlineStr">
        <is>
          <t>17/08/2011</t>
        </is>
      </c>
      <c r="B1753" s="31" t="n">
        <v>77.09999999999999</v>
      </c>
    </row>
    <row r="1754">
      <c r="A1754" s="4" t="inlineStr">
        <is>
          <t>18/08/2011</t>
        </is>
      </c>
      <c r="B1754" s="31" t="n">
        <v>76.48999999999999</v>
      </c>
    </row>
    <row r="1755">
      <c r="A1755" s="4" t="inlineStr">
        <is>
          <t>19/08/2011</t>
        </is>
      </c>
      <c r="B1755" s="31" t="n">
        <v>76.37</v>
      </c>
    </row>
    <row r="1756">
      <c r="A1756" s="4" t="inlineStr">
        <is>
          <t>22/08/2011</t>
        </is>
      </c>
      <c r="B1756" s="31" t="n">
        <v>76.39</v>
      </c>
    </row>
    <row r="1757">
      <c r="A1757" s="4" t="inlineStr">
        <is>
          <t>23/08/2011</t>
        </is>
      </c>
      <c r="B1757" s="31" t="n">
        <v>76.44</v>
      </c>
    </row>
    <row r="1758">
      <c r="A1758" s="4" t="inlineStr">
        <is>
          <t>24/08/2011</t>
        </is>
      </c>
      <c r="B1758" s="31" t="n">
        <v>76.59</v>
      </c>
    </row>
    <row r="1759">
      <c r="A1759" s="4" t="inlineStr">
        <is>
          <t>25/08/2011</t>
        </is>
      </c>
      <c r="B1759" s="31" t="n">
        <v>77.20999999999999</v>
      </c>
    </row>
    <row r="1760">
      <c r="A1760" s="4" t="inlineStr">
        <is>
          <t>26/08/2011</t>
        </is>
      </c>
      <c r="B1760" s="31" t="n">
        <v>77.73999999999999</v>
      </c>
    </row>
    <row r="1761">
      <c r="A1761" s="4" t="inlineStr">
        <is>
          <t>29/08/2011</t>
        </is>
      </c>
      <c r="B1761" s="31" t="n">
        <v>77.56</v>
      </c>
    </row>
    <row r="1762">
      <c r="A1762" s="4" t="inlineStr">
        <is>
          <t>30/08/2011</t>
        </is>
      </c>
      <c r="B1762" s="31" t="n">
        <v>78.25</v>
      </c>
    </row>
    <row r="1763">
      <c r="A1763" s="4" t="inlineStr">
        <is>
          <t>31/08/2011</t>
        </is>
      </c>
      <c r="B1763" s="31" t="n">
        <v>78.91</v>
      </c>
    </row>
    <row r="1764">
      <c r="A1764" s="4" t="inlineStr">
        <is>
          <t>01/09/2011</t>
        </is>
      </c>
      <c r="B1764" s="31" t="n">
        <v>78.81</v>
      </c>
    </row>
    <row r="1765">
      <c r="A1765" s="4" t="inlineStr">
        <is>
          <t>02/09/2011</t>
        </is>
      </c>
      <c r="B1765" s="31" t="n">
        <v>79.01000000000001</v>
      </c>
    </row>
    <row r="1766">
      <c r="A1766" s="4" t="inlineStr">
        <is>
          <t>05/09/2011</t>
        </is>
      </c>
      <c r="B1766" s="31" t="n">
        <v>79.20999999999999</v>
      </c>
    </row>
    <row r="1767">
      <c r="A1767" s="4" t="inlineStr">
        <is>
          <t>06/09/2011</t>
        </is>
      </c>
      <c r="B1767" s="31" t="n">
        <v>79.73999999999999</v>
      </c>
    </row>
    <row r="1768">
      <c r="A1768" s="4" t="inlineStr">
        <is>
          <t>08/09/2011</t>
        </is>
      </c>
      <c r="B1768" s="31" t="n">
        <v>79.92</v>
      </c>
    </row>
    <row r="1769">
      <c r="A1769" s="4" t="inlineStr">
        <is>
          <t>09/09/2011</t>
        </is>
      </c>
      <c r="B1769" s="31" t="n">
        <v>80.06999999999999</v>
      </c>
    </row>
    <row r="1770">
      <c r="A1770" s="4" t="inlineStr">
        <is>
          <t>12/09/2011</t>
        </is>
      </c>
      <c r="B1770" s="31" t="n">
        <v>80.2</v>
      </c>
    </row>
    <row r="1771">
      <c r="A1771" s="4" t="inlineStr">
        <is>
          <t>13/09/2011</t>
        </is>
      </c>
      <c r="B1771" s="31" t="n">
        <v>79.73999999999999</v>
      </c>
    </row>
    <row r="1772">
      <c r="A1772" s="4" t="inlineStr">
        <is>
          <t>14/09/2011</t>
        </is>
      </c>
      <c r="B1772" s="31" t="n">
        <v>80.47</v>
      </c>
    </row>
    <row r="1773">
      <c r="A1773" s="4" t="inlineStr">
        <is>
          <t>15/09/2011</t>
        </is>
      </c>
      <c r="B1773" s="31" t="n">
        <v>80.78</v>
      </c>
    </row>
    <row r="1774">
      <c r="A1774" s="4" t="inlineStr">
        <is>
          <t>16/09/2011</t>
        </is>
      </c>
      <c r="B1774" s="31" t="n">
        <v>81.79000000000001</v>
      </c>
    </row>
    <row r="1775">
      <c r="A1775" s="4" t="inlineStr">
        <is>
          <t>19/09/2011</t>
        </is>
      </c>
      <c r="B1775" s="31" t="n">
        <v>81.23</v>
      </c>
    </row>
    <row r="1776">
      <c r="A1776" s="4" t="inlineStr">
        <is>
          <t>20/09/2011</t>
        </is>
      </c>
      <c r="B1776" s="31" t="n">
        <v>81.92</v>
      </c>
    </row>
    <row r="1777">
      <c r="A1777" s="4" t="inlineStr">
        <is>
          <t>21/09/2011</t>
        </is>
      </c>
      <c r="B1777" s="31" t="n">
        <v>81.51000000000001</v>
      </c>
    </row>
    <row r="1778">
      <c r="A1778" s="4" t="inlineStr">
        <is>
          <t>22/09/2011</t>
        </is>
      </c>
      <c r="B1778" s="31" t="n">
        <v>82.09</v>
      </c>
    </row>
    <row r="1779">
      <c r="A1779" s="4" t="inlineStr">
        <is>
          <t>23/09/2011</t>
        </is>
      </c>
      <c r="B1779" s="31" t="n">
        <v>81.59</v>
      </c>
    </row>
    <row r="1780">
      <c r="A1780" s="4" t="inlineStr">
        <is>
          <t>26/09/2011</t>
        </is>
      </c>
      <c r="B1780" s="31" t="n">
        <v>81.81</v>
      </c>
    </row>
    <row r="1781">
      <c r="A1781" s="4" t="inlineStr">
        <is>
          <t>27/09/2011</t>
        </is>
      </c>
      <c r="B1781" s="31" t="n">
        <v>81.92</v>
      </c>
    </row>
    <row r="1782">
      <c r="A1782" s="4" t="inlineStr">
        <is>
          <t>28/09/2011</t>
        </is>
      </c>
      <c r="B1782" s="31" t="n">
        <v>81.73999999999999</v>
      </c>
    </row>
    <row r="1783">
      <c r="A1783" s="4" t="inlineStr">
        <is>
          <t>29/09/2011</t>
        </is>
      </c>
      <c r="B1783" s="31" t="n">
        <v>80.88</v>
      </c>
    </row>
    <row r="1784">
      <c r="A1784" s="4" t="inlineStr">
        <is>
          <t>30/09/2011</t>
        </is>
      </c>
      <c r="B1784" s="31" t="n">
        <v>80.27</v>
      </c>
    </row>
    <row r="1785">
      <c r="A1785" s="4" t="inlineStr">
        <is>
          <t>03/10/2011</t>
        </is>
      </c>
      <c r="B1785" s="31" t="n">
        <v>79.81999999999999</v>
      </c>
    </row>
    <row r="1786">
      <c r="A1786" s="4" t="inlineStr">
        <is>
          <t>04/10/2011</t>
        </is>
      </c>
      <c r="B1786" s="31" t="n">
        <v>79.52</v>
      </c>
    </row>
    <row r="1787">
      <c r="A1787" s="4" t="inlineStr">
        <is>
          <t>05/10/2011</t>
        </is>
      </c>
      <c r="B1787" s="31" t="n">
        <v>79.23999999999999</v>
      </c>
    </row>
    <row r="1788">
      <c r="A1788" s="4" t="inlineStr">
        <is>
          <t>06/10/2011</t>
        </is>
      </c>
      <c r="B1788" s="31" t="n">
        <v>78.06</v>
      </c>
    </row>
    <row r="1789">
      <c r="A1789" s="4" t="inlineStr">
        <is>
          <t>07/10/2011</t>
        </is>
      </c>
      <c r="B1789" s="31" t="n">
        <v>78.89</v>
      </c>
    </row>
    <row r="1790">
      <c r="A1790" s="4" t="inlineStr">
        <is>
          <t>10/10/2011</t>
        </is>
      </c>
      <c r="B1790" s="31" t="n">
        <v>78.98999999999999</v>
      </c>
    </row>
    <row r="1791">
      <c r="A1791" s="4" t="inlineStr">
        <is>
          <t>11/10/2011</t>
        </is>
      </c>
      <c r="B1791" s="31" t="n">
        <v>78.59</v>
      </c>
    </row>
    <row r="1792">
      <c r="A1792" s="4" t="inlineStr">
        <is>
          <t>13/10/2011</t>
        </is>
      </c>
      <c r="B1792" s="31" t="n">
        <v>77.89</v>
      </c>
    </row>
    <row r="1793">
      <c r="A1793" s="4" t="inlineStr">
        <is>
          <t>14/10/2011</t>
        </is>
      </c>
      <c r="B1793" s="31" t="n">
        <v>77.41</v>
      </c>
    </row>
    <row r="1794">
      <c r="A1794" s="4" t="inlineStr">
        <is>
          <t>17/10/2011</t>
        </is>
      </c>
      <c r="B1794" s="31" t="n">
        <v>75.37</v>
      </c>
    </row>
    <row r="1795">
      <c r="A1795" s="4" t="inlineStr">
        <is>
          <t>18/10/2011</t>
        </is>
      </c>
      <c r="B1795" s="31" t="n">
        <v>75.25</v>
      </c>
    </row>
    <row r="1796">
      <c r="A1796" s="4" t="inlineStr">
        <is>
          <t>19/10/2011</t>
        </is>
      </c>
      <c r="B1796" s="31" t="n">
        <v>75.17</v>
      </c>
    </row>
    <row r="1797">
      <c r="A1797" s="4" t="inlineStr">
        <is>
          <t>20/10/2011</t>
        </is>
      </c>
      <c r="B1797" s="31" t="n">
        <v>74.54000000000001</v>
      </c>
    </row>
    <row r="1798">
      <c r="A1798" s="4" t="inlineStr">
        <is>
          <t>21/10/2011</t>
        </is>
      </c>
      <c r="B1798" s="31" t="n">
        <v>75.17</v>
      </c>
    </row>
    <row r="1799">
      <c r="A1799" s="4" t="inlineStr">
        <is>
          <t>24/10/2011</t>
        </is>
      </c>
      <c r="B1799" s="31" t="n">
        <v>75.75</v>
      </c>
    </row>
    <row r="1800">
      <c r="A1800" s="4" t="inlineStr">
        <is>
          <t>25/10/2011</t>
        </is>
      </c>
      <c r="B1800" s="31" t="n">
        <v>76.76000000000001</v>
      </c>
    </row>
    <row r="1801">
      <c r="A1801" s="4" t="inlineStr">
        <is>
          <t>26/10/2011</t>
        </is>
      </c>
      <c r="B1801" s="31" t="n">
        <v>77.36</v>
      </c>
    </row>
    <row r="1802">
      <c r="A1802" s="4" t="inlineStr">
        <is>
          <t>27/10/2011</t>
        </is>
      </c>
      <c r="B1802" s="31" t="n">
        <v>77.36</v>
      </c>
    </row>
    <row r="1803">
      <c r="A1803" s="4" t="inlineStr">
        <is>
          <t>28/10/2011</t>
        </is>
      </c>
      <c r="B1803" s="31" t="n">
        <v>77.31</v>
      </c>
    </row>
    <row r="1804">
      <c r="A1804" s="4" t="inlineStr">
        <is>
          <t>31/10/2011</t>
        </is>
      </c>
      <c r="B1804" s="31" t="n">
        <v>78.16</v>
      </c>
    </row>
    <row r="1805">
      <c r="A1805" s="4" t="inlineStr">
        <is>
          <t>01/11/2011</t>
        </is>
      </c>
      <c r="B1805" s="31" t="n">
        <v>77.05</v>
      </c>
    </row>
    <row r="1806">
      <c r="A1806" s="4" t="inlineStr">
        <is>
          <t>03/11/2011</t>
        </is>
      </c>
      <c r="B1806" s="31" t="n">
        <v>76.95</v>
      </c>
    </row>
    <row r="1807">
      <c r="A1807" s="4" t="inlineStr">
        <is>
          <t>04/11/2011</t>
        </is>
      </c>
      <c r="B1807" s="31" t="n">
        <v>77.72</v>
      </c>
    </row>
    <row r="1808">
      <c r="A1808" s="4" t="inlineStr">
        <is>
          <t>07/11/2011</t>
        </is>
      </c>
      <c r="B1808" s="31" t="n">
        <v>77.8</v>
      </c>
    </row>
    <row r="1809">
      <c r="A1809" s="4" t="inlineStr">
        <is>
          <t>08/11/2011</t>
        </is>
      </c>
      <c r="B1809" s="31" t="n">
        <v>78.25</v>
      </c>
    </row>
    <row r="1810">
      <c r="A1810" s="4" t="inlineStr">
        <is>
          <t>09/11/2011</t>
        </is>
      </c>
      <c r="B1810" s="31" t="n">
        <v>78.02</v>
      </c>
    </row>
    <row r="1811">
      <c r="A1811" s="4" t="inlineStr">
        <is>
          <t>10/11/2011</t>
        </is>
      </c>
      <c r="B1811" s="31" t="n">
        <v>77.87</v>
      </c>
    </row>
    <row r="1812">
      <c r="A1812" s="4" t="inlineStr">
        <is>
          <t>11/11/2011</t>
        </is>
      </c>
      <c r="B1812" s="31" t="n">
        <v>77.2</v>
      </c>
    </row>
    <row r="1813">
      <c r="A1813" s="4" t="inlineStr">
        <is>
          <t>14/11/2011</t>
        </is>
      </c>
      <c r="B1813" s="31" t="n">
        <v>77.25</v>
      </c>
    </row>
    <row r="1814">
      <c r="A1814" s="4" t="inlineStr">
        <is>
          <t>16/11/2011</t>
        </is>
      </c>
      <c r="B1814" s="31" t="n">
        <v>76.77</v>
      </c>
    </row>
    <row r="1815">
      <c r="A1815" s="4" t="inlineStr">
        <is>
          <t>17/11/2011</t>
        </is>
      </c>
      <c r="B1815" s="31" t="n">
        <v>75.5</v>
      </c>
    </row>
    <row r="1816">
      <c r="A1816" s="4" t="inlineStr">
        <is>
          <t>18/11/2011</t>
        </is>
      </c>
      <c r="B1816" s="31" t="n">
        <v>75.05</v>
      </c>
    </row>
    <row r="1817">
      <c r="A1817" s="4" t="inlineStr">
        <is>
          <t>21/11/2011</t>
        </is>
      </c>
      <c r="B1817" s="31" t="n">
        <v>74.52</v>
      </c>
    </row>
    <row r="1818">
      <c r="A1818" s="4" t="inlineStr">
        <is>
          <t>22/11/2011</t>
        </is>
      </c>
      <c r="B1818" s="31" t="n">
        <v>72.56999999999999</v>
      </c>
    </row>
    <row r="1819">
      <c r="A1819" s="4" t="inlineStr">
        <is>
          <t>23/11/2011</t>
        </is>
      </c>
      <c r="B1819" s="31" t="n">
        <v>71.98999999999999</v>
      </c>
    </row>
    <row r="1820">
      <c r="A1820" s="4" t="inlineStr">
        <is>
          <t>24/11/2011</t>
        </is>
      </c>
      <c r="B1820" s="31" t="n">
        <v>70.17</v>
      </c>
    </row>
    <row r="1821">
      <c r="A1821" s="4" t="inlineStr">
        <is>
          <t>25/11/2011</t>
        </is>
      </c>
      <c r="B1821" s="31" t="n">
        <v>68.56999999999999</v>
      </c>
    </row>
    <row r="1822">
      <c r="A1822" s="4" t="inlineStr">
        <is>
          <t>28/11/2011</t>
        </is>
      </c>
      <c r="B1822" s="31" t="n">
        <v>68.23999999999999</v>
      </c>
    </row>
    <row r="1823">
      <c r="A1823" s="4" t="inlineStr">
        <is>
          <t>29/11/2011</t>
        </is>
      </c>
      <c r="B1823" s="31" t="n">
        <v>70.64</v>
      </c>
    </row>
    <row r="1824">
      <c r="A1824" s="4" t="inlineStr">
        <is>
          <t>30/11/2011</t>
        </is>
      </c>
      <c r="B1824" s="31" t="n">
        <v>69.84</v>
      </c>
    </row>
    <row r="1825">
      <c r="A1825" s="4" t="inlineStr">
        <is>
          <t>01/12/2011</t>
        </is>
      </c>
      <c r="B1825" s="31" t="n">
        <v>69.73</v>
      </c>
    </row>
    <row r="1826">
      <c r="A1826" s="4" t="inlineStr">
        <is>
          <t>02/12/2011</t>
        </is>
      </c>
      <c r="B1826" s="31" t="n">
        <v>68.77</v>
      </c>
    </row>
    <row r="1827">
      <c r="A1827" s="4" t="inlineStr">
        <is>
          <t>05/12/2011</t>
        </is>
      </c>
      <c r="B1827" s="31" t="n">
        <v>68.31999999999999</v>
      </c>
    </row>
    <row r="1828">
      <c r="A1828" s="4" t="inlineStr">
        <is>
          <t>06/12/2011</t>
        </is>
      </c>
      <c r="B1828" s="31" t="n">
        <v>69.17</v>
      </c>
    </row>
    <row r="1829">
      <c r="A1829" s="4" t="inlineStr">
        <is>
          <t>07/12/2011</t>
        </is>
      </c>
      <c r="B1829" s="31" t="n">
        <v>69.2</v>
      </c>
    </row>
    <row r="1830">
      <c r="A1830" s="4" t="inlineStr">
        <is>
          <t>08/12/2011</t>
        </is>
      </c>
      <c r="B1830" s="31" t="n">
        <v>68.3</v>
      </c>
    </row>
    <row r="1831">
      <c r="A1831" s="4" t="inlineStr">
        <is>
          <t>09/12/2011</t>
        </is>
      </c>
      <c r="B1831" s="31" t="n">
        <v>67.81999999999999</v>
      </c>
    </row>
    <row r="1832">
      <c r="A1832" s="4" t="inlineStr">
        <is>
          <t>12/12/2011</t>
        </is>
      </c>
      <c r="B1832" s="31" t="n">
        <v>67.75</v>
      </c>
    </row>
    <row r="1833">
      <c r="A1833" s="4" t="inlineStr">
        <is>
          <t>13/12/2011</t>
        </is>
      </c>
      <c r="B1833" s="31" t="n">
        <v>68</v>
      </c>
    </row>
    <row r="1834">
      <c r="A1834" s="4" t="inlineStr">
        <is>
          <t>14/12/2011</t>
        </is>
      </c>
      <c r="B1834" s="31" t="n">
        <v>69.3</v>
      </c>
    </row>
    <row r="1835">
      <c r="A1835" s="4" t="inlineStr">
        <is>
          <t>15/12/2011</t>
        </is>
      </c>
      <c r="B1835" s="31" t="n">
        <v>69.59999999999999</v>
      </c>
    </row>
    <row r="1836">
      <c r="A1836" s="4" t="inlineStr">
        <is>
          <t>16/12/2011</t>
        </is>
      </c>
      <c r="B1836" s="31" t="n">
        <v>70.25</v>
      </c>
    </row>
    <row r="1837">
      <c r="A1837" s="4" t="inlineStr">
        <is>
          <t>19/12/2011</t>
        </is>
      </c>
      <c r="B1837" s="31" t="n">
        <v>71.23</v>
      </c>
    </row>
    <row r="1838">
      <c r="A1838" s="4" t="inlineStr">
        <is>
          <t>20/12/2011</t>
        </is>
      </c>
      <c r="B1838" s="31" t="n">
        <v>71.45</v>
      </c>
    </row>
    <row r="1839">
      <c r="A1839" s="4" t="inlineStr">
        <is>
          <t>21/12/2011</t>
        </is>
      </c>
      <c r="B1839" s="31" t="n">
        <v>72.16</v>
      </c>
    </row>
    <row r="1840">
      <c r="A1840" s="4" t="inlineStr">
        <is>
          <t>22/12/2011</t>
        </is>
      </c>
      <c r="B1840" s="31" t="n">
        <v>72.95999999999999</v>
      </c>
    </row>
    <row r="1841">
      <c r="A1841" s="4" t="inlineStr">
        <is>
          <t>23/12/2011</t>
        </is>
      </c>
      <c r="B1841" s="31" t="n">
        <v>72.95999999999999</v>
      </c>
    </row>
    <row r="1842">
      <c r="A1842" s="4" t="inlineStr">
        <is>
          <t>26/12/2011</t>
        </is>
      </c>
      <c r="B1842" s="31" t="n">
        <v>72.33</v>
      </c>
    </row>
    <row r="1843">
      <c r="A1843" s="4" t="inlineStr">
        <is>
          <t>27/12/2011</t>
        </is>
      </c>
      <c r="B1843" s="31" t="n">
        <v>74.39</v>
      </c>
    </row>
    <row r="1844">
      <c r="A1844" s="4" t="inlineStr">
        <is>
          <t>28/12/2011</t>
        </is>
      </c>
      <c r="B1844" s="31" t="n">
        <v>74.39</v>
      </c>
    </row>
    <row r="1845">
      <c r="A1845" s="4" t="inlineStr">
        <is>
          <t>29/12/2011</t>
        </is>
      </c>
      <c r="B1845" s="31" t="n">
        <v>74.84</v>
      </c>
    </row>
    <row r="1846">
      <c r="A1846" s="4" t="inlineStr">
        <is>
          <t>02/01/2012</t>
        </is>
      </c>
      <c r="B1846" s="31" t="n">
        <v>74.65000000000001</v>
      </c>
    </row>
    <row r="1847">
      <c r="A1847" s="4" t="inlineStr">
        <is>
          <t>03/01/2012</t>
        </is>
      </c>
      <c r="B1847" s="31" t="n">
        <v>75.77</v>
      </c>
    </row>
    <row r="1848">
      <c r="A1848" s="4" t="inlineStr">
        <is>
          <t>04/01/2012</t>
        </is>
      </c>
      <c r="B1848" s="31" t="n">
        <v>76.56999999999999</v>
      </c>
    </row>
    <row r="1849">
      <c r="A1849" s="4" t="inlineStr">
        <is>
          <t>05/01/2012</t>
        </is>
      </c>
      <c r="B1849" s="31" t="n">
        <v>77.34999999999999</v>
      </c>
    </row>
    <row r="1850">
      <c r="A1850" s="4" t="inlineStr">
        <is>
          <t>06/01/2012</t>
        </is>
      </c>
      <c r="B1850" s="31" t="n">
        <v>77.3</v>
      </c>
    </row>
    <row r="1851">
      <c r="A1851" s="4" t="inlineStr">
        <is>
          <t>09/01/2012</t>
        </is>
      </c>
      <c r="B1851" s="31" t="n">
        <v>77.3</v>
      </c>
    </row>
    <row r="1852">
      <c r="A1852" s="4" t="inlineStr">
        <is>
          <t>10/01/2012</t>
        </is>
      </c>
      <c r="B1852" s="31" t="n">
        <v>77.84999999999999</v>
      </c>
    </row>
    <row r="1853">
      <c r="A1853" s="4" t="inlineStr">
        <is>
          <t>11/01/2012</t>
        </is>
      </c>
      <c r="B1853" s="31" t="n">
        <v>78.37</v>
      </c>
    </row>
    <row r="1854">
      <c r="A1854" s="4" t="inlineStr">
        <is>
          <t>12/01/2012</t>
        </is>
      </c>
      <c r="B1854" s="31" t="n">
        <v>78.7</v>
      </c>
    </row>
    <row r="1855">
      <c r="A1855" s="4" t="inlineStr">
        <is>
          <t>13/01/2012</t>
        </is>
      </c>
      <c r="B1855" s="31" t="n">
        <v>78.8</v>
      </c>
    </row>
    <row r="1856">
      <c r="A1856" s="4" t="inlineStr">
        <is>
          <t>16/01/2012</t>
        </is>
      </c>
      <c r="B1856" s="31" t="n">
        <v>78.55</v>
      </c>
    </row>
    <row r="1857">
      <c r="A1857" s="4" t="inlineStr">
        <is>
          <t>17/01/2012</t>
        </is>
      </c>
      <c r="B1857" s="31" t="n">
        <v>78.25</v>
      </c>
    </row>
    <row r="1858">
      <c r="A1858" s="4" t="inlineStr">
        <is>
          <t>18/01/2012</t>
        </is>
      </c>
      <c r="B1858" s="31" t="n">
        <v>77.95</v>
      </c>
    </row>
    <row r="1859">
      <c r="A1859" s="4" t="inlineStr">
        <is>
          <t>19/01/2012</t>
        </is>
      </c>
      <c r="B1859" s="31" t="n">
        <v>78</v>
      </c>
    </row>
    <row r="1860">
      <c r="A1860" s="4" t="inlineStr">
        <is>
          <t>20/01/2012</t>
        </is>
      </c>
      <c r="B1860" s="31" t="n">
        <v>78.45</v>
      </c>
    </row>
    <row r="1861">
      <c r="A1861" s="4" t="inlineStr">
        <is>
          <t>23/01/2012</t>
        </is>
      </c>
      <c r="B1861" s="31" t="n">
        <v>78</v>
      </c>
    </row>
    <row r="1862">
      <c r="A1862" s="4" t="inlineStr">
        <is>
          <t>24/01/2012</t>
        </is>
      </c>
      <c r="B1862" s="31" t="n">
        <v>78.40000000000001</v>
      </c>
    </row>
    <row r="1863">
      <c r="A1863" s="4" t="inlineStr">
        <is>
          <t>25/01/2012</t>
        </is>
      </c>
      <c r="B1863" s="31" t="n">
        <v>78.55</v>
      </c>
    </row>
    <row r="1864">
      <c r="A1864" s="4" t="inlineStr">
        <is>
          <t>26/01/2012</t>
        </is>
      </c>
      <c r="B1864" s="31" t="n">
        <v>78</v>
      </c>
    </row>
    <row r="1865">
      <c r="A1865" s="4" t="inlineStr">
        <is>
          <t>27/01/2012</t>
        </is>
      </c>
      <c r="B1865" s="31" t="n">
        <v>77.7</v>
      </c>
    </row>
    <row r="1866">
      <c r="A1866" s="4" t="inlineStr">
        <is>
          <t>30/01/2012</t>
        </is>
      </c>
      <c r="B1866" s="31" t="n">
        <v>77.87</v>
      </c>
    </row>
    <row r="1867">
      <c r="A1867" s="4" t="inlineStr">
        <is>
          <t>31/01/2012</t>
        </is>
      </c>
      <c r="B1867" s="31" t="n">
        <v>76.3</v>
      </c>
    </row>
    <row r="1868">
      <c r="A1868" s="4" t="inlineStr">
        <is>
          <t>01/02/2012</t>
        </is>
      </c>
      <c r="B1868" s="31" t="n">
        <v>74.19</v>
      </c>
    </row>
    <row r="1869">
      <c r="A1869" s="4" t="inlineStr">
        <is>
          <t>02/02/2012</t>
        </is>
      </c>
      <c r="B1869" s="31" t="n">
        <v>72.94</v>
      </c>
    </row>
    <row r="1870">
      <c r="A1870" s="4" t="inlineStr">
        <is>
          <t>03/02/2012</t>
        </is>
      </c>
      <c r="B1870" s="31" t="n">
        <v>71.87</v>
      </c>
    </row>
    <row r="1871">
      <c r="A1871" s="4" t="inlineStr">
        <is>
          <t>06/02/2012</t>
        </is>
      </c>
      <c r="B1871" s="31" t="n">
        <v>71.73999999999999</v>
      </c>
    </row>
    <row r="1872">
      <c r="A1872" s="4" t="inlineStr">
        <is>
          <t>07/02/2012</t>
        </is>
      </c>
      <c r="B1872" s="31" t="n">
        <v>70.98999999999999</v>
      </c>
    </row>
    <row r="1873">
      <c r="A1873" s="4" t="inlineStr">
        <is>
          <t>08/02/2012</t>
        </is>
      </c>
      <c r="B1873" s="31" t="n">
        <v>70.94</v>
      </c>
    </row>
    <row r="1874">
      <c r="A1874" s="4" t="inlineStr">
        <is>
          <t>09/02/2012</t>
        </is>
      </c>
      <c r="B1874" s="31" t="n">
        <v>70.04000000000001</v>
      </c>
    </row>
    <row r="1875">
      <c r="A1875" s="4" t="inlineStr">
        <is>
          <t>10/02/2012</t>
        </is>
      </c>
      <c r="B1875" s="31" t="n">
        <v>70.31999999999999</v>
      </c>
    </row>
    <row r="1876">
      <c r="A1876" s="4" t="inlineStr">
        <is>
          <t>13/02/2012</t>
        </is>
      </c>
      <c r="B1876" s="31" t="n">
        <v>70.48999999999999</v>
      </c>
    </row>
    <row r="1877">
      <c r="A1877" s="4" t="inlineStr">
        <is>
          <t>14/02/2012</t>
        </is>
      </c>
      <c r="B1877" s="31" t="n">
        <v>70.34</v>
      </c>
    </row>
    <row r="1878">
      <c r="A1878" s="4" t="inlineStr">
        <is>
          <t>15/02/2012</t>
        </is>
      </c>
      <c r="B1878" s="31" t="n">
        <v>69.84</v>
      </c>
    </row>
    <row r="1879">
      <c r="A1879" s="4" t="inlineStr">
        <is>
          <t>16/02/2012</t>
        </is>
      </c>
      <c r="B1879" s="31" t="n">
        <v>69.27</v>
      </c>
    </row>
    <row r="1880">
      <c r="A1880" s="4" t="inlineStr">
        <is>
          <t>17/02/2012</t>
        </is>
      </c>
      <c r="B1880" s="31" t="n">
        <v>70.14</v>
      </c>
    </row>
    <row r="1881">
      <c r="A1881" s="4" t="inlineStr">
        <is>
          <t>22/02/2012</t>
        </is>
      </c>
      <c r="B1881" s="31" t="n">
        <v>70.04000000000001</v>
      </c>
    </row>
    <row r="1882">
      <c r="A1882" s="4" t="inlineStr">
        <is>
          <t>23/02/2012</t>
        </is>
      </c>
      <c r="B1882" s="31" t="n">
        <v>70.23999999999999</v>
      </c>
    </row>
    <row r="1883">
      <c r="A1883" s="4" t="inlineStr">
        <is>
          <t>24/02/2012</t>
        </is>
      </c>
      <c r="B1883" s="31" t="n">
        <v>70.87</v>
      </c>
    </row>
    <row r="1884">
      <c r="A1884" s="4" t="inlineStr">
        <is>
          <t>27/02/2012</t>
        </is>
      </c>
      <c r="B1884" s="31" t="n">
        <v>71.27</v>
      </c>
    </row>
    <row r="1885">
      <c r="A1885" s="4" t="inlineStr">
        <is>
          <t>28/02/2012</t>
        </is>
      </c>
      <c r="B1885" s="31" t="n">
        <v>71.77</v>
      </c>
    </row>
    <row r="1886">
      <c r="A1886" s="4" t="inlineStr">
        <is>
          <t>29/02/2012</t>
        </is>
      </c>
      <c r="B1886" s="31" t="n">
        <v>71.92</v>
      </c>
    </row>
    <row r="1887">
      <c r="A1887" s="4" t="inlineStr">
        <is>
          <t>01/03/2012</t>
        </is>
      </c>
      <c r="B1887" s="31" t="n">
        <v>72.01000000000001</v>
      </c>
    </row>
    <row r="1888">
      <c r="A1888" s="4" t="inlineStr">
        <is>
          <t>02/03/2012</t>
        </is>
      </c>
      <c r="B1888" s="31" t="n">
        <v>72.31</v>
      </c>
    </row>
    <row r="1889">
      <c r="A1889" s="4" t="inlineStr">
        <is>
          <t>05/03/2012</t>
        </is>
      </c>
      <c r="B1889" s="31" t="n">
        <v>72.68000000000001</v>
      </c>
    </row>
    <row r="1890">
      <c r="A1890" s="4" t="inlineStr">
        <is>
          <t>06/03/2012</t>
        </is>
      </c>
      <c r="B1890" s="31" t="n">
        <v>73.11</v>
      </c>
    </row>
    <row r="1891">
      <c r="A1891" s="4" t="inlineStr">
        <is>
          <t>07/03/2012</t>
        </is>
      </c>
      <c r="B1891" s="31" t="n">
        <v>73.38</v>
      </c>
    </row>
    <row r="1892">
      <c r="A1892" s="4" t="inlineStr">
        <is>
          <t>08/03/2012</t>
        </is>
      </c>
      <c r="B1892" s="31" t="n">
        <v>73.58</v>
      </c>
    </row>
    <row r="1893">
      <c r="A1893" s="4" t="inlineStr">
        <is>
          <t>09/03/2012</t>
        </is>
      </c>
      <c r="B1893" s="31" t="n">
        <v>73.63</v>
      </c>
    </row>
    <row r="1894">
      <c r="A1894" s="4" t="inlineStr">
        <is>
          <t>12/03/2012</t>
        </is>
      </c>
      <c r="B1894" s="31" t="n">
        <v>73.59999999999999</v>
      </c>
    </row>
    <row r="1895">
      <c r="A1895" s="4" t="inlineStr">
        <is>
          <t>13/03/2012</t>
        </is>
      </c>
      <c r="B1895" s="31" t="n">
        <v>73.3</v>
      </c>
    </row>
    <row r="1896">
      <c r="A1896" s="4" t="inlineStr">
        <is>
          <t>14/03/2012</t>
        </is>
      </c>
      <c r="B1896" s="31" t="n">
        <v>73.43000000000001</v>
      </c>
    </row>
    <row r="1897">
      <c r="A1897" s="4" t="inlineStr">
        <is>
          <t>15/03/2012</t>
        </is>
      </c>
      <c r="B1897" s="31" t="n">
        <v>73.23</v>
      </c>
    </row>
    <row r="1898">
      <c r="A1898" s="4" t="inlineStr">
        <is>
          <t>16/03/2012</t>
        </is>
      </c>
      <c r="B1898" s="31" t="n">
        <v>73.58</v>
      </c>
    </row>
    <row r="1899">
      <c r="A1899" s="4" t="inlineStr">
        <is>
          <t>19/03/2012</t>
        </is>
      </c>
      <c r="B1899" s="31" t="n">
        <v>72.98</v>
      </c>
    </row>
    <row r="1900">
      <c r="A1900" s="4" t="inlineStr">
        <is>
          <t>20/03/2012</t>
        </is>
      </c>
      <c r="B1900" s="31" t="n">
        <v>72.68000000000001</v>
      </c>
    </row>
    <row r="1901">
      <c r="A1901" s="4" t="inlineStr">
        <is>
          <t>21/03/2012</t>
        </is>
      </c>
      <c r="B1901" s="31" t="n">
        <v>71.69</v>
      </c>
    </row>
    <row r="1902">
      <c r="A1902" s="4" t="inlineStr">
        <is>
          <t>22/03/2012</t>
        </is>
      </c>
      <c r="B1902" s="31" t="n">
        <v>71.44</v>
      </c>
    </row>
    <row r="1903">
      <c r="A1903" s="4" t="inlineStr">
        <is>
          <t>23/03/2012</t>
        </is>
      </c>
      <c r="B1903" s="31" t="n">
        <v>71.09</v>
      </c>
    </row>
    <row r="1904">
      <c r="A1904" s="4" t="inlineStr">
        <is>
          <t>26/03/2012</t>
        </is>
      </c>
      <c r="B1904" s="31" t="n">
        <v>70.94</v>
      </c>
    </row>
    <row r="1905">
      <c r="A1905" s="4" t="inlineStr">
        <is>
          <t>27/03/2012</t>
        </is>
      </c>
      <c r="B1905" s="31" t="n">
        <v>70.12</v>
      </c>
    </row>
    <row r="1906">
      <c r="A1906" s="4" t="inlineStr">
        <is>
          <t>28/03/2012</t>
        </is>
      </c>
      <c r="B1906" s="31" t="n">
        <v>67.65000000000001</v>
      </c>
    </row>
    <row r="1907">
      <c r="A1907" s="4" t="inlineStr">
        <is>
          <t>29/03/2012</t>
        </is>
      </c>
      <c r="B1907" s="31" t="n">
        <v>68.3</v>
      </c>
    </row>
    <row r="1908">
      <c r="A1908" s="4" t="inlineStr">
        <is>
          <t>30/03/2012</t>
        </is>
      </c>
      <c r="B1908" s="31" t="n">
        <v>67.63</v>
      </c>
    </row>
    <row r="1909">
      <c r="A1909" s="4" t="inlineStr">
        <is>
          <t>02/04/2012</t>
        </is>
      </c>
      <c r="B1909" s="31" t="n">
        <v>66.91</v>
      </c>
    </row>
    <row r="1910">
      <c r="A1910" s="4" t="inlineStr">
        <is>
          <t>03/04/2012</t>
        </is>
      </c>
      <c r="B1910" s="31" t="n">
        <v>66.56</v>
      </c>
    </row>
    <row r="1911">
      <c r="A1911" s="4" t="inlineStr">
        <is>
          <t>04/04/2012</t>
        </is>
      </c>
      <c r="B1911" s="31" t="n">
        <v>66.19</v>
      </c>
    </row>
    <row r="1912">
      <c r="A1912" s="4" t="inlineStr">
        <is>
          <t>05/04/2012</t>
        </is>
      </c>
      <c r="B1912" s="31" t="n">
        <v>66.73999999999999</v>
      </c>
    </row>
    <row r="1913">
      <c r="A1913" s="4" t="inlineStr">
        <is>
          <t>09/04/2012</t>
        </is>
      </c>
      <c r="B1913" s="31" t="n">
        <v>66.66</v>
      </c>
    </row>
    <row r="1914">
      <c r="A1914" s="4" t="inlineStr">
        <is>
          <t>10/04/2012</t>
        </is>
      </c>
      <c r="B1914" s="31" t="n">
        <v>66.02</v>
      </c>
    </row>
    <row r="1915">
      <c r="A1915" s="4" t="inlineStr">
        <is>
          <t>11/04/2012</t>
        </is>
      </c>
      <c r="B1915" s="31" t="n">
        <v>66.14</v>
      </c>
    </row>
    <row r="1916">
      <c r="A1916" s="4" t="inlineStr">
        <is>
          <t>12/04/2012</t>
        </is>
      </c>
      <c r="B1916" s="31" t="n">
        <v>65.08</v>
      </c>
    </row>
    <row r="1917">
      <c r="A1917" s="4" t="inlineStr">
        <is>
          <t>13/04/2012</t>
        </is>
      </c>
      <c r="B1917" s="31" t="n">
        <v>64.84</v>
      </c>
    </row>
    <row r="1918">
      <c r="A1918" s="4" t="inlineStr">
        <is>
          <t>16/04/2012</t>
        </is>
      </c>
      <c r="B1918" s="31" t="n">
        <v>63.6</v>
      </c>
    </row>
    <row r="1919">
      <c r="A1919" s="4" t="inlineStr">
        <is>
          <t>17/04/2012</t>
        </is>
      </c>
      <c r="B1919" s="31" t="n">
        <v>63.4</v>
      </c>
    </row>
    <row r="1920">
      <c r="A1920" s="4" t="inlineStr">
        <is>
          <t>18/04/2012</t>
        </is>
      </c>
      <c r="B1920" s="31" t="n">
        <v>62.56</v>
      </c>
    </row>
    <row r="1921">
      <c r="A1921" s="4" t="inlineStr">
        <is>
          <t>19/04/2012</t>
        </is>
      </c>
      <c r="B1921" s="31" t="n">
        <v>62.09</v>
      </c>
    </row>
    <row r="1922">
      <c r="A1922" s="4" t="inlineStr">
        <is>
          <t>20/04/2012</t>
        </is>
      </c>
      <c r="B1922" s="31" t="n">
        <v>61.9</v>
      </c>
    </row>
    <row r="1923">
      <c r="A1923" s="4" t="inlineStr">
        <is>
          <t>23/04/2012</t>
        </is>
      </c>
      <c r="B1923" s="31" t="n">
        <v>62.39</v>
      </c>
    </row>
    <row r="1924">
      <c r="A1924" s="4" t="inlineStr">
        <is>
          <t>24/04/2012</t>
        </is>
      </c>
      <c r="B1924" s="31" t="n">
        <v>61.5</v>
      </c>
    </row>
    <row r="1925">
      <c r="A1925" s="4" t="inlineStr">
        <is>
          <t>25/04/2012</t>
        </is>
      </c>
      <c r="B1925" s="31" t="n">
        <v>61.08</v>
      </c>
    </row>
    <row r="1926">
      <c r="A1926" s="4" t="inlineStr">
        <is>
          <t>26/04/2012</t>
        </is>
      </c>
      <c r="B1926" s="31" t="n">
        <v>60.42</v>
      </c>
    </row>
    <row r="1927">
      <c r="A1927" s="4" t="inlineStr">
        <is>
          <t>27/04/2012</t>
        </is>
      </c>
      <c r="B1927" s="31" t="n">
        <v>61.01</v>
      </c>
    </row>
    <row r="1928">
      <c r="A1928" s="4" t="inlineStr">
        <is>
          <t>30/04/2012</t>
        </is>
      </c>
      <c r="B1928" s="31" t="n">
        <v>60.22</v>
      </c>
    </row>
    <row r="1929">
      <c r="A1929" s="4" t="inlineStr">
        <is>
          <t>02/05/2012</t>
        </is>
      </c>
      <c r="B1929" s="31" t="n">
        <v>60.05</v>
      </c>
    </row>
    <row r="1930">
      <c r="A1930" s="4" t="inlineStr">
        <is>
          <t>03/05/2012</t>
        </is>
      </c>
      <c r="B1930" s="31" t="n">
        <v>59.93</v>
      </c>
    </row>
    <row r="1931">
      <c r="A1931" s="4" t="inlineStr">
        <is>
          <t>04/05/2012</t>
        </is>
      </c>
      <c r="B1931" s="31" t="n">
        <v>59.88</v>
      </c>
    </row>
    <row r="1932">
      <c r="A1932" s="4" t="inlineStr">
        <is>
          <t>07/05/2012</t>
        </is>
      </c>
      <c r="B1932" s="31" t="n">
        <v>60.32</v>
      </c>
    </row>
    <row r="1933">
      <c r="A1933" s="4" t="inlineStr">
        <is>
          <t>08/05/2012</t>
        </is>
      </c>
      <c r="B1933" s="31" t="n">
        <v>60.47</v>
      </c>
    </row>
    <row r="1934">
      <c r="A1934" s="4" t="inlineStr">
        <is>
          <t>09/05/2012</t>
        </is>
      </c>
      <c r="B1934" s="31" t="n">
        <v>60.44</v>
      </c>
    </row>
    <row r="1935">
      <c r="A1935" s="4" t="inlineStr">
        <is>
          <t>10/05/2012</t>
        </is>
      </c>
      <c r="B1935" s="31" t="n">
        <v>60.32</v>
      </c>
    </row>
    <row r="1936">
      <c r="A1936" s="4" t="inlineStr">
        <is>
          <t>11/05/2012</t>
        </is>
      </c>
      <c r="B1936" s="31" t="n">
        <v>60.83</v>
      </c>
    </row>
    <row r="1937">
      <c r="A1937" s="4" t="inlineStr">
        <is>
          <t>14/05/2012</t>
        </is>
      </c>
      <c r="B1937" s="31" t="n">
        <v>61.03</v>
      </c>
    </row>
    <row r="1938">
      <c r="A1938" s="4" t="inlineStr">
        <is>
          <t>15/05/2012</t>
        </is>
      </c>
      <c r="B1938" s="31" t="n">
        <v>61.39</v>
      </c>
    </row>
    <row r="1939">
      <c r="A1939" s="4" t="inlineStr">
        <is>
          <t>16/05/2012</t>
        </is>
      </c>
      <c r="B1939" s="31" t="n">
        <v>61.47</v>
      </c>
    </row>
    <row r="1940">
      <c r="A1940" s="4" t="inlineStr">
        <is>
          <t>17/05/2012</t>
        </is>
      </c>
      <c r="B1940" s="31" t="n">
        <v>61.39</v>
      </c>
    </row>
    <row r="1941">
      <c r="A1941" s="4" t="inlineStr">
        <is>
          <t>18/05/2012</t>
        </is>
      </c>
      <c r="B1941" s="31" t="n">
        <v>61.17</v>
      </c>
    </row>
    <row r="1942">
      <c r="A1942" s="4" t="inlineStr">
        <is>
          <t>21/05/2012</t>
        </is>
      </c>
      <c r="B1942" s="31" t="n">
        <v>61.3</v>
      </c>
    </row>
    <row r="1943">
      <c r="A1943" s="4" t="inlineStr">
        <is>
          <t>22/05/2012</t>
        </is>
      </c>
      <c r="B1943" s="31" t="n">
        <v>61.54</v>
      </c>
    </row>
    <row r="1944">
      <c r="A1944" s="4" t="inlineStr">
        <is>
          <t>23/05/2012</t>
        </is>
      </c>
      <c r="B1944" s="31" t="n">
        <v>61.74</v>
      </c>
    </row>
    <row r="1945">
      <c r="A1945" s="4" t="inlineStr">
        <is>
          <t>24/05/2012</t>
        </is>
      </c>
      <c r="B1945" s="31" t="n">
        <v>61.54</v>
      </c>
    </row>
    <row r="1946">
      <c r="A1946" s="4" t="inlineStr">
        <is>
          <t>25/05/2012</t>
        </is>
      </c>
      <c r="B1946" s="31" t="n">
        <v>61.37</v>
      </c>
    </row>
    <row r="1947">
      <c r="A1947" s="4" t="inlineStr">
        <is>
          <t>28/05/2012</t>
        </is>
      </c>
      <c r="B1947" s="31" t="n">
        <v>61.13</v>
      </c>
    </row>
    <row r="1948">
      <c r="A1948" s="4" t="inlineStr">
        <is>
          <t>29/05/2012</t>
        </is>
      </c>
      <c r="B1948" s="31" t="n">
        <v>61.13</v>
      </c>
    </row>
    <row r="1949">
      <c r="A1949" s="4" t="inlineStr">
        <is>
          <t>30/05/2012</t>
        </is>
      </c>
      <c r="B1949" s="31" t="n">
        <v>60.98</v>
      </c>
    </row>
    <row r="1950">
      <c r="A1950" s="4" t="inlineStr">
        <is>
          <t>31/05/2012</t>
        </is>
      </c>
      <c r="B1950" s="31" t="n">
        <v>60.17</v>
      </c>
    </row>
    <row r="1951">
      <c r="A1951" s="4" t="inlineStr">
        <is>
          <t>01/06/2012</t>
        </is>
      </c>
      <c r="B1951" s="31" t="n">
        <v>59.66</v>
      </c>
    </row>
    <row r="1952">
      <c r="A1952" s="4" t="inlineStr">
        <is>
          <t>04/06/2012</t>
        </is>
      </c>
      <c r="B1952" s="31" t="n">
        <v>59.39</v>
      </c>
    </row>
    <row r="1953">
      <c r="A1953" s="4" t="inlineStr">
        <is>
          <t>05/06/2012</t>
        </is>
      </c>
      <c r="B1953" s="31" t="n">
        <v>59.66</v>
      </c>
    </row>
    <row r="1954">
      <c r="A1954" s="4" t="inlineStr">
        <is>
          <t>06/06/2012</t>
        </is>
      </c>
      <c r="B1954" s="31" t="n">
        <v>59.95</v>
      </c>
    </row>
    <row r="1955">
      <c r="A1955" s="4" t="inlineStr">
        <is>
          <t>08/06/2012</t>
        </is>
      </c>
      <c r="B1955" s="31" t="n">
        <v>60.09</v>
      </c>
    </row>
    <row r="1956">
      <c r="A1956" s="4" t="inlineStr">
        <is>
          <t>11/06/2012</t>
        </is>
      </c>
      <c r="B1956" s="31" t="n">
        <v>59.24</v>
      </c>
    </row>
    <row r="1957">
      <c r="A1957" s="4" t="inlineStr">
        <is>
          <t>12/06/2012</t>
        </is>
      </c>
      <c r="B1957" s="31" t="n">
        <v>58.69</v>
      </c>
    </row>
    <row r="1958">
      <c r="A1958" s="4" t="inlineStr">
        <is>
          <t>13/06/2012</t>
        </is>
      </c>
      <c r="B1958" s="31" t="n">
        <v>58.69</v>
      </c>
    </row>
    <row r="1959">
      <c r="A1959" s="4" t="inlineStr">
        <is>
          <t>14/06/2012</t>
        </is>
      </c>
      <c r="B1959" s="31" t="n">
        <v>58.73</v>
      </c>
    </row>
    <row r="1960">
      <c r="A1960" s="4" t="inlineStr">
        <is>
          <t>15/06/2012</t>
        </is>
      </c>
      <c r="B1960" s="31" t="n">
        <v>57.88</v>
      </c>
    </row>
    <row r="1961">
      <c r="A1961" s="4" t="inlineStr">
        <is>
          <t>18/06/2012</t>
        </is>
      </c>
      <c r="B1961" s="31" t="n">
        <v>57.79</v>
      </c>
    </row>
    <row r="1962">
      <c r="A1962" s="4" t="inlineStr">
        <is>
          <t>19/06/2012</t>
        </is>
      </c>
      <c r="B1962" s="31" t="n">
        <v>57.57</v>
      </c>
    </row>
    <row r="1963">
      <c r="A1963" s="4" t="inlineStr">
        <is>
          <t>20/06/2012</t>
        </is>
      </c>
      <c r="B1963" s="31" t="n">
        <v>58.08</v>
      </c>
    </row>
    <row r="1964">
      <c r="A1964" s="4" t="inlineStr">
        <is>
          <t>21/06/2012</t>
        </is>
      </c>
      <c r="B1964" s="31" t="n">
        <v>58.08</v>
      </c>
    </row>
    <row r="1965">
      <c r="A1965" s="4" t="inlineStr">
        <is>
          <t>22/06/2012</t>
        </is>
      </c>
      <c r="B1965" s="31" t="n">
        <v>57.93</v>
      </c>
    </row>
    <row r="1966">
      <c r="A1966" s="4" t="inlineStr">
        <is>
          <t>25/06/2012</t>
        </is>
      </c>
      <c r="B1966" s="31" t="n">
        <v>57.96</v>
      </c>
    </row>
    <row r="1967">
      <c r="A1967" s="4" t="inlineStr">
        <is>
          <t>26/06/2012</t>
        </is>
      </c>
      <c r="B1967" s="31" t="n">
        <v>57.98</v>
      </c>
    </row>
    <row r="1968">
      <c r="A1968" s="4" t="inlineStr">
        <is>
          <t>27/06/2012</t>
        </is>
      </c>
      <c r="B1968" s="31" t="n">
        <v>57.79</v>
      </c>
    </row>
    <row r="1969">
      <c r="A1969" s="4" t="inlineStr">
        <is>
          <t>28/06/2012</t>
        </is>
      </c>
      <c r="B1969" s="31" t="n">
        <v>58.1</v>
      </c>
    </row>
    <row r="1970">
      <c r="A1970" s="4" t="inlineStr">
        <is>
          <t>29/06/2012</t>
        </is>
      </c>
      <c r="B1970" s="31" t="n">
        <v>58.44</v>
      </c>
    </row>
    <row r="1971">
      <c r="A1971" s="4" t="inlineStr">
        <is>
          <t>02/07/2012</t>
        </is>
      </c>
      <c r="B1971" s="31" t="n">
        <v>57.86</v>
      </c>
    </row>
    <row r="1972">
      <c r="A1972" s="4" t="inlineStr">
        <is>
          <t>03/07/2012</t>
        </is>
      </c>
      <c r="B1972" s="31" t="n">
        <v>58.32</v>
      </c>
    </row>
    <row r="1973">
      <c r="A1973" s="4" t="inlineStr">
        <is>
          <t>04/07/2012</t>
        </is>
      </c>
      <c r="B1973" s="31" t="n">
        <v>59.04</v>
      </c>
    </row>
    <row r="1974">
      <c r="A1974" s="4" t="inlineStr">
        <is>
          <t>05/07/2012</t>
        </is>
      </c>
      <c r="B1974" s="31" t="n">
        <v>58.75</v>
      </c>
    </row>
    <row r="1975">
      <c r="A1975" s="4" t="inlineStr">
        <is>
          <t>06/07/2012</t>
        </is>
      </c>
      <c r="B1975" s="31" t="n">
        <v>58.72</v>
      </c>
    </row>
    <row r="1976">
      <c r="A1976" s="4" t="inlineStr">
        <is>
          <t>10/07/2012</t>
        </is>
      </c>
      <c r="B1976" s="31" t="n">
        <v>61.31</v>
      </c>
    </row>
    <row r="1977">
      <c r="A1977" s="4" t="inlineStr">
        <is>
          <t>11/07/2012</t>
        </is>
      </c>
      <c r="B1977" s="31" t="n">
        <v>60.86</v>
      </c>
    </row>
    <row r="1978">
      <c r="A1978" s="4" t="inlineStr">
        <is>
          <t>12/07/2012</t>
        </is>
      </c>
      <c r="B1978" s="31" t="n">
        <v>65.48</v>
      </c>
    </row>
    <row r="1979">
      <c r="A1979" s="4" t="inlineStr">
        <is>
          <t>13/07/2012</t>
        </is>
      </c>
      <c r="B1979" s="31" t="n">
        <v>69.72</v>
      </c>
    </row>
    <row r="1980">
      <c r="A1980" s="4" t="inlineStr">
        <is>
          <t>16/07/2012</t>
        </is>
      </c>
      <c r="B1980" s="31" t="n">
        <v>68.88</v>
      </c>
    </row>
    <row r="1981">
      <c r="A1981" s="4" t="inlineStr">
        <is>
          <t>17/07/2012</t>
        </is>
      </c>
      <c r="B1981" s="31" t="n">
        <v>72.31</v>
      </c>
    </row>
    <row r="1982">
      <c r="A1982" s="4" t="inlineStr">
        <is>
          <t>18/07/2012</t>
        </is>
      </c>
      <c r="B1982" s="31" t="n">
        <v>71.40000000000001</v>
      </c>
    </row>
    <row r="1983">
      <c r="A1983" s="4" t="inlineStr">
        <is>
          <t>19/07/2012</t>
        </is>
      </c>
      <c r="B1983" s="31" t="n">
        <v>72.64</v>
      </c>
    </row>
    <row r="1984">
      <c r="A1984" s="4" t="inlineStr">
        <is>
          <t>20/07/2012</t>
        </is>
      </c>
      <c r="B1984" s="31" t="n">
        <v>74.7</v>
      </c>
    </row>
    <row r="1985">
      <c r="A1985" s="4" t="inlineStr">
        <is>
          <t>23/07/2012</t>
        </is>
      </c>
      <c r="B1985" s="31" t="n">
        <v>76.56999999999999</v>
      </c>
    </row>
    <row r="1986">
      <c r="A1986" s="4" t="inlineStr">
        <is>
          <t>24/07/2012</t>
        </is>
      </c>
      <c r="B1986" s="31" t="n">
        <v>78.34999999999999</v>
      </c>
    </row>
    <row r="1987">
      <c r="A1987" s="4" t="inlineStr">
        <is>
          <t>25/07/2012</t>
        </is>
      </c>
      <c r="B1987" s="31" t="n">
        <v>78.97</v>
      </c>
    </row>
    <row r="1988">
      <c r="A1988" s="4" t="inlineStr">
        <is>
          <t>26/07/2012</t>
        </is>
      </c>
      <c r="B1988" s="31" t="n">
        <v>78.68000000000001</v>
      </c>
    </row>
    <row r="1989">
      <c r="A1989" s="4" t="inlineStr">
        <is>
          <t>27/07/2012</t>
        </is>
      </c>
      <c r="B1989" s="31" t="n">
        <v>78.61</v>
      </c>
    </row>
    <row r="1990">
      <c r="A1990" s="4" t="inlineStr">
        <is>
          <t>30/07/2012</t>
        </is>
      </c>
      <c r="B1990" s="31" t="n">
        <v>78.75</v>
      </c>
    </row>
    <row r="1991">
      <c r="A1991" s="4" t="inlineStr">
        <is>
          <t>31/07/2012</t>
        </is>
      </c>
      <c r="B1991" s="31" t="n">
        <v>79.5</v>
      </c>
    </row>
    <row r="1992">
      <c r="A1992" s="4" t="inlineStr">
        <is>
          <t>01/08/2012</t>
        </is>
      </c>
      <c r="B1992" s="31" t="n">
        <v>78.98999999999999</v>
      </c>
    </row>
    <row r="1993">
      <c r="A1993" s="4" t="inlineStr">
        <is>
          <t>02/08/2012</t>
        </is>
      </c>
      <c r="B1993" s="31" t="n">
        <v>79.13</v>
      </c>
    </row>
    <row r="1994">
      <c r="A1994" s="4" t="inlineStr">
        <is>
          <t>03/08/2012</t>
        </is>
      </c>
      <c r="B1994" s="31" t="n">
        <v>79.31999999999999</v>
      </c>
    </row>
    <row r="1995">
      <c r="A1995" s="4" t="inlineStr">
        <is>
          <t>06/08/2012</t>
        </is>
      </c>
      <c r="B1995" s="31" t="n">
        <v>78.94</v>
      </c>
    </row>
    <row r="1996">
      <c r="A1996" s="4" t="inlineStr">
        <is>
          <t>07/08/2012</t>
        </is>
      </c>
      <c r="B1996" s="31" t="n">
        <v>79.11</v>
      </c>
    </row>
    <row r="1997">
      <c r="A1997" s="4" t="inlineStr">
        <is>
          <t>08/08/2012</t>
        </is>
      </c>
      <c r="B1997" s="31" t="n">
        <v>79.41</v>
      </c>
    </row>
    <row r="1998">
      <c r="A1998" s="4" t="inlineStr">
        <is>
          <t>09/08/2012</t>
        </is>
      </c>
      <c r="B1998" s="31" t="n">
        <v>78.98999999999999</v>
      </c>
    </row>
    <row r="1999">
      <c r="A1999" s="4" t="inlineStr">
        <is>
          <t>10/08/2012</t>
        </is>
      </c>
      <c r="B1999" s="31" t="n">
        <v>78.78</v>
      </c>
    </row>
    <row r="2000">
      <c r="A2000" s="4" t="inlineStr">
        <is>
          <t>13/08/2012</t>
        </is>
      </c>
      <c r="B2000" s="31" t="n">
        <v>79.39</v>
      </c>
    </row>
    <row r="2001">
      <c r="A2001" s="4" t="inlineStr">
        <is>
          <t>14/08/2012</t>
        </is>
      </c>
      <c r="B2001" s="31" t="n">
        <v>79.37</v>
      </c>
    </row>
    <row r="2002">
      <c r="A2002" s="4" t="inlineStr">
        <is>
          <t>15/08/2012</t>
        </is>
      </c>
      <c r="B2002" s="31" t="n">
        <v>78.40000000000001</v>
      </c>
    </row>
    <row r="2003">
      <c r="A2003" s="4" t="inlineStr">
        <is>
          <t>16/08/2012</t>
        </is>
      </c>
      <c r="B2003" s="31" t="n">
        <v>78.16</v>
      </c>
    </row>
    <row r="2004">
      <c r="A2004" s="4" t="inlineStr">
        <is>
          <t>17/08/2012</t>
        </is>
      </c>
      <c r="B2004" s="31" t="n">
        <v>78.19</v>
      </c>
    </row>
    <row r="2005">
      <c r="A2005" s="4" t="inlineStr">
        <is>
          <t>20/08/2012</t>
        </is>
      </c>
      <c r="B2005" s="31" t="n">
        <v>77.76000000000001</v>
      </c>
    </row>
    <row r="2006">
      <c r="A2006" s="4" t="inlineStr">
        <is>
          <t>21/08/2012</t>
        </is>
      </c>
      <c r="B2006" s="31" t="n">
        <v>77.88</v>
      </c>
    </row>
    <row r="2007">
      <c r="A2007" s="4" t="inlineStr">
        <is>
          <t>22/08/2012</t>
        </is>
      </c>
      <c r="B2007" s="31" t="n">
        <v>77.36</v>
      </c>
    </row>
    <row r="2008">
      <c r="A2008" s="4" t="inlineStr">
        <is>
          <t>23/08/2012</t>
        </is>
      </c>
      <c r="B2008" s="31" t="n">
        <v>78.02</v>
      </c>
    </row>
    <row r="2009">
      <c r="A2009" s="4" t="inlineStr">
        <is>
          <t>24/08/2012</t>
        </is>
      </c>
      <c r="B2009" s="31" t="n">
        <v>78.19</v>
      </c>
    </row>
    <row r="2010">
      <c r="A2010" s="4" t="inlineStr">
        <is>
          <t>27/08/2012</t>
        </is>
      </c>
      <c r="B2010" s="31" t="n">
        <v>78.38</v>
      </c>
    </row>
    <row r="2011">
      <c r="A2011" s="4" t="inlineStr">
        <is>
          <t>28/08/2012</t>
        </is>
      </c>
      <c r="B2011" s="31" t="n">
        <v>77.86</v>
      </c>
    </row>
    <row r="2012">
      <c r="A2012" s="4" t="inlineStr">
        <is>
          <t>29/08/2012</t>
        </is>
      </c>
      <c r="B2012" s="31" t="n">
        <v>78.26000000000001</v>
      </c>
    </row>
    <row r="2013">
      <c r="A2013" s="4" t="inlineStr">
        <is>
          <t>30/08/2012</t>
        </is>
      </c>
      <c r="B2013" s="31" t="n">
        <v>78.28</v>
      </c>
    </row>
    <row r="2014">
      <c r="A2014" s="4" t="inlineStr">
        <is>
          <t>31/08/2012</t>
        </is>
      </c>
      <c r="B2014" s="31" t="n">
        <v>78.02</v>
      </c>
    </row>
    <row r="2015">
      <c r="A2015" s="4" t="inlineStr">
        <is>
          <t>03/09/2012</t>
        </is>
      </c>
      <c r="B2015" s="31" t="n">
        <v>77.3</v>
      </c>
    </row>
    <row r="2016">
      <c r="A2016" s="4" t="inlineStr">
        <is>
          <t>04/09/2012</t>
        </is>
      </c>
      <c r="B2016" s="31" t="n">
        <v>77.01000000000001</v>
      </c>
    </row>
    <row r="2017">
      <c r="A2017" s="4" t="inlineStr">
        <is>
          <t>05/09/2012</t>
        </is>
      </c>
      <c r="B2017" s="31" t="n">
        <v>76.98999999999999</v>
      </c>
    </row>
    <row r="2018">
      <c r="A2018" s="4" t="inlineStr">
        <is>
          <t>06/09/2012</t>
        </is>
      </c>
      <c r="B2018" s="31" t="n">
        <v>77.11</v>
      </c>
    </row>
    <row r="2019">
      <c r="A2019" s="4" t="inlineStr">
        <is>
          <t>10/09/2012</t>
        </is>
      </c>
      <c r="B2019" s="31" t="n">
        <v>77.04000000000001</v>
      </c>
    </row>
    <row r="2020">
      <c r="A2020" s="4" t="inlineStr">
        <is>
          <t>11/09/2012</t>
        </is>
      </c>
      <c r="B2020" s="31" t="n">
        <v>78.04000000000001</v>
      </c>
    </row>
    <row r="2021">
      <c r="A2021" s="4" t="inlineStr">
        <is>
          <t>12/09/2012</t>
        </is>
      </c>
      <c r="B2021" s="31" t="n">
        <v>77.08</v>
      </c>
    </row>
    <row r="2022">
      <c r="A2022" s="4" t="inlineStr">
        <is>
          <t>13/09/2012</t>
        </is>
      </c>
      <c r="B2022" s="31" t="n">
        <v>76.2</v>
      </c>
    </row>
    <row r="2023">
      <c r="A2023" s="4" t="inlineStr">
        <is>
          <t>14/09/2012</t>
        </is>
      </c>
      <c r="B2023" s="31" t="n">
        <v>75.54000000000001</v>
      </c>
    </row>
    <row r="2024">
      <c r="A2024" s="4" t="inlineStr">
        <is>
          <t>17/09/2012</t>
        </is>
      </c>
      <c r="B2024" s="31" t="n">
        <v>75.66</v>
      </c>
    </row>
    <row r="2025">
      <c r="A2025" s="4" t="inlineStr">
        <is>
          <t>18/09/2012</t>
        </is>
      </c>
      <c r="B2025" s="31" t="n">
        <v>75.38</v>
      </c>
    </row>
    <row r="2026">
      <c r="A2026" s="4" t="inlineStr">
        <is>
          <t>19/09/2012</t>
        </is>
      </c>
      <c r="B2026" s="31" t="n">
        <v>75.09999999999999</v>
      </c>
    </row>
    <row r="2027">
      <c r="A2027" s="4" t="inlineStr">
        <is>
          <t>20/09/2012</t>
        </is>
      </c>
      <c r="B2027" s="31" t="n">
        <v>75</v>
      </c>
    </row>
    <row r="2028">
      <c r="A2028" s="4" t="inlineStr">
        <is>
          <t>21/09/2012</t>
        </is>
      </c>
      <c r="B2028" s="31" t="n">
        <v>74.42</v>
      </c>
    </row>
    <row r="2029">
      <c r="A2029" s="4" t="inlineStr">
        <is>
          <t>24/09/2012</t>
        </is>
      </c>
      <c r="B2029" s="31" t="n">
        <v>74</v>
      </c>
    </row>
    <row r="2030">
      <c r="A2030" s="4" t="inlineStr">
        <is>
          <t>25/09/2012</t>
        </is>
      </c>
      <c r="B2030" s="31" t="n">
        <v>73.25</v>
      </c>
    </row>
    <row r="2031">
      <c r="A2031" s="4" t="inlineStr">
        <is>
          <t>26/09/2012</t>
        </is>
      </c>
      <c r="B2031" s="31" t="n">
        <v>72.76000000000001</v>
      </c>
    </row>
    <row r="2032">
      <c r="A2032" s="4" t="inlineStr">
        <is>
          <t>27/09/2012</t>
        </is>
      </c>
      <c r="B2032" s="31" t="n">
        <v>72.41</v>
      </c>
    </row>
    <row r="2033">
      <c r="A2033" s="4" t="inlineStr">
        <is>
          <t>28/09/2012</t>
        </is>
      </c>
      <c r="B2033" s="31" t="n">
        <v>72.29000000000001</v>
      </c>
    </row>
    <row r="2034">
      <c r="A2034" s="4" t="inlineStr">
        <is>
          <t>01/10/2012</t>
        </is>
      </c>
      <c r="B2034" s="31" t="n">
        <v>72.58</v>
      </c>
    </row>
    <row r="2035">
      <c r="A2035" s="4" t="inlineStr">
        <is>
          <t>02/10/2012</t>
        </is>
      </c>
      <c r="B2035" s="31" t="n">
        <v>72.04000000000001</v>
      </c>
    </row>
    <row r="2036">
      <c r="A2036" s="4" t="inlineStr">
        <is>
          <t>03/10/2012</t>
        </is>
      </c>
      <c r="B2036" s="31" t="n">
        <v>71.43000000000001</v>
      </c>
    </row>
    <row r="2037">
      <c r="A2037" s="4" t="inlineStr">
        <is>
          <t>04/10/2012</t>
        </is>
      </c>
      <c r="B2037" s="31" t="n">
        <v>72.09</v>
      </c>
    </row>
    <row r="2038">
      <c r="A2038" s="4" t="inlineStr">
        <is>
          <t>05/10/2012</t>
        </is>
      </c>
      <c r="B2038" s="31" t="n">
        <v>71.98999999999999</v>
      </c>
    </row>
    <row r="2039">
      <c r="A2039" s="4" t="inlineStr">
        <is>
          <t>08/10/2012</t>
        </is>
      </c>
      <c r="B2039" s="31" t="n">
        <v>71.83</v>
      </c>
    </row>
    <row r="2040">
      <c r="A2040" s="4" t="inlineStr">
        <is>
          <t>09/10/2012</t>
        </is>
      </c>
      <c r="B2040" s="31" t="n">
        <v>71.81</v>
      </c>
    </row>
    <row r="2041">
      <c r="A2041" s="4" t="inlineStr">
        <is>
          <t>10/10/2012</t>
        </is>
      </c>
      <c r="B2041" s="31" t="n">
        <v>72.53</v>
      </c>
    </row>
    <row r="2042">
      <c r="A2042" s="4" t="inlineStr">
        <is>
          <t>11/10/2012</t>
        </is>
      </c>
      <c r="B2042" s="31" t="n">
        <v>72.65000000000001</v>
      </c>
    </row>
    <row r="2043">
      <c r="A2043" s="4" t="inlineStr">
        <is>
          <t>15/10/2012</t>
        </is>
      </c>
      <c r="B2043" s="31" t="n">
        <v>73.02</v>
      </c>
    </row>
    <row r="2044">
      <c r="A2044" s="4" t="inlineStr">
        <is>
          <t>16/10/2012</t>
        </is>
      </c>
      <c r="B2044" s="31" t="n">
        <v>72.11</v>
      </c>
    </row>
    <row r="2045">
      <c r="A2045" s="4" t="inlineStr">
        <is>
          <t>17/10/2012</t>
        </is>
      </c>
      <c r="B2045" s="31" t="n">
        <v>72.73999999999999</v>
      </c>
    </row>
    <row r="2046">
      <c r="A2046" s="4" t="inlineStr">
        <is>
          <t>18/10/2012</t>
        </is>
      </c>
      <c r="B2046" s="31" t="n">
        <v>73.12</v>
      </c>
    </row>
    <row r="2047">
      <c r="A2047" s="4" t="inlineStr">
        <is>
          <t>19/10/2012</t>
        </is>
      </c>
      <c r="B2047" s="31" t="n">
        <v>73.02</v>
      </c>
    </row>
    <row r="2048">
      <c r="A2048" s="4" t="inlineStr">
        <is>
          <t>22/10/2012</t>
        </is>
      </c>
      <c r="B2048" s="31" t="n">
        <v>73.26000000000001</v>
      </c>
    </row>
    <row r="2049">
      <c r="A2049" s="4" t="inlineStr">
        <is>
          <t>23/10/2012</t>
        </is>
      </c>
      <c r="B2049" s="31" t="n">
        <v>73.79000000000001</v>
      </c>
    </row>
    <row r="2050">
      <c r="A2050" s="4" t="inlineStr">
        <is>
          <t>24/10/2012</t>
        </is>
      </c>
      <c r="B2050" s="31" t="n">
        <v>74.66</v>
      </c>
    </row>
    <row r="2051">
      <c r="A2051" s="4" t="inlineStr">
        <is>
          <t>25/10/2012</t>
        </is>
      </c>
      <c r="B2051" s="31" t="n">
        <v>75.13</v>
      </c>
    </row>
    <row r="2052">
      <c r="A2052" s="4" t="inlineStr">
        <is>
          <t>26/10/2012</t>
        </is>
      </c>
      <c r="B2052" s="31" t="n">
        <v>75.56999999999999</v>
      </c>
    </row>
    <row r="2053">
      <c r="A2053" s="4" t="inlineStr">
        <is>
          <t>29/10/2012</t>
        </is>
      </c>
      <c r="B2053" s="31" t="n">
        <v>75.59999999999999</v>
      </c>
    </row>
    <row r="2054">
      <c r="A2054" s="4" t="inlineStr">
        <is>
          <t>30/10/2012</t>
        </is>
      </c>
      <c r="B2054" s="31" t="n">
        <v>76.13</v>
      </c>
    </row>
    <row r="2055">
      <c r="A2055" s="4" t="inlineStr">
        <is>
          <t>31/10/2012</t>
        </is>
      </c>
      <c r="B2055" s="31" t="n">
        <v>76.23</v>
      </c>
    </row>
    <row r="2056">
      <c r="A2056" s="4" t="inlineStr">
        <is>
          <t>01/11/2012</t>
        </is>
      </c>
      <c r="B2056" s="31" t="n">
        <v>77.33</v>
      </c>
    </row>
    <row r="2057">
      <c r="A2057" s="4" t="inlineStr">
        <is>
          <t>05/11/2012</t>
        </is>
      </c>
      <c r="B2057" s="31" t="n">
        <v>77.40000000000001</v>
      </c>
    </row>
    <row r="2058">
      <c r="A2058" s="4" t="inlineStr">
        <is>
          <t>06/11/2012</t>
        </is>
      </c>
      <c r="B2058" s="31" t="n">
        <v>77.95999999999999</v>
      </c>
    </row>
    <row r="2059">
      <c r="A2059" s="4" t="inlineStr">
        <is>
          <t>07/11/2012</t>
        </is>
      </c>
      <c r="B2059" s="31" t="n">
        <v>78.12</v>
      </c>
    </row>
    <row r="2060">
      <c r="A2060" s="4" t="inlineStr">
        <is>
          <t>08/11/2012</t>
        </is>
      </c>
      <c r="B2060" s="31" t="n">
        <v>78.45</v>
      </c>
    </row>
    <row r="2061">
      <c r="A2061" s="4" t="inlineStr">
        <is>
          <t>09/11/2012</t>
        </is>
      </c>
      <c r="B2061" s="31" t="n">
        <v>78.56999999999999</v>
      </c>
    </row>
    <row r="2062">
      <c r="A2062" s="4" t="inlineStr">
        <is>
          <t>12/11/2012</t>
        </is>
      </c>
      <c r="B2062" s="31" t="n">
        <v>78.64</v>
      </c>
    </row>
    <row r="2063">
      <c r="A2063" s="4" t="inlineStr">
        <is>
          <t>13/11/2012</t>
        </is>
      </c>
      <c r="B2063" s="31" t="n">
        <v>79.29000000000001</v>
      </c>
    </row>
    <row r="2064">
      <c r="A2064" s="4" t="inlineStr">
        <is>
          <t>14/11/2012</t>
        </is>
      </c>
      <c r="B2064" s="31" t="n">
        <v>79.67</v>
      </c>
    </row>
    <row r="2065">
      <c r="A2065" s="4" t="inlineStr">
        <is>
          <t>16/11/2012</t>
        </is>
      </c>
      <c r="B2065" s="31" t="n">
        <v>79.48</v>
      </c>
    </row>
    <row r="2066">
      <c r="A2066" s="4" t="inlineStr">
        <is>
          <t>19/11/2012</t>
        </is>
      </c>
      <c r="B2066" s="31" t="n">
        <v>79.78</v>
      </c>
    </row>
    <row r="2067">
      <c r="A2067" s="4" t="inlineStr">
        <is>
          <t>20/11/2012</t>
        </is>
      </c>
      <c r="B2067" s="31" t="n">
        <v>79.76000000000001</v>
      </c>
    </row>
    <row r="2068">
      <c r="A2068" s="4" t="inlineStr">
        <is>
          <t>21/11/2012</t>
        </is>
      </c>
      <c r="B2068" s="31" t="n">
        <v>79.95</v>
      </c>
    </row>
    <row r="2069">
      <c r="A2069" s="4" t="inlineStr">
        <is>
          <t>22/11/2012</t>
        </is>
      </c>
      <c r="B2069" s="31" t="n">
        <v>80.04000000000001</v>
      </c>
    </row>
    <row r="2070">
      <c r="A2070" s="4" t="inlineStr">
        <is>
          <t>23/11/2012</t>
        </is>
      </c>
      <c r="B2070" s="31" t="n">
        <v>80.16</v>
      </c>
    </row>
    <row r="2071">
      <c r="A2071" s="4" t="inlineStr">
        <is>
          <t>26/11/2012</t>
        </is>
      </c>
      <c r="B2071" s="31" t="n">
        <v>80.53</v>
      </c>
    </row>
    <row r="2072">
      <c r="A2072" s="4" t="inlineStr">
        <is>
          <t>27/11/2012</t>
        </is>
      </c>
      <c r="B2072" s="31" t="n">
        <v>80.84</v>
      </c>
    </row>
    <row r="2073">
      <c r="A2073" s="4" t="inlineStr">
        <is>
          <t>28/11/2012</t>
        </is>
      </c>
      <c r="B2073" s="31" t="n">
        <v>82.87</v>
      </c>
    </row>
    <row r="2074">
      <c r="A2074" s="4" t="inlineStr">
        <is>
          <t>29/11/2012</t>
        </is>
      </c>
      <c r="B2074" s="31" t="n">
        <v>82.89</v>
      </c>
    </row>
    <row r="2075">
      <c r="A2075" s="4" t="inlineStr">
        <is>
          <t>30/11/2012</t>
        </is>
      </c>
      <c r="B2075" s="31" t="n">
        <v>83.45999999999999</v>
      </c>
    </row>
    <row r="2076">
      <c r="A2076" s="4" t="inlineStr">
        <is>
          <t>03/12/2012</t>
        </is>
      </c>
      <c r="B2076" s="31" t="n">
        <v>83.36</v>
      </c>
    </row>
    <row r="2077">
      <c r="A2077" s="4" t="inlineStr">
        <is>
          <t>04/12/2012</t>
        </is>
      </c>
      <c r="B2077" s="31" t="n">
        <v>83.43000000000001</v>
      </c>
    </row>
    <row r="2078">
      <c r="A2078" s="4" t="inlineStr">
        <is>
          <t>05/12/2012</t>
        </is>
      </c>
      <c r="B2078" s="31" t="n">
        <v>82.56999999999999</v>
      </c>
    </row>
    <row r="2079">
      <c r="A2079" s="4" t="inlineStr">
        <is>
          <t>06/12/2012</t>
        </is>
      </c>
      <c r="B2079" s="31" t="n">
        <v>82.52</v>
      </c>
    </row>
    <row r="2080">
      <c r="A2080" s="4" t="inlineStr">
        <is>
          <t>07/12/2012</t>
        </is>
      </c>
      <c r="B2080" s="31" t="n">
        <v>81.89</v>
      </c>
    </row>
    <row r="2081">
      <c r="A2081" s="4" t="inlineStr">
        <is>
          <t>10/12/2012</t>
        </is>
      </c>
      <c r="B2081" s="31" t="n">
        <v>81.8</v>
      </c>
    </row>
    <row r="2082">
      <c r="A2082" s="4" t="inlineStr">
        <is>
          <t>11/12/2012</t>
        </is>
      </c>
      <c r="B2082" s="31" t="n">
        <v>81.68000000000001</v>
      </c>
    </row>
    <row r="2083">
      <c r="A2083" s="4" t="inlineStr">
        <is>
          <t>12/12/2012</t>
        </is>
      </c>
      <c r="B2083" s="31" t="n">
        <v>80.78</v>
      </c>
    </row>
    <row r="2084">
      <c r="A2084" s="4" t="inlineStr">
        <is>
          <t>13/12/2012</t>
        </is>
      </c>
      <c r="B2084" s="31" t="n">
        <v>80.70999999999999</v>
      </c>
    </row>
    <row r="2085">
      <c r="A2085" s="4" t="inlineStr">
        <is>
          <t>14/12/2012</t>
        </is>
      </c>
      <c r="B2085" s="31" t="n">
        <v>80.73</v>
      </c>
    </row>
    <row r="2086">
      <c r="A2086" s="4" t="inlineStr">
        <is>
          <t>17/12/2012</t>
        </is>
      </c>
      <c r="B2086" s="31" t="n">
        <v>80.89</v>
      </c>
    </row>
    <row r="2087">
      <c r="A2087" s="4" t="inlineStr">
        <is>
          <t>18/12/2012</t>
        </is>
      </c>
      <c r="B2087" s="31" t="n">
        <v>80.95999999999999</v>
      </c>
    </row>
    <row r="2088">
      <c r="A2088" s="4" t="inlineStr">
        <is>
          <t>19/12/2012</t>
        </is>
      </c>
      <c r="B2088" s="31" t="n">
        <v>80.81999999999999</v>
      </c>
    </row>
    <row r="2089">
      <c r="A2089" s="4" t="inlineStr">
        <is>
          <t>20/12/2012</t>
        </is>
      </c>
      <c r="B2089" s="31" t="n">
        <v>80.38</v>
      </c>
    </row>
    <row r="2090">
      <c r="A2090" s="4" t="inlineStr">
        <is>
          <t>21/12/2012</t>
        </is>
      </c>
      <c r="B2090" s="31" t="n">
        <v>80.17</v>
      </c>
    </row>
    <row r="2091">
      <c r="A2091" s="4" t="inlineStr">
        <is>
          <t>26/12/2012</t>
        </is>
      </c>
      <c r="B2091" s="31" t="n">
        <v>80.01000000000001</v>
      </c>
    </row>
    <row r="2092">
      <c r="A2092" s="4" t="inlineStr">
        <is>
          <t>27/12/2012</t>
        </is>
      </c>
      <c r="B2092" s="31" t="n">
        <v>79.98999999999999</v>
      </c>
    </row>
    <row r="2093">
      <c r="A2093" s="4" t="inlineStr">
        <is>
          <t>28/12/2012</t>
        </is>
      </c>
      <c r="B2093" s="31" t="n">
        <v>79.70999999999999</v>
      </c>
    </row>
    <row r="2094">
      <c r="A2094" s="4" t="inlineStr">
        <is>
          <t>02/01/2013</t>
        </is>
      </c>
      <c r="B2094" s="31" t="n">
        <v>79.02</v>
      </c>
    </row>
    <row r="2095">
      <c r="A2095" s="4" t="inlineStr">
        <is>
          <t>03/01/2013</t>
        </is>
      </c>
      <c r="B2095" s="31" t="n">
        <v>78.47</v>
      </c>
    </row>
    <row r="2096">
      <c r="A2096" s="4" t="inlineStr">
        <is>
          <t>04/01/2013</t>
        </is>
      </c>
      <c r="B2096" s="31" t="n">
        <v>78.05</v>
      </c>
    </row>
    <row r="2097">
      <c r="A2097" s="4" t="inlineStr">
        <is>
          <t>07/01/2013</t>
        </is>
      </c>
      <c r="B2097" s="31" t="n">
        <v>77.68000000000001</v>
      </c>
    </row>
    <row r="2098">
      <c r="A2098" s="4" t="inlineStr">
        <is>
          <t>08/01/2013</t>
        </is>
      </c>
      <c r="B2098" s="31" t="n">
        <v>77.31</v>
      </c>
    </row>
    <row r="2099">
      <c r="A2099" s="4" t="inlineStr">
        <is>
          <t>09/01/2013</t>
        </is>
      </c>
      <c r="B2099" s="31" t="n">
        <v>76.8</v>
      </c>
    </row>
    <row r="2100">
      <c r="A2100" s="4" t="inlineStr">
        <is>
          <t>10/01/2013</t>
        </is>
      </c>
      <c r="B2100" s="31" t="n">
        <v>76.29000000000001</v>
      </c>
    </row>
    <row r="2101">
      <c r="A2101" s="4" t="inlineStr">
        <is>
          <t>11/01/2013</t>
        </is>
      </c>
      <c r="B2101" s="31" t="n">
        <v>75.69</v>
      </c>
    </row>
    <row r="2102">
      <c r="A2102" s="4" t="inlineStr">
        <is>
          <t>14/01/2013</t>
        </is>
      </c>
      <c r="B2102" s="31" t="n">
        <v>75.69</v>
      </c>
    </row>
    <row r="2103">
      <c r="A2103" s="4" t="inlineStr">
        <is>
          <t>15/01/2013</t>
        </is>
      </c>
      <c r="B2103" s="31" t="n">
        <v>75.15000000000001</v>
      </c>
    </row>
    <row r="2104">
      <c r="A2104" s="4" t="inlineStr">
        <is>
          <t>16/01/2013</t>
        </is>
      </c>
      <c r="B2104" s="31" t="n">
        <v>75.08</v>
      </c>
    </row>
    <row r="2105">
      <c r="A2105" s="4" t="inlineStr">
        <is>
          <t>17/01/2013</t>
        </is>
      </c>
      <c r="B2105" s="31" t="n">
        <v>75.45999999999999</v>
      </c>
    </row>
    <row r="2106">
      <c r="A2106" s="4" t="inlineStr">
        <is>
          <t>18/01/2013</t>
        </is>
      </c>
      <c r="B2106" s="31" t="n">
        <v>75.5</v>
      </c>
    </row>
    <row r="2107">
      <c r="A2107" s="4" t="inlineStr">
        <is>
          <t>21/01/2013</t>
        </is>
      </c>
      <c r="B2107" s="31" t="n">
        <v>74.97</v>
      </c>
    </row>
    <row r="2108">
      <c r="A2108" s="4" t="inlineStr">
        <is>
          <t>22/01/2013</t>
        </is>
      </c>
      <c r="B2108" s="31" t="n">
        <v>76.09999999999999</v>
      </c>
    </row>
    <row r="2109">
      <c r="A2109" s="4" t="inlineStr">
        <is>
          <t>23/01/2013</t>
        </is>
      </c>
      <c r="B2109" s="31" t="n">
        <v>75.8</v>
      </c>
    </row>
    <row r="2110">
      <c r="A2110" s="4" t="inlineStr">
        <is>
          <t>24/01/2013</t>
        </is>
      </c>
      <c r="B2110" s="31" t="n">
        <v>75.27</v>
      </c>
    </row>
    <row r="2111">
      <c r="A2111" s="4" t="inlineStr">
        <is>
          <t>25/01/2013</t>
        </is>
      </c>
      <c r="B2111" s="31" t="n">
        <v>74.55</v>
      </c>
    </row>
    <row r="2112">
      <c r="A2112" s="4" t="inlineStr">
        <is>
          <t>28/01/2013</t>
        </is>
      </c>
      <c r="B2112" s="31" t="n">
        <v>74.18000000000001</v>
      </c>
    </row>
    <row r="2113">
      <c r="A2113" s="4" t="inlineStr">
        <is>
          <t>29/01/2013</t>
        </is>
      </c>
      <c r="B2113" s="31" t="n">
        <v>74.04000000000001</v>
      </c>
    </row>
    <row r="2114">
      <c r="A2114" s="4" t="inlineStr">
        <is>
          <t>30/01/2013</t>
        </is>
      </c>
      <c r="B2114" s="31" t="n">
        <v>73.88</v>
      </c>
    </row>
    <row r="2115">
      <c r="A2115" s="4" t="inlineStr">
        <is>
          <t>31/01/2013</t>
        </is>
      </c>
      <c r="B2115" s="31" t="n">
        <v>73.90000000000001</v>
      </c>
    </row>
    <row r="2116">
      <c r="A2116" s="4" t="inlineStr">
        <is>
          <t>01/02/2013</t>
        </is>
      </c>
      <c r="B2116" s="31" t="n">
        <v>73.69</v>
      </c>
    </row>
    <row r="2117">
      <c r="A2117" s="4" t="inlineStr">
        <is>
          <t>04/02/2013</t>
        </is>
      </c>
      <c r="B2117" s="31" t="n">
        <v>73.53</v>
      </c>
    </row>
    <row r="2118">
      <c r="A2118" s="4" t="inlineStr">
        <is>
          <t>05/02/2013</t>
        </is>
      </c>
      <c r="B2118" s="31" t="n">
        <v>74.13</v>
      </c>
    </row>
    <row r="2119">
      <c r="A2119" s="4" t="inlineStr">
        <is>
          <t>06/02/2013</t>
        </is>
      </c>
      <c r="B2119" s="31" t="n">
        <v>74.52</v>
      </c>
    </row>
    <row r="2120">
      <c r="A2120" s="4" t="inlineStr">
        <is>
          <t>07/02/2013</t>
        </is>
      </c>
      <c r="B2120" s="31" t="n">
        <v>75.12</v>
      </c>
    </row>
    <row r="2121">
      <c r="A2121" s="4" t="inlineStr">
        <is>
          <t>08/02/2013</t>
        </is>
      </c>
      <c r="B2121" s="31" t="n">
        <v>75.31</v>
      </c>
    </row>
    <row r="2122">
      <c r="A2122" s="4" t="inlineStr">
        <is>
          <t>13/02/2013</t>
        </is>
      </c>
      <c r="B2122" s="31" t="n">
        <v>75.91</v>
      </c>
    </row>
    <row r="2123">
      <c r="A2123" s="4" t="inlineStr">
        <is>
          <t>14/02/2013</t>
        </is>
      </c>
      <c r="B2123" s="31" t="n">
        <v>75.75</v>
      </c>
    </row>
    <row r="2124">
      <c r="A2124" s="4" t="inlineStr">
        <is>
          <t>15/02/2013</t>
        </is>
      </c>
      <c r="B2124" s="31" t="n">
        <v>74.68000000000001</v>
      </c>
    </row>
    <row r="2125">
      <c r="A2125" s="4" t="inlineStr">
        <is>
          <t>18/02/2013</t>
        </is>
      </c>
      <c r="B2125" s="31" t="n">
        <v>74.59</v>
      </c>
    </row>
    <row r="2126">
      <c r="A2126" s="4" t="inlineStr">
        <is>
          <t>19/02/2013</t>
        </is>
      </c>
      <c r="B2126" s="31" t="n">
        <v>74.2</v>
      </c>
    </row>
    <row r="2127">
      <c r="A2127" s="4" t="inlineStr">
        <is>
          <t>20/02/2013</t>
        </is>
      </c>
      <c r="B2127" s="31" t="n">
        <v>73.92</v>
      </c>
    </row>
    <row r="2128">
      <c r="A2128" s="4" t="inlineStr">
        <is>
          <t>21/02/2013</t>
        </is>
      </c>
      <c r="B2128" s="31" t="n">
        <v>74.47</v>
      </c>
    </row>
    <row r="2129">
      <c r="A2129" s="4" t="inlineStr">
        <is>
          <t>22/02/2013</t>
        </is>
      </c>
      <c r="B2129" s="31" t="n">
        <v>74.68000000000001</v>
      </c>
    </row>
    <row r="2130">
      <c r="A2130" s="4" t="inlineStr">
        <is>
          <t>25/02/2013</t>
        </is>
      </c>
      <c r="B2130" s="31" t="n">
        <v>74.94</v>
      </c>
    </row>
    <row r="2131">
      <c r="A2131" s="4" t="inlineStr">
        <is>
          <t>26/02/2013</t>
        </is>
      </c>
      <c r="B2131" s="31" t="n">
        <v>75.08</v>
      </c>
    </row>
    <row r="2132">
      <c r="A2132" s="4" t="inlineStr">
        <is>
          <t>27/02/2013</t>
        </is>
      </c>
      <c r="B2132" s="31" t="n">
        <v>75.12</v>
      </c>
    </row>
    <row r="2133">
      <c r="A2133" s="4" t="inlineStr">
        <is>
          <t>28/02/2013</t>
        </is>
      </c>
      <c r="B2133" s="31" t="n">
        <v>74.78</v>
      </c>
    </row>
    <row r="2134">
      <c r="A2134" s="4" t="inlineStr">
        <is>
          <t>01/03/2013</t>
        </is>
      </c>
      <c r="B2134" s="31" t="n">
        <v>74.27</v>
      </c>
    </row>
    <row r="2135">
      <c r="A2135" s="4" t="inlineStr">
        <is>
          <t>04/03/2013</t>
        </is>
      </c>
      <c r="B2135" s="31" t="n">
        <v>74.55</v>
      </c>
    </row>
    <row r="2136">
      <c r="A2136" s="4" t="inlineStr">
        <is>
          <t>05/03/2013</t>
        </is>
      </c>
      <c r="B2136" s="31" t="n">
        <v>74.18000000000001</v>
      </c>
    </row>
    <row r="2137">
      <c r="A2137" s="4" t="inlineStr">
        <is>
          <t>06/03/2013</t>
        </is>
      </c>
      <c r="B2137" s="31" t="n">
        <v>73.90000000000001</v>
      </c>
    </row>
    <row r="2138">
      <c r="A2138" s="4" t="inlineStr">
        <is>
          <t>07/03/2013</t>
        </is>
      </c>
      <c r="B2138" s="31" t="n">
        <v>73.40000000000001</v>
      </c>
    </row>
    <row r="2139">
      <c r="A2139" s="4" t="inlineStr">
        <is>
          <t>08/03/2013</t>
        </is>
      </c>
      <c r="B2139" s="31" t="n">
        <v>73.03</v>
      </c>
    </row>
    <row r="2140">
      <c r="A2140" s="4" t="inlineStr">
        <is>
          <t>11/03/2013</t>
        </is>
      </c>
      <c r="B2140" s="31" t="n">
        <v>72.98</v>
      </c>
    </row>
    <row r="2141">
      <c r="A2141" s="4" t="inlineStr">
        <is>
          <t>12/03/2013</t>
        </is>
      </c>
      <c r="B2141" s="31" t="n">
        <v>71.92</v>
      </c>
    </row>
    <row r="2142">
      <c r="A2142" s="4" t="inlineStr">
        <is>
          <t>13/03/2013</t>
        </is>
      </c>
      <c r="B2142" s="31" t="n">
        <v>71.73999999999999</v>
      </c>
    </row>
    <row r="2143">
      <c r="A2143" s="4" t="inlineStr">
        <is>
          <t>14/03/2013</t>
        </is>
      </c>
      <c r="B2143" s="31" t="n">
        <v>70.72</v>
      </c>
    </row>
    <row r="2144">
      <c r="A2144" s="4" t="inlineStr">
        <is>
          <t>15/03/2013</t>
        </is>
      </c>
      <c r="B2144" s="31" t="n">
        <v>70.72</v>
      </c>
    </row>
    <row r="2145">
      <c r="A2145" s="4" t="inlineStr">
        <is>
          <t>18/03/2013</t>
        </is>
      </c>
      <c r="B2145" s="31" t="n">
        <v>69.98999999999999</v>
      </c>
    </row>
    <row r="2146">
      <c r="A2146" s="4" t="inlineStr">
        <is>
          <t>19/03/2013</t>
        </is>
      </c>
      <c r="B2146" s="31" t="n">
        <v>69.5</v>
      </c>
    </row>
    <row r="2147">
      <c r="A2147" s="4" t="inlineStr">
        <is>
          <t>20/03/2013</t>
        </is>
      </c>
      <c r="B2147" s="31" t="n">
        <v>68.88</v>
      </c>
    </row>
    <row r="2148">
      <c r="A2148" s="4" t="inlineStr">
        <is>
          <t>21/03/2013</t>
        </is>
      </c>
      <c r="B2148" s="31" t="n">
        <v>68.53</v>
      </c>
    </row>
    <row r="2149">
      <c r="A2149" s="4" t="inlineStr">
        <is>
          <t>22/03/2013</t>
        </is>
      </c>
      <c r="B2149" s="31" t="n">
        <v>67.98</v>
      </c>
    </row>
    <row r="2150">
      <c r="A2150" s="4" t="inlineStr">
        <is>
          <t>25/03/2013</t>
        </is>
      </c>
      <c r="B2150" s="31" t="n">
        <v>67.89</v>
      </c>
    </row>
    <row r="2151">
      <c r="A2151" s="4" t="inlineStr">
        <is>
          <t>26/03/2013</t>
        </is>
      </c>
      <c r="B2151" s="31" t="n">
        <v>67.43000000000001</v>
      </c>
    </row>
    <row r="2152">
      <c r="A2152" s="4" t="inlineStr">
        <is>
          <t>27/03/2013</t>
        </is>
      </c>
      <c r="B2152" s="31" t="n">
        <v>66.98999999999999</v>
      </c>
    </row>
    <row r="2153">
      <c r="A2153" s="4" t="inlineStr">
        <is>
          <t>28/03/2013</t>
        </is>
      </c>
      <c r="B2153" s="31" t="n">
        <v>66.98999999999999</v>
      </c>
    </row>
    <row r="2154">
      <c r="A2154" s="4" t="inlineStr">
        <is>
          <t>01/04/2013</t>
        </is>
      </c>
      <c r="B2154" s="31" t="n">
        <v>65.48999999999999</v>
      </c>
    </row>
    <row r="2155">
      <c r="A2155" s="4" t="inlineStr">
        <is>
          <t>02/04/2013</t>
        </is>
      </c>
      <c r="B2155" s="31" t="n">
        <v>64.93000000000001</v>
      </c>
    </row>
    <row r="2156">
      <c r="A2156" s="4" t="inlineStr">
        <is>
          <t>03/04/2013</t>
        </is>
      </c>
      <c r="B2156" s="31" t="n">
        <v>64.59</v>
      </c>
    </row>
    <row r="2157">
      <c r="A2157" s="4" t="inlineStr">
        <is>
          <t>04/04/2013</t>
        </is>
      </c>
      <c r="B2157" s="31" t="n">
        <v>63.51</v>
      </c>
    </row>
    <row r="2158">
      <c r="A2158" s="4" t="inlineStr">
        <is>
          <t>05/04/2013</t>
        </is>
      </c>
      <c r="B2158" s="31" t="n">
        <v>63.48</v>
      </c>
    </row>
    <row r="2159">
      <c r="A2159" s="4" t="inlineStr">
        <is>
          <t>08/04/2013</t>
        </is>
      </c>
      <c r="B2159" s="31" t="n">
        <v>63.92</v>
      </c>
    </row>
    <row r="2160">
      <c r="A2160" s="4" t="inlineStr">
        <is>
          <t>09/04/2013</t>
        </is>
      </c>
      <c r="B2160" s="31" t="n">
        <v>62.77</v>
      </c>
    </row>
    <row r="2161">
      <c r="A2161" s="4" t="inlineStr">
        <is>
          <t>10/04/2013</t>
        </is>
      </c>
      <c r="B2161" s="31" t="n">
        <v>62.15</v>
      </c>
    </row>
    <row r="2162">
      <c r="A2162" s="4" t="inlineStr">
        <is>
          <t>11/04/2013</t>
        </is>
      </c>
      <c r="B2162" s="31" t="n">
        <v>61.67</v>
      </c>
    </row>
    <row r="2163">
      <c r="A2163" s="4" t="inlineStr">
        <is>
          <t>12/04/2013</t>
        </is>
      </c>
      <c r="B2163" s="31" t="n">
        <v>61.46</v>
      </c>
    </row>
    <row r="2164">
      <c r="A2164" s="4" t="inlineStr">
        <is>
          <t>15/04/2013</t>
        </is>
      </c>
      <c r="B2164" s="31" t="n">
        <v>60.93</v>
      </c>
    </row>
    <row r="2165">
      <c r="A2165" s="4" t="inlineStr">
        <is>
          <t>16/04/2013</t>
        </is>
      </c>
      <c r="B2165" s="31" t="n">
        <v>60.17</v>
      </c>
    </row>
    <row r="2166">
      <c r="A2166" s="4" t="inlineStr">
        <is>
          <t>17/04/2013</t>
        </is>
      </c>
      <c r="B2166" s="31" t="n">
        <v>59.37</v>
      </c>
    </row>
    <row r="2167">
      <c r="A2167" s="4" t="inlineStr">
        <is>
          <t>18/04/2013</t>
        </is>
      </c>
      <c r="B2167" s="31" t="n">
        <v>59.07</v>
      </c>
    </row>
    <row r="2168">
      <c r="A2168" s="4" t="inlineStr">
        <is>
          <t>19/04/2013</t>
        </is>
      </c>
      <c r="B2168" s="31" t="n">
        <v>59.2</v>
      </c>
    </row>
    <row r="2169">
      <c r="A2169" s="4" t="inlineStr">
        <is>
          <t>22/04/2013</t>
        </is>
      </c>
      <c r="B2169" s="31" t="n">
        <v>58.7</v>
      </c>
    </row>
    <row r="2170">
      <c r="A2170" s="4" t="inlineStr">
        <is>
          <t>23/04/2013</t>
        </is>
      </c>
      <c r="B2170" s="31" t="n">
        <v>57.78</v>
      </c>
    </row>
    <row r="2171">
      <c r="A2171" s="4" t="inlineStr">
        <is>
          <t>24/04/2013</t>
        </is>
      </c>
      <c r="B2171" s="31" t="n">
        <v>58.03</v>
      </c>
    </row>
    <row r="2172">
      <c r="A2172" s="4" t="inlineStr">
        <is>
          <t>25/04/2013</t>
        </is>
      </c>
      <c r="B2172" s="31" t="n">
        <v>57.85</v>
      </c>
    </row>
    <row r="2173">
      <c r="A2173" s="4" t="inlineStr">
        <is>
          <t>26/04/2013</t>
        </is>
      </c>
      <c r="B2173" s="31" t="n">
        <v>57.32</v>
      </c>
    </row>
    <row r="2174">
      <c r="A2174" s="4" t="inlineStr">
        <is>
          <t>29/04/2013</t>
        </is>
      </c>
      <c r="B2174" s="31" t="n">
        <v>57.04</v>
      </c>
    </row>
    <row r="2175">
      <c r="A2175" s="4" t="inlineStr">
        <is>
          <t>30/04/2013</t>
        </is>
      </c>
      <c r="B2175" s="31" t="n">
        <v>57.32</v>
      </c>
    </row>
    <row r="2176">
      <c r="A2176" s="4" t="inlineStr">
        <is>
          <t>02/05/2013</t>
        </is>
      </c>
      <c r="B2176" s="31" t="n">
        <v>57.76</v>
      </c>
    </row>
    <row r="2177">
      <c r="A2177" s="4" t="inlineStr">
        <is>
          <t>03/05/2013</t>
        </is>
      </c>
      <c r="B2177" s="31" t="n">
        <v>58.17</v>
      </c>
    </row>
    <row r="2178">
      <c r="A2178" s="4" t="inlineStr">
        <is>
          <t>06/05/2013</t>
        </is>
      </c>
      <c r="B2178" s="31" t="n">
        <v>58.17</v>
      </c>
    </row>
    <row r="2179">
      <c r="A2179" s="4" t="inlineStr">
        <is>
          <t>07/05/2013</t>
        </is>
      </c>
      <c r="B2179" s="31" t="n">
        <v>58.65</v>
      </c>
    </row>
    <row r="2180">
      <c r="A2180" s="4" t="inlineStr">
        <is>
          <t>08/05/2013</t>
        </is>
      </c>
      <c r="B2180" s="31" t="n">
        <v>58.68</v>
      </c>
    </row>
    <row r="2181">
      <c r="A2181" s="4" t="inlineStr">
        <is>
          <t>09/05/2013</t>
        </is>
      </c>
      <c r="B2181" s="31" t="n">
        <v>58.72</v>
      </c>
    </row>
    <row r="2182">
      <c r="A2182" s="4" t="inlineStr">
        <is>
          <t>10/05/2013</t>
        </is>
      </c>
      <c r="B2182" s="31" t="n">
        <v>59.02</v>
      </c>
    </row>
    <row r="2183">
      <c r="A2183" s="4" t="inlineStr">
        <is>
          <t>13/05/2013</t>
        </is>
      </c>
      <c r="B2183" s="31" t="n">
        <v>59.18</v>
      </c>
    </row>
    <row r="2184">
      <c r="A2184" s="4" t="inlineStr">
        <is>
          <t>14/05/2013</t>
        </is>
      </c>
      <c r="B2184" s="31" t="n">
        <v>59.5</v>
      </c>
    </row>
    <row r="2185">
      <c r="A2185" s="4" t="inlineStr">
        <is>
          <t>15/05/2013</t>
        </is>
      </c>
      <c r="B2185" s="31" t="n">
        <v>60.15</v>
      </c>
    </row>
    <row r="2186">
      <c r="A2186" s="4" t="inlineStr">
        <is>
          <t>16/05/2013</t>
        </is>
      </c>
      <c r="B2186" s="31" t="n">
        <v>60.19</v>
      </c>
    </row>
    <row r="2187">
      <c r="A2187" s="4" t="inlineStr">
        <is>
          <t>17/05/2013</t>
        </is>
      </c>
      <c r="B2187" s="31" t="n">
        <v>60.59</v>
      </c>
    </row>
    <row r="2188">
      <c r="A2188" s="4" t="inlineStr">
        <is>
          <t>20/05/2013</t>
        </is>
      </c>
      <c r="B2188" s="31" t="n">
        <v>60.49</v>
      </c>
    </row>
    <row r="2189">
      <c r="A2189" s="4" t="inlineStr">
        <is>
          <t>21/05/2013</t>
        </is>
      </c>
      <c r="B2189" s="31" t="n">
        <v>60.98</v>
      </c>
    </row>
    <row r="2190">
      <c r="A2190" s="4" t="inlineStr">
        <is>
          <t>22/05/2013</t>
        </is>
      </c>
      <c r="B2190" s="31" t="n">
        <v>60.29</v>
      </c>
    </row>
    <row r="2191">
      <c r="A2191" s="4" t="inlineStr">
        <is>
          <t>23/05/2013</t>
        </is>
      </c>
      <c r="B2191" s="31" t="n">
        <v>60.86</v>
      </c>
    </row>
    <row r="2192">
      <c r="A2192" s="4" t="inlineStr">
        <is>
          <t>24/05/2013</t>
        </is>
      </c>
      <c r="B2192" s="31" t="n">
        <v>61.05</v>
      </c>
    </row>
    <row r="2193">
      <c r="A2193" s="4" t="inlineStr">
        <is>
          <t>27/05/2013</t>
        </is>
      </c>
      <c r="B2193" s="31" t="n">
        <v>60.84</v>
      </c>
    </row>
    <row r="2194">
      <c r="A2194" s="4" t="inlineStr">
        <is>
          <t>28/05/2013</t>
        </is>
      </c>
      <c r="B2194" s="31" t="n">
        <v>60.98</v>
      </c>
    </row>
    <row r="2195">
      <c r="A2195" s="4" t="inlineStr">
        <is>
          <t>29/05/2013</t>
        </is>
      </c>
      <c r="B2195" s="31" t="n">
        <v>61.53</v>
      </c>
    </row>
    <row r="2196">
      <c r="A2196" s="4" t="inlineStr">
        <is>
          <t>31/05/2013</t>
        </is>
      </c>
      <c r="B2196" s="31" t="n">
        <v>61.32</v>
      </c>
    </row>
    <row r="2197">
      <c r="A2197" s="4" t="inlineStr">
        <is>
          <t>03/06/2013</t>
        </is>
      </c>
      <c r="B2197" s="31" t="n">
        <v>62.1</v>
      </c>
    </row>
    <row r="2198">
      <c r="A2198" s="4" t="inlineStr">
        <is>
          <t>04/06/2013</t>
        </is>
      </c>
      <c r="B2198" s="31" t="n">
        <v>62.37</v>
      </c>
    </row>
    <row r="2199">
      <c r="A2199" s="4" t="inlineStr">
        <is>
          <t>05/06/2013</t>
        </is>
      </c>
      <c r="B2199" s="31" t="n">
        <v>62.58</v>
      </c>
    </row>
    <row r="2200">
      <c r="A2200" s="4" t="inlineStr">
        <is>
          <t>06/06/2013</t>
        </is>
      </c>
      <c r="B2200" s="31" t="n">
        <v>62.21</v>
      </c>
    </row>
    <row r="2201">
      <c r="A2201" s="4" t="inlineStr">
        <is>
          <t>07/06/2013</t>
        </is>
      </c>
      <c r="B2201" s="31" t="n">
        <v>62.26</v>
      </c>
    </row>
    <row r="2202">
      <c r="A2202" s="4" t="inlineStr">
        <is>
          <t>10/06/2013</t>
        </is>
      </c>
      <c r="B2202" s="31" t="n">
        <v>61.69</v>
      </c>
    </row>
    <row r="2203">
      <c r="A2203" s="4" t="inlineStr">
        <is>
          <t>11/06/2013</t>
        </is>
      </c>
      <c r="B2203" s="31" t="n">
        <v>60.55</v>
      </c>
    </row>
    <row r="2204">
      <c r="A2204" s="4" t="inlineStr">
        <is>
          <t>12/06/2013</t>
        </is>
      </c>
      <c r="B2204" s="31" t="n">
        <v>60.36</v>
      </c>
    </row>
    <row r="2205">
      <c r="A2205" s="4" t="inlineStr">
        <is>
          <t>13/06/2013</t>
        </is>
      </c>
      <c r="B2205" s="31" t="n">
        <v>60.13</v>
      </c>
    </row>
    <row r="2206">
      <c r="A2206" s="4" t="inlineStr">
        <is>
          <t>14/06/2013</t>
        </is>
      </c>
      <c r="B2206" s="31" t="n">
        <v>60.09</v>
      </c>
    </row>
    <row r="2207">
      <c r="A2207" s="4" t="inlineStr">
        <is>
          <t>17/06/2013</t>
        </is>
      </c>
      <c r="B2207" s="31" t="n">
        <v>59.72</v>
      </c>
    </row>
    <row r="2208">
      <c r="A2208" s="4" t="inlineStr">
        <is>
          <t>18/06/2013</t>
        </is>
      </c>
      <c r="B2208" s="31" t="n">
        <v>59.38</v>
      </c>
    </row>
    <row r="2209">
      <c r="A2209" s="4" t="inlineStr">
        <is>
          <t>19/06/2013</t>
        </is>
      </c>
      <c r="B2209" s="31" t="n">
        <v>58.97</v>
      </c>
    </row>
    <row r="2210">
      <c r="A2210" s="4" t="inlineStr">
        <is>
          <t>20/06/2013</t>
        </is>
      </c>
      <c r="B2210" s="31" t="n">
        <v>58.76</v>
      </c>
    </row>
    <row r="2211">
      <c r="A2211" s="4" t="inlineStr">
        <is>
          <t>21/06/2013</t>
        </is>
      </c>
      <c r="B2211" s="31" t="n">
        <v>58.97</v>
      </c>
    </row>
    <row r="2212">
      <c r="A2212" s="4" t="inlineStr">
        <is>
          <t>24/06/2013</t>
        </is>
      </c>
      <c r="B2212" s="31" t="n">
        <v>59.22</v>
      </c>
    </row>
    <row r="2213">
      <c r="A2213" s="4" t="inlineStr">
        <is>
          <t>25/06/2013</t>
        </is>
      </c>
      <c r="B2213" s="31" t="n">
        <v>59.91</v>
      </c>
    </row>
    <row r="2214">
      <c r="A2214" s="4" t="inlineStr">
        <is>
          <t>26/06/2013</t>
        </is>
      </c>
      <c r="B2214" s="31" t="n">
        <v>59.59</v>
      </c>
    </row>
    <row r="2215">
      <c r="A2215" s="4" t="inlineStr">
        <is>
          <t>27/06/2013</t>
        </is>
      </c>
      <c r="B2215" s="31" t="n">
        <v>59.75</v>
      </c>
    </row>
    <row r="2216">
      <c r="A2216" s="4" t="inlineStr">
        <is>
          <t>28/06/2013</t>
        </is>
      </c>
      <c r="B2216" s="31" t="n">
        <v>59.75</v>
      </c>
    </row>
    <row r="2217">
      <c r="A2217" s="4" t="inlineStr">
        <is>
          <t>01/07/2013</t>
        </is>
      </c>
      <c r="B2217" s="31" t="n">
        <v>59.57</v>
      </c>
    </row>
    <row r="2218">
      <c r="A2218" s="4" t="inlineStr">
        <is>
          <t>02/07/2013</t>
        </is>
      </c>
      <c r="B2218" s="31" t="n">
        <v>59.59</v>
      </c>
    </row>
    <row r="2219">
      <c r="A2219" s="4" t="inlineStr">
        <is>
          <t>03/07/2013</t>
        </is>
      </c>
      <c r="B2219" s="31" t="n">
        <v>59.39</v>
      </c>
    </row>
    <row r="2220">
      <c r="A2220" s="4" t="inlineStr">
        <is>
          <t>04/07/2013</t>
        </is>
      </c>
      <c r="B2220" s="31" t="n">
        <v>58.86</v>
      </c>
    </row>
    <row r="2221">
      <c r="A2221" s="4" t="inlineStr">
        <is>
          <t>05/07/2013</t>
        </is>
      </c>
      <c r="B2221" s="31" t="n">
        <v>58.63</v>
      </c>
    </row>
    <row r="2222">
      <c r="A2222" s="4" t="inlineStr">
        <is>
          <t>08/07/2013</t>
        </is>
      </c>
      <c r="B2222" s="31" t="n">
        <v>58.59</v>
      </c>
    </row>
    <row r="2223">
      <c r="A2223" s="4" t="inlineStr">
        <is>
          <t>10/07/2013</t>
        </is>
      </c>
      <c r="B2223" s="31" t="n">
        <v>57.47</v>
      </c>
    </row>
    <row r="2224">
      <c r="A2224" s="4" t="inlineStr">
        <is>
          <t>11/07/2013</t>
        </is>
      </c>
      <c r="B2224" s="31" t="n">
        <v>57.5</v>
      </c>
    </row>
    <row r="2225">
      <c r="A2225" s="4" t="inlineStr">
        <is>
          <t>12/07/2013</t>
        </is>
      </c>
      <c r="B2225" s="31" t="n">
        <v>57.34</v>
      </c>
    </row>
    <row r="2226">
      <c r="A2226" s="4" t="inlineStr">
        <is>
          <t>15/07/2013</t>
        </is>
      </c>
      <c r="B2226" s="31" t="n">
        <v>56.36</v>
      </c>
    </row>
    <row r="2227">
      <c r="A2227" s="4" t="inlineStr">
        <is>
          <t>16/07/2013</t>
        </is>
      </c>
      <c r="B2227" s="31" t="n">
        <v>56.13</v>
      </c>
    </row>
    <row r="2228">
      <c r="A2228" s="4" t="inlineStr">
        <is>
          <t>17/07/2013</t>
        </is>
      </c>
      <c r="B2228" s="31" t="n">
        <v>56.38</v>
      </c>
    </row>
    <row r="2229">
      <c r="A2229" s="4" t="inlineStr">
        <is>
          <t>18/07/2013</t>
        </is>
      </c>
      <c r="B2229" s="31" t="n">
        <v>56.31</v>
      </c>
    </row>
    <row r="2230">
      <c r="A2230" s="4" t="inlineStr">
        <is>
          <t>19/07/2013</t>
        </is>
      </c>
      <c r="B2230" s="31" t="n">
        <v>56.2</v>
      </c>
    </row>
    <row r="2231">
      <c r="A2231" s="4" t="inlineStr">
        <is>
          <t>22/07/2013</t>
        </is>
      </c>
      <c r="B2231" s="31" t="n">
        <v>55.86</v>
      </c>
    </row>
    <row r="2232">
      <c r="A2232" s="4" t="inlineStr">
        <is>
          <t>23/07/2013</t>
        </is>
      </c>
      <c r="B2232" s="31" t="n">
        <v>55.4</v>
      </c>
    </row>
    <row r="2233">
      <c r="A2233" s="4" t="inlineStr">
        <is>
          <t>24/07/2013</t>
        </is>
      </c>
      <c r="B2233" s="31" t="n">
        <v>55.35</v>
      </c>
    </row>
    <row r="2234">
      <c r="A2234" s="4" t="inlineStr">
        <is>
          <t>25/07/2013</t>
        </is>
      </c>
      <c r="B2234" s="31" t="n">
        <v>55.99</v>
      </c>
    </row>
    <row r="2235">
      <c r="A2235" s="4" t="inlineStr">
        <is>
          <t>26/07/2013</t>
        </is>
      </c>
      <c r="B2235" s="31" t="n">
        <v>55.88</v>
      </c>
    </row>
    <row r="2236">
      <c r="A2236" s="4" t="inlineStr">
        <is>
          <t>29/07/2013</t>
        </is>
      </c>
      <c r="B2236" s="31" t="n">
        <v>55.49</v>
      </c>
    </row>
    <row r="2237">
      <c r="A2237" s="4" t="inlineStr">
        <is>
          <t>30/07/2013</t>
        </is>
      </c>
      <c r="B2237" s="31" t="n">
        <v>55.17</v>
      </c>
    </row>
    <row r="2238">
      <c r="A2238" s="4" t="inlineStr">
        <is>
          <t>31/07/2013</t>
        </is>
      </c>
      <c r="B2238" s="31" t="n">
        <v>55.17</v>
      </c>
    </row>
    <row r="2239">
      <c r="A2239" s="4" t="inlineStr">
        <is>
          <t>01/08/2013</t>
        </is>
      </c>
      <c r="B2239" s="31" t="n">
        <v>54.29</v>
      </c>
    </row>
    <row r="2240">
      <c r="A2240" s="4" t="inlineStr">
        <is>
          <t>02/08/2013</t>
        </is>
      </c>
      <c r="B2240" s="31" t="n">
        <v>54.02</v>
      </c>
    </row>
    <row r="2241">
      <c r="A2241" s="4" t="inlineStr">
        <is>
          <t>05/08/2013</t>
        </is>
      </c>
      <c r="B2241" s="31" t="n">
        <v>54.04</v>
      </c>
    </row>
    <row r="2242">
      <c r="A2242" s="4" t="inlineStr">
        <is>
          <t>06/08/2013</t>
        </is>
      </c>
      <c r="B2242" s="31" t="n">
        <v>53.63</v>
      </c>
    </row>
    <row r="2243">
      <c r="A2243" s="4" t="inlineStr">
        <is>
          <t>07/08/2013</t>
        </is>
      </c>
      <c r="B2243" s="31" t="n">
        <v>53.36</v>
      </c>
    </row>
    <row r="2244">
      <c r="A2244" s="4" t="inlineStr">
        <is>
          <t>08/08/2013</t>
        </is>
      </c>
      <c r="B2244" s="31" t="n">
        <v>53.13</v>
      </c>
    </row>
    <row r="2245">
      <c r="A2245" s="4" t="inlineStr">
        <is>
          <t>09/08/2013</t>
        </is>
      </c>
      <c r="B2245" s="31" t="n">
        <v>52.95</v>
      </c>
    </row>
    <row r="2246">
      <c r="A2246" s="4" t="inlineStr">
        <is>
          <t>12/08/2013</t>
        </is>
      </c>
      <c r="B2246" s="31" t="n">
        <v>52.63</v>
      </c>
    </row>
    <row r="2247">
      <c r="A2247" s="4" t="inlineStr">
        <is>
          <t>13/08/2013</t>
        </is>
      </c>
      <c r="B2247" s="31" t="n">
        <v>52.81</v>
      </c>
    </row>
    <row r="2248">
      <c r="A2248" s="4" t="inlineStr">
        <is>
          <t>14/08/2013</t>
        </is>
      </c>
      <c r="B2248" s="31" t="n">
        <v>52.72</v>
      </c>
    </row>
    <row r="2249">
      <c r="A2249" s="4" t="inlineStr">
        <is>
          <t>15/08/2013</t>
        </is>
      </c>
      <c r="B2249" s="31" t="n">
        <v>52.43</v>
      </c>
    </row>
    <row r="2250">
      <c r="A2250" s="4" t="inlineStr">
        <is>
          <t>16/08/2013</t>
        </is>
      </c>
      <c r="B2250" s="31" t="n">
        <v>52.68</v>
      </c>
    </row>
    <row r="2251">
      <c r="A2251" s="4" t="inlineStr">
        <is>
          <t>19/08/2013</t>
        </is>
      </c>
      <c r="B2251" s="31" t="n">
        <v>53.72</v>
      </c>
    </row>
    <row r="2252">
      <c r="A2252" s="4" t="inlineStr">
        <is>
          <t>20/08/2013</t>
        </is>
      </c>
      <c r="B2252" s="31" t="n">
        <v>54.84</v>
      </c>
    </row>
    <row r="2253">
      <c r="A2253" s="4" t="inlineStr">
        <is>
          <t>21/08/2013</t>
        </is>
      </c>
      <c r="B2253" s="31" t="n">
        <v>55.39</v>
      </c>
    </row>
    <row r="2254">
      <c r="A2254" s="4" t="inlineStr">
        <is>
          <t>22/08/2013</t>
        </is>
      </c>
      <c r="B2254" s="31" t="n">
        <v>56.59</v>
      </c>
    </row>
    <row r="2255">
      <c r="A2255" s="4" t="inlineStr">
        <is>
          <t>23/08/2013</t>
        </is>
      </c>
      <c r="B2255" s="31" t="n">
        <v>56.34</v>
      </c>
    </row>
    <row r="2256">
      <c r="A2256" s="4" t="inlineStr">
        <is>
          <t>26/08/2013</t>
        </is>
      </c>
      <c r="B2256" s="31" t="n">
        <v>56.77</v>
      </c>
    </row>
    <row r="2257">
      <c r="A2257" s="4" t="inlineStr">
        <is>
          <t>27/08/2013</t>
        </is>
      </c>
      <c r="B2257" s="31" t="n">
        <v>57.14</v>
      </c>
    </row>
    <row r="2258">
      <c r="A2258" s="4" t="inlineStr">
        <is>
          <t>28/08/2013</t>
        </is>
      </c>
      <c r="B2258" s="31" t="n">
        <v>57.93</v>
      </c>
    </row>
    <row r="2259">
      <c r="A2259" s="4" t="inlineStr">
        <is>
          <t>29/08/2013</t>
        </is>
      </c>
      <c r="B2259" s="31" t="n">
        <v>57.59</v>
      </c>
    </row>
    <row r="2260">
      <c r="A2260" s="4" t="inlineStr">
        <is>
          <t>30/08/2013</t>
        </is>
      </c>
      <c r="B2260" s="31" t="n">
        <v>57.73</v>
      </c>
    </row>
    <row r="2261">
      <c r="A2261" s="4" t="inlineStr">
        <is>
          <t>02/09/2013</t>
        </is>
      </c>
      <c r="B2261" s="31" t="n">
        <v>57.19</v>
      </c>
    </row>
    <row r="2262">
      <c r="A2262" s="4" t="inlineStr">
        <is>
          <t>03/09/2013</t>
        </is>
      </c>
      <c r="B2262" s="31" t="n">
        <v>57.57</v>
      </c>
    </row>
    <row r="2263">
      <c r="A2263" s="4" t="inlineStr">
        <is>
          <t>04/09/2013</t>
        </is>
      </c>
      <c r="B2263" s="31" t="n">
        <v>57.7</v>
      </c>
    </row>
    <row r="2264">
      <c r="A2264" s="4" t="inlineStr">
        <is>
          <t>05/09/2013</t>
        </is>
      </c>
      <c r="B2264" s="31" t="n">
        <v>57.75</v>
      </c>
    </row>
    <row r="2265">
      <c r="A2265" s="4" t="inlineStr">
        <is>
          <t>06/09/2013</t>
        </is>
      </c>
      <c r="B2265" s="31" t="n">
        <v>57.93</v>
      </c>
    </row>
    <row r="2266">
      <c r="A2266" s="4" t="inlineStr">
        <is>
          <t>09/09/2013</t>
        </is>
      </c>
      <c r="B2266" s="31" t="n">
        <v>57.55</v>
      </c>
    </row>
    <row r="2267">
      <c r="A2267" s="4" t="inlineStr">
        <is>
          <t>10/09/2013</t>
        </is>
      </c>
      <c r="B2267" s="31" t="n">
        <v>57.14</v>
      </c>
    </row>
    <row r="2268">
      <c r="A2268" s="4" t="inlineStr">
        <is>
          <t>11/09/2013</t>
        </is>
      </c>
      <c r="B2268" s="31" t="n">
        <v>56.65</v>
      </c>
    </row>
    <row r="2269">
      <c r="A2269" s="4" t="inlineStr">
        <is>
          <t>12/09/2013</t>
        </is>
      </c>
      <c r="B2269" s="31" t="n">
        <v>56.63</v>
      </c>
    </row>
    <row r="2270">
      <c r="A2270" s="4" t="inlineStr">
        <is>
          <t>13/09/2013</t>
        </is>
      </c>
      <c r="B2270" s="31" t="n">
        <v>56.79</v>
      </c>
    </row>
    <row r="2271">
      <c r="A2271" s="4" t="inlineStr">
        <is>
          <t>16/09/2013</t>
        </is>
      </c>
      <c r="B2271" s="31" t="n">
        <v>56.52</v>
      </c>
    </row>
    <row r="2272">
      <c r="A2272" s="4" t="inlineStr">
        <is>
          <t>17/09/2013</t>
        </is>
      </c>
      <c r="B2272" s="31" t="n">
        <v>55.44</v>
      </c>
    </row>
    <row r="2273">
      <c r="A2273" s="4" t="inlineStr">
        <is>
          <t>18/09/2013</t>
        </is>
      </c>
      <c r="B2273" s="31" t="n">
        <v>55.69</v>
      </c>
    </row>
    <row r="2274">
      <c r="A2274" s="4" t="inlineStr">
        <is>
          <t>19/09/2013</t>
        </is>
      </c>
      <c r="B2274" s="31" t="n">
        <v>55.8</v>
      </c>
    </row>
    <row r="2275">
      <c r="A2275" s="4" t="inlineStr">
        <is>
          <t>20/09/2013</t>
        </is>
      </c>
      <c r="B2275" s="31" t="n">
        <v>55.62</v>
      </c>
    </row>
    <row r="2276">
      <c r="A2276" s="4" t="inlineStr">
        <is>
          <t>23/09/2013</t>
        </is>
      </c>
      <c r="B2276" s="31" t="n">
        <v>55.22</v>
      </c>
    </row>
    <row r="2277">
      <c r="A2277" s="4" t="inlineStr">
        <is>
          <t>24/09/2013</t>
        </is>
      </c>
      <c r="B2277" s="31" t="n">
        <v>54.43</v>
      </c>
    </row>
    <row r="2278">
      <c r="A2278" s="4" t="inlineStr">
        <is>
          <t>25/09/2013</t>
        </is>
      </c>
      <c r="B2278" s="31" t="n">
        <v>54.52</v>
      </c>
    </row>
    <row r="2279">
      <c r="A2279" s="4" t="inlineStr">
        <is>
          <t>26/09/2013</t>
        </is>
      </c>
      <c r="B2279" s="31" t="n">
        <v>54.54</v>
      </c>
    </row>
    <row r="2280">
      <c r="A2280" s="4" t="inlineStr">
        <is>
          <t>27/09/2013</t>
        </is>
      </c>
      <c r="B2280" s="31" t="n">
        <v>54.72</v>
      </c>
    </row>
    <row r="2281">
      <c r="A2281" s="4" t="inlineStr">
        <is>
          <t>30/09/2013</t>
        </is>
      </c>
      <c r="B2281" s="31" t="n">
        <v>54.48</v>
      </c>
    </row>
    <row r="2282">
      <c r="A2282" s="4" t="inlineStr">
        <is>
          <t>01/10/2013</t>
        </is>
      </c>
      <c r="B2282" s="31" t="n">
        <v>53.1</v>
      </c>
    </row>
    <row r="2283">
      <c r="A2283" s="4" t="inlineStr">
        <is>
          <t>02/10/2013</t>
        </is>
      </c>
      <c r="B2283" s="31" t="n">
        <v>52.9</v>
      </c>
    </row>
    <row r="2284">
      <c r="A2284" s="4" t="inlineStr">
        <is>
          <t>03/10/2013</t>
        </is>
      </c>
      <c r="B2284" s="31" t="n">
        <v>52.75</v>
      </c>
    </row>
    <row r="2285">
      <c r="A2285" s="4" t="inlineStr">
        <is>
          <t>04/10/2013</t>
        </is>
      </c>
      <c r="B2285" s="31" t="n">
        <v>52.57</v>
      </c>
    </row>
    <row r="2286">
      <c r="A2286" s="4" t="inlineStr">
        <is>
          <t>07/10/2013</t>
        </is>
      </c>
      <c r="B2286" s="31" t="n">
        <v>52.61</v>
      </c>
    </row>
    <row r="2287">
      <c r="A2287" s="4" t="inlineStr">
        <is>
          <t>08/10/2013</t>
        </is>
      </c>
      <c r="B2287" s="31" t="n">
        <v>52.5</v>
      </c>
    </row>
    <row r="2288">
      <c r="A2288" s="4" t="inlineStr">
        <is>
          <t>09/10/2013</t>
        </is>
      </c>
      <c r="B2288" s="31" t="n">
        <v>52.24</v>
      </c>
    </row>
    <row r="2289">
      <c r="A2289" s="4" t="inlineStr">
        <is>
          <t>10/10/2013</t>
        </is>
      </c>
      <c r="B2289" s="31" t="n">
        <v>51.9</v>
      </c>
    </row>
    <row r="2290">
      <c r="A2290" s="4" t="inlineStr">
        <is>
          <t>11/10/2013</t>
        </is>
      </c>
      <c r="B2290" s="31" t="n">
        <v>52.35</v>
      </c>
    </row>
    <row r="2291">
      <c r="A2291" s="4" t="inlineStr">
        <is>
          <t>14/10/2013</t>
        </is>
      </c>
      <c r="B2291" s="31" t="n">
        <v>52.26</v>
      </c>
    </row>
    <row r="2292">
      <c r="A2292" s="4" t="inlineStr">
        <is>
          <t>15/10/2013</t>
        </is>
      </c>
      <c r="B2292" s="31" t="n">
        <v>52.59</v>
      </c>
    </row>
    <row r="2293">
      <c r="A2293" s="4" t="inlineStr">
        <is>
          <t>16/10/2013</t>
        </is>
      </c>
      <c r="B2293" s="31" t="n">
        <v>52.57</v>
      </c>
    </row>
    <row r="2294">
      <c r="A2294" s="4" t="inlineStr">
        <is>
          <t>17/10/2013</t>
        </is>
      </c>
      <c r="B2294" s="31" t="n">
        <v>53.08</v>
      </c>
    </row>
    <row r="2295">
      <c r="A2295" s="4" t="inlineStr">
        <is>
          <t>18/10/2013</t>
        </is>
      </c>
      <c r="B2295" s="31" t="n">
        <v>53.12</v>
      </c>
    </row>
    <row r="2296">
      <c r="A2296" s="4" t="inlineStr">
        <is>
          <t>21/10/2013</t>
        </is>
      </c>
      <c r="B2296" s="31" t="n">
        <v>53.81</v>
      </c>
    </row>
    <row r="2297">
      <c r="A2297" s="4" t="inlineStr">
        <is>
          <t>22/10/2013</t>
        </is>
      </c>
      <c r="B2297" s="31" t="n">
        <v>54.08</v>
      </c>
    </row>
    <row r="2298">
      <c r="A2298" s="4" t="inlineStr">
        <is>
          <t>23/10/2013</t>
        </is>
      </c>
      <c r="B2298" s="31" t="n">
        <v>55.1</v>
      </c>
    </row>
    <row r="2299">
      <c r="A2299" s="4" t="inlineStr">
        <is>
          <t>24/10/2013</t>
        </is>
      </c>
      <c r="B2299" s="31" t="n">
        <v>55.79</v>
      </c>
    </row>
    <row r="2300">
      <c r="A2300" s="4" t="inlineStr">
        <is>
          <t>25/10/2013</t>
        </is>
      </c>
      <c r="B2300" s="31" t="n">
        <v>55.43</v>
      </c>
    </row>
    <row r="2301">
      <c r="A2301" s="4" t="inlineStr">
        <is>
          <t>28/10/2013</t>
        </is>
      </c>
      <c r="B2301" s="31" t="n">
        <v>55.75</v>
      </c>
    </row>
    <row r="2302">
      <c r="A2302" s="4" t="inlineStr">
        <is>
          <t>29/10/2013</t>
        </is>
      </c>
      <c r="B2302" s="31" t="n">
        <v>55.41</v>
      </c>
    </row>
    <row r="2303">
      <c r="A2303" s="4" t="inlineStr">
        <is>
          <t>30/10/2013</t>
        </is>
      </c>
      <c r="B2303" s="31" t="n">
        <v>55.86</v>
      </c>
    </row>
    <row r="2304">
      <c r="A2304" s="4" t="inlineStr">
        <is>
          <t>31/10/2013</t>
        </is>
      </c>
      <c r="B2304" s="31" t="n">
        <v>55.03</v>
      </c>
    </row>
    <row r="2305">
      <c r="A2305" s="4" t="inlineStr">
        <is>
          <t>01/11/2013</t>
        </is>
      </c>
      <c r="B2305" s="31" t="n">
        <v>54.88</v>
      </c>
    </row>
    <row r="2306">
      <c r="A2306" s="4" t="inlineStr">
        <is>
          <t>04/11/2013</t>
        </is>
      </c>
      <c r="B2306" s="31" t="n">
        <v>54.9</v>
      </c>
    </row>
    <row r="2307">
      <c r="A2307" s="4" t="inlineStr">
        <is>
          <t>05/11/2013</t>
        </is>
      </c>
      <c r="B2307" s="31" t="n">
        <v>55.34</v>
      </c>
    </row>
    <row r="2308">
      <c r="A2308" s="4" t="inlineStr">
        <is>
          <t>06/11/2013</t>
        </is>
      </c>
      <c r="B2308" s="31" t="n">
        <v>55.36</v>
      </c>
    </row>
    <row r="2309">
      <c r="A2309" s="4" t="inlineStr">
        <is>
          <t>07/11/2013</t>
        </is>
      </c>
      <c r="B2309" s="31" t="n">
        <v>55.34</v>
      </c>
    </row>
    <row r="2310">
      <c r="A2310" s="4" t="inlineStr">
        <is>
          <t>08/11/2013</t>
        </is>
      </c>
      <c r="B2310" s="31" t="n">
        <v>55.32</v>
      </c>
    </row>
    <row r="2311">
      <c r="A2311" s="4" t="inlineStr">
        <is>
          <t>11/11/2013</t>
        </is>
      </c>
      <c r="B2311" s="31" t="n">
        <v>55.32</v>
      </c>
    </row>
    <row r="2312">
      <c r="A2312" s="4" t="inlineStr">
        <is>
          <t>12/11/2013</t>
        </is>
      </c>
      <c r="B2312" s="31" t="n">
        <v>56.05</v>
      </c>
    </row>
    <row r="2313">
      <c r="A2313" s="4" t="inlineStr">
        <is>
          <t>13/11/2013</t>
        </is>
      </c>
      <c r="B2313" s="31" t="n">
        <v>57.11</v>
      </c>
    </row>
    <row r="2314">
      <c r="A2314" s="4" t="inlineStr">
        <is>
          <t>14/11/2013</t>
        </is>
      </c>
      <c r="B2314" s="31" t="n">
        <v>57.14</v>
      </c>
    </row>
    <row r="2315">
      <c r="A2315" s="4" t="inlineStr">
        <is>
          <t>18/11/2013</t>
        </is>
      </c>
      <c r="B2315" s="31" t="n">
        <v>57.05</v>
      </c>
    </row>
    <row r="2316">
      <c r="A2316" s="4" t="inlineStr">
        <is>
          <t>19/11/2013</t>
        </is>
      </c>
      <c r="B2316" s="31" t="n">
        <v>57.09</v>
      </c>
    </row>
    <row r="2317">
      <c r="A2317" s="4" t="inlineStr">
        <is>
          <t>20/11/2013</t>
        </is>
      </c>
      <c r="B2317" s="31" t="n">
        <v>56.98</v>
      </c>
    </row>
    <row r="2318">
      <c r="A2318" s="4" t="inlineStr">
        <is>
          <t>21/11/2013</t>
        </is>
      </c>
      <c r="B2318" s="31" t="n">
        <v>57.58</v>
      </c>
    </row>
    <row r="2319">
      <c r="A2319" s="4" t="inlineStr">
        <is>
          <t>22/11/2013</t>
        </is>
      </c>
      <c r="B2319" s="31" t="n">
        <v>57.53</v>
      </c>
    </row>
    <row r="2320">
      <c r="A2320" s="4" t="inlineStr">
        <is>
          <t>25/11/2013</t>
        </is>
      </c>
      <c r="B2320" s="31" t="n">
        <v>56.76</v>
      </c>
    </row>
    <row r="2321">
      <c r="A2321" s="4" t="inlineStr">
        <is>
          <t>26/11/2013</t>
        </is>
      </c>
      <c r="B2321" s="31" t="n">
        <v>58.15</v>
      </c>
    </row>
    <row r="2322">
      <c r="A2322" s="4" t="inlineStr">
        <is>
          <t>27/11/2013</t>
        </is>
      </c>
      <c r="B2322" s="31" t="n">
        <v>58.69</v>
      </c>
    </row>
    <row r="2323">
      <c r="A2323" s="4" t="inlineStr">
        <is>
          <t>28/11/2013</t>
        </is>
      </c>
      <c r="B2323" s="31" t="n">
        <v>58.77</v>
      </c>
    </row>
    <row r="2324">
      <c r="A2324" s="4" t="inlineStr">
        <is>
          <t>29/11/2013</t>
        </is>
      </c>
      <c r="B2324" s="31" t="n">
        <v>58.6</v>
      </c>
    </row>
    <row r="2325">
      <c r="A2325" s="4" t="inlineStr">
        <is>
          <t>02/12/2013</t>
        </is>
      </c>
      <c r="B2325" s="31" t="n">
        <v>57.87</v>
      </c>
    </row>
    <row r="2326">
      <c r="A2326" s="4" t="inlineStr">
        <is>
          <t>03/12/2013</t>
        </is>
      </c>
      <c r="B2326" s="31" t="n">
        <v>58.23</v>
      </c>
    </row>
    <row r="2327">
      <c r="A2327" s="4" t="inlineStr">
        <is>
          <t>04/12/2013</t>
        </is>
      </c>
      <c r="B2327" s="31" t="n">
        <v>58.01</v>
      </c>
    </row>
    <row r="2328">
      <c r="A2328" s="4" t="inlineStr">
        <is>
          <t>05/12/2013</t>
        </is>
      </c>
      <c r="B2328" s="31" t="n">
        <v>57.92</v>
      </c>
    </row>
    <row r="2329">
      <c r="A2329" s="4" t="inlineStr">
        <is>
          <t>06/12/2013</t>
        </is>
      </c>
      <c r="B2329" s="31" t="n">
        <v>58.07</v>
      </c>
    </row>
    <row r="2330">
      <c r="A2330" s="4" t="inlineStr">
        <is>
          <t>09/12/2013</t>
        </is>
      </c>
      <c r="B2330" s="31" t="n">
        <v>58.49</v>
      </c>
    </row>
    <row r="2331">
      <c r="A2331" s="4" t="inlineStr">
        <is>
          <t>10/12/2013</t>
        </is>
      </c>
      <c r="B2331" s="31" t="n">
        <v>58.05</v>
      </c>
    </row>
    <row r="2332">
      <c r="A2332" s="4" t="inlineStr">
        <is>
          <t>11/12/2013</t>
        </is>
      </c>
      <c r="B2332" s="31" t="n">
        <v>57.96</v>
      </c>
    </row>
    <row r="2333">
      <c r="A2333" s="4" t="inlineStr">
        <is>
          <t>12/12/2013</t>
        </is>
      </c>
      <c r="B2333" s="31" t="n">
        <v>57.9</v>
      </c>
    </row>
    <row r="2334">
      <c r="A2334" s="4" t="inlineStr">
        <is>
          <t>13/12/2013</t>
        </is>
      </c>
      <c r="B2334" s="31" t="n">
        <v>57.83</v>
      </c>
    </row>
    <row r="2335">
      <c r="A2335" s="4" t="inlineStr">
        <is>
          <t>16/12/2013</t>
        </is>
      </c>
      <c r="B2335" s="31" t="n">
        <v>57.81</v>
      </c>
    </row>
    <row r="2336">
      <c r="A2336" s="4" t="inlineStr">
        <is>
          <t>17/12/2013</t>
        </is>
      </c>
      <c r="B2336" s="31" t="n">
        <v>58.05</v>
      </c>
    </row>
    <row r="2337">
      <c r="A2337" s="4" t="inlineStr">
        <is>
          <t>18/12/2013</t>
        </is>
      </c>
      <c r="B2337" s="31" t="n">
        <v>58.18</v>
      </c>
    </row>
    <row r="2338">
      <c r="A2338" s="4" t="inlineStr">
        <is>
          <t>19/12/2013</t>
        </is>
      </c>
      <c r="B2338" s="31" t="n">
        <v>58.47</v>
      </c>
    </row>
    <row r="2339">
      <c r="A2339" s="4" t="inlineStr">
        <is>
          <t>20/12/2013</t>
        </is>
      </c>
      <c r="B2339" s="31" t="n">
        <v>58.75</v>
      </c>
    </row>
    <row r="2340">
      <c r="A2340" s="4" t="inlineStr">
        <is>
          <t>23/12/2013</t>
        </is>
      </c>
      <c r="B2340" s="31" t="n">
        <v>58.78</v>
      </c>
    </row>
    <row r="2341">
      <c r="A2341" s="4" t="inlineStr">
        <is>
          <t>26/12/2013</t>
        </is>
      </c>
      <c r="B2341" s="31" t="n">
        <v>58.89</v>
      </c>
    </row>
    <row r="2342">
      <c r="A2342" s="4" t="inlineStr">
        <is>
          <t>27/12/2013</t>
        </is>
      </c>
      <c r="B2342" s="31" t="n">
        <v>59</v>
      </c>
    </row>
    <row r="2343">
      <c r="A2343" s="4" t="inlineStr">
        <is>
          <t>30/12/2013</t>
        </is>
      </c>
      <c r="B2343" s="31" t="n">
        <v>58.45</v>
      </c>
    </row>
    <row r="2344">
      <c r="A2344" s="4" t="inlineStr">
        <is>
          <t>02/01/2014</t>
        </is>
      </c>
      <c r="B2344" s="31" t="n">
        <v>58.39</v>
      </c>
    </row>
    <row r="2345">
      <c r="A2345" s="4" t="inlineStr">
        <is>
          <t>03/01/2014</t>
        </is>
      </c>
      <c r="B2345" s="31" t="n">
        <v>59.17</v>
      </c>
    </row>
    <row r="2346">
      <c r="A2346" s="4" t="inlineStr">
        <is>
          <t>06/01/2014</t>
        </is>
      </c>
      <c r="B2346" s="31" t="n">
        <v>59.81</v>
      </c>
    </row>
    <row r="2347">
      <c r="A2347" s="4" t="inlineStr">
        <is>
          <t>07/01/2014</t>
        </is>
      </c>
      <c r="B2347" s="31" t="n">
        <v>60.25</v>
      </c>
    </row>
    <row r="2348">
      <c r="A2348" s="4" t="inlineStr">
        <is>
          <t>08/01/2014</t>
        </is>
      </c>
      <c r="B2348" s="31" t="n">
        <v>59.53</v>
      </c>
    </row>
    <row r="2349">
      <c r="A2349" s="4" t="inlineStr">
        <is>
          <t>09/01/2014</t>
        </is>
      </c>
      <c r="B2349" s="31" t="n">
        <v>59.55</v>
      </c>
    </row>
    <row r="2350">
      <c r="A2350" s="4" t="inlineStr">
        <is>
          <t>10/01/2014</t>
        </is>
      </c>
      <c r="B2350" s="31" t="n">
        <v>59.55</v>
      </c>
    </row>
    <row r="2351">
      <c r="A2351" s="4" t="inlineStr">
        <is>
          <t>13/01/2014</t>
        </is>
      </c>
      <c r="B2351" s="31" t="n">
        <v>59.88</v>
      </c>
    </row>
    <row r="2352">
      <c r="A2352" s="4" t="inlineStr">
        <is>
          <t>14/01/2014</t>
        </is>
      </c>
      <c r="B2352" s="31" t="n">
        <v>59.94</v>
      </c>
    </row>
    <row r="2353">
      <c r="A2353" s="4" t="inlineStr">
        <is>
          <t>15/01/2014</t>
        </is>
      </c>
      <c r="B2353" s="31" t="n">
        <v>59.83</v>
      </c>
    </row>
    <row r="2354">
      <c r="A2354" s="4" t="inlineStr">
        <is>
          <t>16/01/2014</t>
        </is>
      </c>
      <c r="B2354" s="31" t="n">
        <v>59.33</v>
      </c>
    </row>
    <row r="2355">
      <c r="A2355" s="4" t="inlineStr">
        <is>
          <t>17/01/2014</t>
        </is>
      </c>
      <c r="B2355" s="31" t="n">
        <v>59.22</v>
      </c>
    </row>
    <row r="2356">
      <c r="A2356" s="4" t="inlineStr">
        <is>
          <t>20/01/2014</t>
        </is>
      </c>
      <c r="B2356" s="31" t="n">
        <v>58.76</v>
      </c>
    </row>
    <row r="2357">
      <c r="A2357" s="4" t="inlineStr">
        <is>
          <t>21/01/2014</t>
        </is>
      </c>
      <c r="B2357" s="31" t="n">
        <v>58.41</v>
      </c>
    </row>
    <row r="2358">
      <c r="A2358" s="4" t="inlineStr">
        <is>
          <t>22/01/2014</t>
        </is>
      </c>
      <c r="B2358" s="31" t="n">
        <v>58.28</v>
      </c>
    </row>
    <row r="2359">
      <c r="A2359" s="4" t="inlineStr">
        <is>
          <t>23/01/2014</t>
        </is>
      </c>
      <c r="B2359" s="31" t="n">
        <v>58.01</v>
      </c>
    </row>
    <row r="2360">
      <c r="A2360" s="4" t="inlineStr">
        <is>
          <t>24/01/2014</t>
        </is>
      </c>
      <c r="B2360" s="31" t="n">
        <v>57.07</v>
      </c>
    </row>
    <row r="2361">
      <c r="A2361" s="4" t="inlineStr">
        <is>
          <t>27/01/2014</t>
        </is>
      </c>
      <c r="B2361" s="31" t="n">
        <v>57.33</v>
      </c>
    </row>
    <row r="2362">
      <c r="A2362" s="4" t="inlineStr">
        <is>
          <t>28/01/2014</t>
        </is>
      </c>
      <c r="B2362" s="31" t="n">
        <v>57.51</v>
      </c>
    </row>
    <row r="2363">
      <c r="A2363" s="4" t="inlineStr">
        <is>
          <t>29/01/2014</t>
        </is>
      </c>
      <c r="B2363" s="31" t="n">
        <v>57.47</v>
      </c>
    </row>
    <row r="2364">
      <c r="A2364" s="4" t="inlineStr">
        <is>
          <t>30/01/2014</t>
        </is>
      </c>
      <c r="B2364" s="31" t="n">
        <v>57.99</v>
      </c>
    </row>
    <row r="2365">
      <c r="A2365" s="4" t="inlineStr">
        <is>
          <t>31/01/2014</t>
        </is>
      </c>
      <c r="B2365" s="31" t="n">
        <v>58.41</v>
      </c>
    </row>
    <row r="2366">
      <c r="A2366" s="4" t="inlineStr">
        <is>
          <t>03/02/2014</t>
        </is>
      </c>
      <c r="B2366" s="31" t="n">
        <v>58.75</v>
      </c>
    </row>
    <row r="2367">
      <c r="A2367" s="4" t="inlineStr">
        <is>
          <t>04/02/2014</t>
        </is>
      </c>
      <c r="B2367" s="31" t="n">
        <v>59.85</v>
      </c>
    </row>
    <row r="2368">
      <c r="A2368" s="4" t="inlineStr">
        <is>
          <t>05/02/2014</t>
        </is>
      </c>
      <c r="B2368" s="31" t="n">
        <v>61.27</v>
      </c>
    </row>
    <row r="2369">
      <c r="A2369" s="4" t="inlineStr">
        <is>
          <t>06/02/2014</t>
        </is>
      </c>
      <c r="B2369" s="31" t="n">
        <v>62.27</v>
      </c>
    </row>
    <row r="2370">
      <c r="A2370" s="4" t="inlineStr">
        <is>
          <t>07/02/2014</t>
        </is>
      </c>
      <c r="B2370" s="31" t="n">
        <v>61.81</v>
      </c>
    </row>
    <row r="2371">
      <c r="A2371" s="4" t="inlineStr">
        <is>
          <t>10/02/2014</t>
        </is>
      </c>
      <c r="B2371" s="31" t="n">
        <v>61.94</v>
      </c>
    </row>
    <row r="2372">
      <c r="A2372" s="4" t="inlineStr">
        <is>
          <t>11/02/2014</t>
        </is>
      </c>
      <c r="B2372" s="31" t="n">
        <v>63.16</v>
      </c>
    </row>
    <row r="2373">
      <c r="A2373" s="4" t="inlineStr">
        <is>
          <t>12/02/2014</t>
        </is>
      </c>
      <c r="B2373" s="31" t="n">
        <v>64.43000000000001</v>
      </c>
    </row>
    <row r="2374">
      <c r="A2374" s="4" t="inlineStr">
        <is>
          <t>13/02/2014</t>
        </is>
      </c>
      <c r="B2374" s="31" t="n">
        <v>64.84999999999999</v>
      </c>
    </row>
    <row r="2375">
      <c r="A2375" s="4" t="inlineStr">
        <is>
          <t>14/02/2014</t>
        </is>
      </c>
      <c r="B2375" s="31" t="n">
        <v>65.73999999999999</v>
      </c>
    </row>
    <row r="2376">
      <c r="A2376" s="4" t="inlineStr">
        <is>
          <t>17/02/2014</t>
        </is>
      </c>
      <c r="B2376" s="31" t="n">
        <v>65.78</v>
      </c>
    </row>
    <row r="2377">
      <c r="A2377" s="4" t="inlineStr">
        <is>
          <t>18/02/2014</t>
        </is>
      </c>
      <c r="B2377" s="31" t="n">
        <v>67.59999999999999</v>
      </c>
    </row>
    <row r="2378">
      <c r="A2378" s="4" t="inlineStr">
        <is>
          <t>19/02/2014</t>
        </is>
      </c>
      <c r="B2378" s="31" t="n">
        <v>69.34</v>
      </c>
    </row>
    <row r="2379">
      <c r="A2379" s="4" t="inlineStr">
        <is>
          <t>20/02/2014</t>
        </is>
      </c>
      <c r="B2379" s="31" t="n">
        <v>70.98</v>
      </c>
    </row>
    <row r="2380">
      <c r="A2380" s="4" t="inlineStr">
        <is>
          <t>21/02/2014</t>
        </is>
      </c>
      <c r="B2380" s="31" t="n">
        <v>72.34</v>
      </c>
    </row>
    <row r="2381">
      <c r="A2381" s="4" t="inlineStr">
        <is>
          <t>24/02/2014</t>
        </is>
      </c>
      <c r="B2381" s="31" t="n">
        <v>72.38</v>
      </c>
    </row>
    <row r="2382">
      <c r="A2382" s="4" t="inlineStr">
        <is>
          <t>25/02/2014</t>
        </is>
      </c>
      <c r="B2382" s="31" t="n">
        <v>73.40000000000001</v>
      </c>
    </row>
    <row r="2383">
      <c r="A2383" s="4" t="inlineStr">
        <is>
          <t>26/02/2014</t>
        </is>
      </c>
      <c r="B2383" s="31" t="n">
        <v>73.67</v>
      </c>
    </row>
    <row r="2384">
      <c r="A2384" s="4" t="inlineStr">
        <is>
          <t>27/02/2014</t>
        </is>
      </c>
      <c r="B2384" s="31" t="n">
        <v>73.54000000000001</v>
      </c>
    </row>
    <row r="2385">
      <c r="A2385" s="4" t="inlineStr">
        <is>
          <t>28/02/2014</t>
        </is>
      </c>
      <c r="B2385" s="31" t="n">
        <v>74.13</v>
      </c>
    </row>
    <row r="2386">
      <c r="A2386" s="4" t="inlineStr">
        <is>
          <t>05/03/2014</t>
        </is>
      </c>
      <c r="B2386" s="31" t="n">
        <v>72.69</v>
      </c>
    </row>
    <row r="2387">
      <c r="A2387" s="4" t="inlineStr">
        <is>
          <t>06/03/2014</t>
        </is>
      </c>
      <c r="B2387" s="31" t="n">
        <v>72.63</v>
      </c>
    </row>
    <row r="2388">
      <c r="A2388" s="4" t="inlineStr">
        <is>
          <t>07/03/2014</t>
        </is>
      </c>
      <c r="B2388" s="31" t="n">
        <v>73.08</v>
      </c>
    </row>
    <row r="2389">
      <c r="A2389" s="4" t="inlineStr">
        <is>
          <t>10/03/2014</t>
        </is>
      </c>
      <c r="B2389" s="31" t="n">
        <v>73.36</v>
      </c>
    </row>
    <row r="2390">
      <c r="A2390" s="4" t="inlineStr">
        <is>
          <t>11/03/2014</t>
        </is>
      </c>
      <c r="B2390" s="31" t="n">
        <v>73.25</v>
      </c>
    </row>
    <row r="2391">
      <c r="A2391" s="4" t="inlineStr">
        <is>
          <t>12/03/2014</t>
        </is>
      </c>
      <c r="B2391" s="31" t="n">
        <v>72.69</v>
      </c>
    </row>
    <row r="2392">
      <c r="A2392" s="4" t="inlineStr">
        <is>
          <t>13/03/2014</t>
        </is>
      </c>
      <c r="B2392" s="31" t="n">
        <v>72.23999999999999</v>
      </c>
    </row>
    <row r="2393">
      <c r="A2393" s="4" t="inlineStr">
        <is>
          <t>14/03/2014</t>
        </is>
      </c>
      <c r="B2393" s="31" t="n">
        <v>71.95999999999999</v>
      </c>
    </row>
    <row r="2394">
      <c r="A2394" s="4" t="inlineStr">
        <is>
          <t>17/03/2014</t>
        </is>
      </c>
      <c r="B2394" s="31" t="n">
        <v>71.66</v>
      </c>
    </row>
    <row r="2395">
      <c r="A2395" s="4" t="inlineStr">
        <is>
          <t>18/03/2014</t>
        </is>
      </c>
      <c r="B2395" s="31" t="n">
        <v>70.8</v>
      </c>
    </row>
    <row r="2396">
      <c r="A2396" s="4" t="inlineStr">
        <is>
          <t>19/03/2014</t>
        </is>
      </c>
      <c r="B2396" s="31" t="n">
        <v>70.40000000000001</v>
      </c>
    </row>
    <row r="2397">
      <c r="A2397" s="4" t="inlineStr">
        <is>
          <t>20/03/2014</t>
        </is>
      </c>
      <c r="B2397" s="31" t="n">
        <v>69.15000000000001</v>
      </c>
    </row>
    <row r="2398">
      <c r="A2398" s="4" t="inlineStr">
        <is>
          <t>21/03/2014</t>
        </is>
      </c>
      <c r="B2398" s="31" t="n">
        <v>68.51000000000001</v>
      </c>
    </row>
    <row r="2399">
      <c r="A2399" s="4" t="inlineStr">
        <is>
          <t>24/03/2014</t>
        </is>
      </c>
      <c r="B2399" s="31" t="n">
        <v>68.66</v>
      </c>
    </row>
    <row r="2400">
      <c r="A2400" s="4" t="inlineStr">
        <is>
          <t>25/03/2014</t>
        </is>
      </c>
      <c r="B2400" s="31" t="n">
        <v>68.45999999999999</v>
      </c>
    </row>
    <row r="2401">
      <c r="A2401" s="4" t="inlineStr">
        <is>
          <t>26/03/2014</t>
        </is>
      </c>
      <c r="B2401" s="31" t="n">
        <v>67.75</v>
      </c>
    </row>
    <row r="2402">
      <c r="A2402" s="4" t="inlineStr">
        <is>
          <t>27/03/2014</t>
        </is>
      </c>
      <c r="B2402" s="31" t="n">
        <v>68.01000000000001</v>
      </c>
    </row>
    <row r="2403">
      <c r="A2403" s="4" t="inlineStr">
        <is>
          <t>28/03/2014</t>
        </is>
      </c>
      <c r="B2403" s="31" t="n">
        <v>67.52</v>
      </c>
    </row>
    <row r="2404">
      <c r="A2404" s="4" t="inlineStr">
        <is>
          <t>31/03/2014</t>
        </is>
      </c>
      <c r="B2404" s="31" t="n">
        <v>67.3</v>
      </c>
    </row>
    <row r="2405">
      <c r="A2405" s="4" t="inlineStr">
        <is>
          <t>01/04/2014</t>
        </is>
      </c>
      <c r="B2405" s="31" t="n">
        <v>66.73999999999999</v>
      </c>
    </row>
    <row r="2406">
      <c r="A2406" s="4" t="inlineStr">
        <is>
          <t>02/04/2014</t>
        </is>
      </c>
      <c r="B2406" s="31" t="n">
        <v>66.61</v>
      </c>
    </row>
    <row r="2407">
      <c r="A2407" s="4" t="inlineStr">
        <is>
          <t>03/04/2014</t>
        </is>
      </c>
      <c r="B2407" s="31" t="n">
        <v>66.68000000000001</v>
      </c>
    </row>
    <row r="2408">
      <c r="A2408" s="4" t="inlineStr">
        <is>
          <t>04/04/2014</t>
        </is>
      </c>
      <c r="B2408" s="31" t="n">
        <v>66.76000000000001</v>
      </c>
    </row>
    <row r="2409">
      <c r="A2409" s="4" t="inlineStr">
        <is>
          <t>07/04/2014</t>
        </is>
      </c>
      <c r="B2409" s="31" t="n">
        <v>66.56999999999999</v>
      </c>
    </row>
    <row r="2410">
      <c r="A2410" s="4" t="inlineStr">
        <is>
          <t>08/04/2014</t>
        </is>
      </c>
      <c r="B2410" s="31" t="n">
        <v>66.65000000000001</v>
      </c>
    </row>
    <row r="2411">
      <c r="A2411" s="4" t="inlineStr">
        <is>
          <t>09/04/2014</t>
        </is>
      </c>
      <c r="B2411" s="31" t="n">
        <v>67</v>
      </c>
    </row>
    <row r="2412">
      <c r="A2412" s="4" t="inlineStr">
        <is>
          <t>10/04/2014</t>
        </is>
      </c>
      <c r="B2412" s="31" t="n">
        <v>66.65000000000001</v>
      </c>
    </row>
    <row r="2413">
      <c r="A2413" s="4" t="inlineStr">
        <is>
          <t>11/04/2014</t>
        </is>
      </c>
      <c r="B2413" s="31" t="n">
        <v>66.73999999999999</v>
      </c>
    </row>
    <row r="2414">
      <c r="A2414" s="4" t="inlineStr">
        <is>
          <t>14/04/2014</t>
        </is>
      </c>
      <c r="B2414" s="31" t="n">
        <v>66.61</v>
      </c>
    </row>
    <row r="2415">
      <c r="A2415" s="4" t="inlineStr">
        <is>
          <t>15/04/2014</t>
        </is>
      </c>
      <c r="B2415" s="31" t="n">
        <v>67.19</v>
      </c>
    </row>
    <row r="2416">
      <c r="A2416" s="4" t="inlineStr">
        <is>
          <t>16/04/2014</t>
        </is>
      </c>
      <c r="B2416" s="31" t="n">
        <v>66.73999999999999</v>
      </c>
    </row>
    <row r="2417">
      <c r="A2417" s="4" t="inlineStr">
        <is>
          <t>17/04/2014</t>
        </is>
      </c>
      <c r="B2417" s="31" t="n">
        <v>66.44</v>
      </c>
    </row>
    <row r="2418">
      <c r="A2418" s="4" t="inlineStr">
        <is>
          <t>22/04/2014</t>
        </is>
      </c>
      <c r="B2418" s="31" t="n">
        <v>67.25</v>
      </c>
    </row>
    <row r="2419">
      <c r="A2419" s="4" t="inlineStr">
        <is>
          <t>23/04/2014</t>
        </is>
      </c>
      <c r="B2419" s="31" t="n">
        <v>66.76000000000001</v>
      </c>
    </row>
    <row r="2420">
      <c r="A2420" s="4" t="inlineStr">
        <is>
          <t>24/04/2014</t>
        </is>
      </c>
      <c r="B2420" s="31" t="n">
        <v>66.08</v>
      </c>
    </row>
    <row r="2421">
      <c r="A2421" s="4" t="inlineStr">
        <is>
          <t>25/04/2014</t>
        </is>
      </c>
      <c r="B2421" s="31" t="n">
        <v>65.95</v>
      </c>
    </row>
    <row r="2422">
      <c r="A2422" s="4" t="inlineStr">
        <is>
          <t>28/04/2014</t>
        </is>
      </c>
      <c r="B2422" s="31" t="n">
        <v>65.48</v>
      </c>
    </row>
    <row r="2423">
      <c r="A2423" s="4" t="inlineStr">
        <is>
          <t>29/04/2014</t>
        </is>
      </c>
      <c r="B2423" s="31" t="n">
        <v>64.95</v>
      </c>
    </row>
    <row r="2424">
      <c r="A2424" s="4" t="inlineStr">
        <is>
          <t>30/04/2014</t>
        </is>
      </c>
      <c r="B2424" s="31" t="n">
        <v>64.97</v>
      </c>
    </row>
    <row r="2425">
      <c r="A2425" s="4" t="inlineStr">
        <is>
          <t>02/05/2014</t>
        </is>
      </c>
      <c r="B2425" s="31" t="n">
        <v>64.86</v>
      </c>
    </row>
    <row r="2426">
      <c r="A2426" s="4" t="inlineStr">
        <is>
          <t>05/05/2014</t>
        </is>
      </c>
      <c r="B2426" s="31" t="n">
        <v>64.84</v>
      </c>
    </row>
    <row r="2427">
      <c r="A2427" s="4" t="inlineStr">
        <is>
          <t>06/05/2014</t>
        </is>
      </c>
      <c r="B2427" s="31" t="n">
        <v>64.73999999999999</v>
      </c>
    </row>
    <row r="2428">
      <c r="A2428" s="4" t="inlineStr">
        <is>
          <t>07/05/2014</t>
        </is>
      </c>
      <c r="B2428" s="31" t="n">
        <v>63.2</v>
      </c>
    </row>
    <row r="2429">
      <c r="A2429" s="4" t="inlineStr">
        <is>
          <t>08/05/2014</t>
        </is>
      </c>
      <c r="B2429" s="31" t="n">
        <v>63.03</v>
      </c>
    </row>
    <row r="2430">
      <c r="A2430" s="4" t="inlineStr">
        <is>
          <t>09/05/2014</t>
        </is>
      </c>
      <c r="B2430" s="31" t="n">
        <v>62.75</v>
      </c>
    </row>
    <row r="2431">
      <c r="A2431" s="4" t="inlineStr">
        <is>
          <t>12/05/2014</t>
        </is>
      </c>
      <c r="B2431" s="31" t="n">
        <v>62.9</v>
      </c>
    </row>
    <row r="2432">
      <c r="A2432" s="4" t="inlineStr">
        <is>
          <t>13/05/2014</t>
        </is>
      </c>
      <c r="B2432" s="31" t="n">
        <v>61.56</v>
      </c>
    </row>
    <row r="2433">
      <c r="A2433" s="4" t="inlineStr">
        <is>
          <t>14/05/2014</t>
        </is>
      </c>
      <c r="B2433" s="31" t="n">
        <v>61.79</v>
      </c>
    </row>
    <row r="2434">
      <c r="A2434" s="4" t="inlineStr">
        <is>
          <t>15/05/2014</t>
        </is>
      </c>
      <c r="B2434" s="31" t="n">
        <v>61.34</v>
      </c>
    </row>
    <row r="2435">
      <c r="A2435" s="4" t="inlineStr">
        <is>
          <t>16/05/2014</t>
        </is>
      </c>
      <c r="B2435" s="31" t="n">
        <v>60.49</v>
      </c>
    </row>
    <row r="2436">
      <c r="A2436" s="4" t="inlineStr">
        <is>
          <t>19/05/2014</t>
        </is>
      </c>
      <c r="B2436" s="31" t="n">
        <v>60.66</v>
      </c>
    </row>
    <row r="2437">
      <c r="A2437" s="4" t="inlineStr">
        <is>
          <t>20/05/2014</t>
        </is>
      </c>
      <c r="B2437" s="31" t="n">
        <v>59.79</v>
      </c>
    </row>
    <row r="2438">
      <c r="A2438" s="4" t="inlineStr">
        <is>
          <t>21/05/2014</t>
        </is>
      </c>
      <c r="B2438" s="31" t="n">
        <v>59.76</v>
      </c>
    </row>
    <row r="2439">
      <c r="A2439" s="4" t="inlineStr">
        <is>
          <t>22/05/2014</t>
        </is>
      </c>
      <c r="B2439" s="31" t="n">
        <v>59.64</v>
      </c>
    </row>
    <row r="2440">
      <c r="A2440" s="4" t="inlineStr">
        <is>
          <t>23/05/2014</t>
        </is>
      </c>
      <c r="B2440" s="31" t="n">
        <v>59.74</v>
      </c>
    </row>
    <row r="2441">
      <c r="A2441" s="4" t="inlineStr">
        <is>
          <t>26/05/2014</t>
        </is>
      </c>
      <c r="B2441" s="31" t="n">
        <v>59.49</v>
      </c>
    </row>
    <row r="2442">
      <c r="A2442" s="4" t="inlineStr">
        <is>
          <t>27/05/2014</t>
        </is>
      </c>
      <c r="B2442" s="31" t="n">
        <v>59.49</v>
      </c>
    </row>
    <row r="2443">
      <c r="A2443" s="4" t="inlineStr">
        <is>
          <t>28/05/2014</t>
        </is>
      </c>
      <c r="B2443" s="31" t="n">
        <v>59.81</v>
      </c>
    </row>
    <row r="2444">
      <c r="A2444" s="4" t="inlineStr">
        <is>
          <t>29/05/2014</t>
        </is>
      </c>
      <c r="B2444" s="31" t="n">
        <v>59.19</v>
      </c>
    </row>
    <row r="2445">
      <c r="A2445" s="4" t="inlineStr">
        <is>
          <t>30/05/2014</t>
        </is>
      </c>
      <c r="B2445" s="31" t="n">
        <v>59.12</v>
      </c>
    </row>
    <row r="2446">
      <c r="A2446" s="4" t="inlineStr">
        <is>
          <t>02/06/2014</t>
        </is>
      </c>
      <c r="B2446" s="31" t="n">
        <v>59.71</v>
      </c>
    </row>
    <row r="2447">
      <c r="A2447" s="4" t="inlineStr">
        <is>
          <t>03/06/2014</t>
        </is>
      </c>
      <c r="B2447" s="31" t="n">
        <v>59.56</v>
      </c>
    </row>
    <row r="2448">
      <c r="A2448" s="4" t="inlineStr">
        <is>
          <t>04/06/2014</t>
        </is>
      </c>
      <c r="B2448" s="31" t="n">
        <v>58.75</v>
      </c>
    </row>
    <row r="2449">
      <c r="A2449" s="4" t="inlineStr">
        <is>
          <t>05/06/2014</t>
        </is>
      </c>
      <c r="B2449" s="31" t="n">
        <v>58.64</v>
      </c>
    </row>
    <row r="2450">
      <c r="A2450" s="4" t="inlineStr">
        <is>
          <t>06/06/2014</t>
        </is>
      </c>
      <c r="B2450" s="31" t="n">
        <v>58.27</v>
      </c>
    </row>
    <row r="2451">
      <c r="A2451" s="4" t="inlineStr">
        <is>
          <t>09/06/2014</t>
        </is>
      </c>
      <c r="B2451" s="31" t="n">
        <v>58.1</v>
      </c>
    </row>
    <row r="2452">
      <c r="A2452" s="4" t="inlineStr">
        <is>
          <t>10/06/2014</t>
        </is>
      </c>
      <c r="B2452" s="31" t="n">
        <v>57.76</v>
      </c>
    </row>
    <row r="2453">
      <c r="A2453" s="4" t="inlineStr">
        <is>
          <t>11/06/2014</t>
        </is>
      </c>
      <c r="B2453" s="31" t="n">
        <v>57.33</v>
      </c>
    </row>
    <row r="2454">
      <c r="A2454" s="4" t="inlineStr">
        <is>
          <t>12/06/2014</t>
        </is>
      </c>
      <c r="B2454" s="31" t="n">
        <v>57.31</v>
      </c>
    </row>
    <row r="2455">
      <c r="A2455" s="4" t="inlineStr">
        <is>
          <t>13/06/2014</t>
        </is>
      </c>
      <c r="B2455" s="31" t="n">
        <v>56.79</v>
      </c>
    </row>
    <row r="2456">
      <c r="A2456" s="4" t="inlineStr">
        <is>
          <t>16/06/2014</t>
        </is>
      </c>
      <c r="B2456" s="31" t="n">
        <v>56.4</v>
      </c>
    </row>
    <row r="2457">
      <c r="A2457" s="4" t="inlineStr">
        <is>
          <t>17/06/2014</t>
        </is>
      </c>
      <c r="B2457" s="31" t="n">
        <v>56.38</v>
      </c>
    </row>
    <row r="2458">
      <c r="A2458" s="4" t="inlineStr">
        <is>
          <t>18/06/2014</t>
        </is>
      </c>
      <c r="B2458" s="31" t="n">
        <v>55.74</v>
      </c>
    </row>
    <row r="2459">
      <c r="A2459" s="4" t="inlineStr">
        <is>
          <t>20/06/2014</t>
        </is>
      </c>
      <c r="B2459" s="31" t="n">
        <v>55.67</v>
      </c>
    </row>
    <row r="2460">
      <c r="A2460" s="4" t="inlineStr">
        <is>
          <t>23/06/2014</t>
        </is>
      </c>
      <c r="B2460" s="31" t="n">
        <v>55.7</v>
      </c>
    </row>
    <row r="2461">
      <c r="A2461" s="4" t="inlineStr">
        <is>
          <t>24/06/2014</t>
        </is>
      </c>
      <c r="B2461" s="31" t="n">
        <v>54.86</v>
      </c>
    </row>
    <row r="2462">
      <c r="A2462" s="4" t="inlineStr">
        <is>
          <t>25/06/2014</t>
        </is>
      </c>
      <c r="B2462" s="31" t="n">
        <v>54.77</v>
      </c>
    </row>
    <row r="2463">
      <c r="A2463" s="4" t="inlineStr">
        <is>
          <t>26/06/2014</t>
        </is>
      </c>
      <c r="B2463" s="31" t="n">
        <v>54.13</v>
      </c>
    </row>
    <row r="2464">
      <c r="A2464" s="4" t="inlineStr">
        <is>
          <t>27/06/2014</t>
        </is>
      </c>
      <c r="B2464" s="31" t="n">
        <v>54.08</v>
      </c>
    </row>
    <row r="2465">
      <c r="A2465" s="4" t="inlineStr">
        <is>
          <t>30/06/2014</t>
        </is>
      </c>
      <c r="B2465" s="31" t="n">
        <v>54.08</v>
      </c>
    </row>
    <row r="2466">
      <c r="A2466" s="4" t="inlineStr">
        <is>
          <t>01/07/2014</t>
        </is>
      </c>
      <c r="B2466" s="31" t="n">
        <v>52.9</v>
      </c>
    </row>
    <row r="2467">
      <c r="A2467" s="4" t="inlineStr">
        <is>
          <t>02/07/2014</t>
        </is>
      </c>
      <c r="B2467" s="31" t="n">
        <v>53.83</v>
      </c>
    </row>
    <row r="2468">
      <c r="A2468" s="4" t="inlineStr">
        <is>
          <t>03/07/2014</t>
        </is>
      </c>
      <c r="B2468" s="31" t="n">
        <v>53.33</v>
      </c>
    </row>
    <row r="2469">
      <c r="A2469" s="4" t="inlineStr">
        <is>
          <t>04/07/2014</t>
        </is>
      </c>
      <c r="B2469" s="31" t="n">
        <v>53.49</v>
      </c>
    </row>
    <row r="2470">
      <c r="A2470" s="4" t="inlineStr">
        <is>
          <t>07/07/2014</t>
        </is>
      </c>
      <c r="B2470" s="31" t="n">
        <v>52.75</v>
      </c>
    </row>
    <row r="2471">
      <c r="A2471" s="4" t="inlineStr">
        <is>
          <t>08/07/2014</t>
        </is>
      </c>
      <c r="B2471" s="31" t="n">
        <v>52.94</v>
      </c>
    </row>
    <row r="2472">
      <c r="A2472" s="4" t="inlineStr">
        <is>
          <t>10/07/2014</t>
        </is>
      </c>
      <c r="B2472" s="31" t="n">
        <v>52.66</v>
      </c>
    </row>
    <row r="2473">
      <c r="A2473" s="4" t="inlineStr">
        <is>
          <t>11/07/2014</t>
        </is>
      </c>
      <c r="B2473" s="31" t="n">
        <v>52.51</v>
      </c>
    </row>
    <row r="2474">
      <c r="A2474" s="4" t="inlineStr">
        <is>
          <t>14/07/2014</t>
        </is>
      </c>
      <c r="B2474" s="31" t="n">
        <v>51.86</v>
      </c>
    </row>
    <row r="2475">
      <c r="A2475" s="4" t="inlineStr">
        <is>
          <t>15/07/2014</t>
        </is>
      </c>
      <c r="B2475" s="31" t="n">
        <v>51.71</v>
      </c>
    </row>
    <row r="2476">
      <c r="A2476" s="4" t="inlineStr">
        <is>
          <t>16/07/2014</t>
        </is>
      </c>
      <c r="B2476" s="31" t="n">
        <v>51.56</v>
      </c>
    </row>
    <row r="2477">
      <c r="A2477" s="4" t="inlineStr">
        <is>
          <t>17/07/2014</t>
        </is>
      </c>
      <c r="B2477" s="31" t="n">
        <v>50.93</v>
      </c>
    </row>
    <row r="2478">
      <c r="A2478" s="4" t="inlineStr">
        <is>
          <t>18/07/2014</t>
        </is>
      </c>
      <c r="B2478" s="31" t="n">
        <v>50.67</v>
      </c>
    </row>
    <row r="2479">
      <c r="A2479" s="4" t="inlineStr">
        <is>
          <t>21/07/2014</t>
        </is>
      </c>
      <c r="B2479" s="31" t="n">
        <v>49.96</v>
      </c>
    </row>
    <row r="2480">
      <c r="A2480" s="4" t="inlineStr">
        <is>
          <t>22/07/2014</t>
        </is>
      </c>
      <c r="B2480" s="31" t="n">
        <v>49.72</v>
      </c>
    </row>
    <row r="2481">
      <c r="A2481" s="4" t="inlineStr">
        <is>
          <t>23/07/2014</t>
        </is>
      </c>
      <c r="B2481" s="31" t="n">
        <v>49.48</v>
      </c>
    </row>
    <row r="2482">
      <c r="A2482" s="4" t="inlineStr">
        <is>
          <t>24/07/2014</t>
        </is>
      </c>
      <c r="B2482" s="31" t="n">
        <v>49.55</v>
      </c>
    </row>
    <row r="2483">
      <c r="A2483" s="4" t="inlineStr">
        <is>
          <t>25/07/2014</t>
        </is>
      </c>
      <c r="B2483" s="31" t="n">
        <v>49.12</v>
      </c>
    </row>
    <row r="2484">
      <c r="A2484" s="4" t="inlineStr">
        <is>
          <t>28/07/2014</t>
        </is>
      </c>
      <c r="B2484" s="31" t="n">
        <v>49.25</v>
      </c>
    </row>
    <row r="2485">
      <c r="A2485" s="4" t="inlineStr">
        <is>
          <t>29/07/2014</t>
        </is>
      </c>
      <c r="B2485" s="31" t="n">
        <v>49.07</v>
      </c>
    </row>
    <row r="2486">
      <c r="A2486" s="4" t="inlineStr">
        <is>
          <t>30/07/2014</t>
        </is>
      </c>
      <c r="B2486" s="31" t="n">
        <v>49.16</v>
      </c>
    </row>
    <row r="2487">
      <c r="A2487" s="4" t="inlineStr">
        <is>
          <t>31/07/2014</t>
        </is>
      </c>
      <c r="B2487" s="31" t="n">
        <v>49.16</v>
      </c>
    </row>
    <row r="2488">
      <c r="A2488" s="4" t="inlineStr">
        <is>
          <t>01/08/2014</t>
        </is>
      </c>
      <c r="B2488" s="31" t="n">
        <v>49.73</v>
      </c>
    </row>
    <row r="2489">
      <c r="A2489" s="4" t="inlineStr">
        <is>
          <t>04/08/2014</t>
        </is>
      </c>
      <c r="B2489" s="31" t="n">
        <v>49.62</v>
      </c>
    </row>
    <row r="2490">
      <c r="A2490" s="4" t="inlineStr">
        <is>
          <t>05/08/2014</t>
        </is>
      </c>
      <c r="B2490" s="31" t="n">
        <v>49.27</v>
      </c>
    </row>
    <row r="2491">
      <c r="A2491" s="4" t="inlineStr">
        <is>
          <t>06/08/2014</t>
        </is>
      </c>
      <c r="B2491" s="31" t="n">
        <v>50.31</v>
      </c>
    </row>
    <row r="2492">
      <c r="A2492" s="4" t="inlineStr">
        <is>
          <t>07/08/2014</t>
        </is>
      </c>
      <c r="B2492" s="31" t="n">
        <v>50.77</v>
      </c>
    </row>
    <row r="2493">
      <c r="A2493" s="4" t="inlineStr">
        <is>
          <t>08/08/2014</t>
        </is>
      </c>
      <c r="B2493" s="31" t="n">
        <v>50.36</v>
      </c>
    </row>
    <row r="2494">
      <c r="A2494" s="4" t="inlineStr">
        <is>
          <t>11/08/2014</t>
        </is>
      </c>
      <c r="B2494" s="31" t="n">
        <v>50.33</v>
      </c>
    </row>
    <row r="2495">
      <c r="A2495" s="4" t="inlineStr">
        <is>
          <t>12/08/2014</t>
        </is>
      </c>
      <c r="B2495" s="31" t="n">
        <v>50.33</v>
      </c>
    </row>
    <row r="2496">
      <c r="A2496" s="4" t="inlineStr">
        <is>
          <t>13/08/2014</t>
        </is>
      </c>
      <c r="B2496" s="31" t="n">
        <v>50.09</v>
      </c>
    </row>
    <row r="2497">
      <c r="A2497" s="4" t="inlineStr">
        <is>
          <t>14/08/2014</t>
        </is>
      </c>
      <c r="B2497" s="31" t="n">
        <v>49.81</v>
      </c>
    </row>
    <row r="2498">
      <c r="A2498" s="4" t="inlineStr">
        <is>
          <t>15/08/2014</t>
        </is>
      </c>
      <c r="B2498" s="31" t="n">
        <v>49.68</v>
      </c>
    </row>
    <row r="2499">
      <c r="A2499" s="4" t="inlineStr">
        <is>
          <t>18/08/2014</t>
        </is>
      </c>
      <c r="B2499" s="31" t="n">
        <v>49.55</v>
      </c>
    </row>
    <row r="2500">
      <c r="A2500" s="4" t="inlineStr">
        <is>
          <t>19/08/2014</t>
        </is>
      </c>
      <c r="B2500" s="31" t="n">
        <v>49.44</v>
      </c>
    </row>
    <row r="2501">
      <c r="A2501" s="4" t="inlineStr">
        <is>
          <t>20/08/2014</t>
        </is>
      </c>
      <c r="B2501" s="31" t="n">
        <v>49.42</v>
      </c>
    </row>
    <row r="2502">
      <c r="A2502" s="4" t="inlineStr">
        <is>
          <t>21/08/2014</t>
        </is>
      </c>
      <c r="B2502" s="31" t="n">
        <v>49.14</v>
      </c>
    </row>
    <row r="2503">
      <c r="A2503" s="4" t="inlineStr">
        <is>
          <t>22/08/2014</t>
        </is>
      </c>
      <c r="B2503" s="31" t="n">
        <v>49.1</v>
      </c>
    </row>
    <row r="2504">
      <c r="A2504" s="4" t="inlineStr">
        <is>
          <t>25/08/2014</t>
        </is>
      </c>
      <c r="B2504" s="31" t="n">
        <v>49.29</v>
      </c>
    </row>
    <row r="2505">
      <c r="A2505" s="4" t="inlineStr">
        <is>
          <t>26/08/2014</t>
        </is>
      </c>
      <c r="B2505" s="31" t="n">
        <v>49.49</v>
      </c>
    </row>
    <row r="2506">
      <c r="A2506" s="4" t="inlineStr">
        <is>
          <t>27/08/2014</t>
        </is>
      </c>
      <c r="B2506" s="31" t="n">
        <v>49.42</v>
      </c>
    </row>
    <row r="2507">
      <c r="A2507" s="4" t="inlineStr">
        <is>
          <t>28/08/2014</t>
        </is>
      </c>
      <c r="B2507" s="31" t="n">
        <v>49.12</v>
      </c>
    </row>
    <row r="2508">
      <c r="A2508" s="4" t="inlineStr">
        <is>
          <t>29/08/2014</t>
        </is>
      </c>
      <c r="B2508" s="31" t="n">
        <v>48.99</v>
      </c>
    </row>
    <row r="2509">
      <c r="A2509" s="4" t="inlineStr">
        <is>
          <t>01/09/2014</t>
        </is>
      </c>
      <c r="B2509" s="31" t="n">
        <v>48.72</v>
      </c>
    </row>
    <row r="2510">
      <c r="A2510" s="4" t="inlineStr">
        <is>
          <t>02/09/2014</t>
        </is>
      </c>
      <c r="B2510" s="31" t="n">
        <v>48.29</v>
      </c>
    </row>
    <row r="2511">
      <c r="A2511" s="4" t="inlineStr">
        <is>
          <t>03/09/2014</t>
        </is>
      </c>
      <c r="B2511" s="31" t="n">
        <v>48.09</v>
      </c>
    </row>
    <row r="2512">
      <c r="A2512" s="4" t="inlineStr">
        <is>
          <t>04/09/2014</t>
        </is>
      </c>
      <c r="B2512" s="31" t="n">
        <v>47.46</v>
      </c>
    </row>
    <row r="2513">
      <c r="A2513" s="4" t="inlineStr">
        <is>
          <t>05/09/2014</t>
        </is>
      </c>
      <c r="B2513" s="31" t="n">
        <v>47.46</v>
      </c>
    </row>
    <row r="2514">
      <c r="A2514" s="4" t="inlineStr">
        <is>
          <t>08/09/2014</t>
        </is>
      </c>
      <c r="B2514" s="31" t="n">
        <v>47.33</v>
      </c>
    </row>
    <row r="2515">
      <c r="A2515" s="4" t="inlineStr">
        <is>
          <t>09/09/2014</t>
        </is>
      </c>
      <c r="B2515" s="31" t="n">
        <v>47.09</v>
      </c>
    </row>
    <row r="2516">
      <c r="A2516" s="4" t="inlineStr">
        <is>
          <t>10/09/2014</t>
        </is>
      </c>
      <c r="B2516" s="31" t="n">
        <v>47.18</v>
      </c>
    </row>
    <row r="2517">
      <c r="A2517" s="4" t="inlineStr">
        <is>
          <t>11/09/2014</t>
        </is>
      </c>
      <c r="B2517" s="31" t="n">
        <v>47.57</v>
      </c>
    </row>
    <row r="2518">
      <c r="A2518" s="4" t="inlineStr">
        <is>
          <t>12/09/2014</t>
        </is>
      </c>
      <c r="B2518" s="31" t="n">
        <v>47.27</v>
      </c>
    </row>
    <row r="2519">
      <c r="A2519" s="4" t="inlineStr">
        <is>
          <t>15/09/2014</t>
        </is>
      </c>
      <c r="B2519" s="31" t="n">
        <v>47.59</v>
      </c>
    </row>
    <row r="2520">
      <c r="A2520" s="4" t="inlineStr">
        <is>
          <t>16/09/2014</t>
        </is>
      </c>
      <c r="B2520" s="31" t="n">
        <v>47.38</v>
      </c>
    </row>
    <row r="2521">
      <c r="A2521" s="4" t="inlineStr">
        <is>
          <t>17/09/2014</t>
        </is>
      </c>
      <c r="B2521" s="31" t="n">
        <v>47.68</v>
      </c>
    </row>
    <row r="2522">
      <c r="A2522" s="4" t="inlineStr">
        <is>
          <t>18/09/2014</t>
        </is>
      </c>
      <c r="B2522" s="31" t="n">
        <v>47.59</v>
      </c>
    </row>
    <row r="2523">
      <c r="A2523" s="4" t="inlineStr">
        <is>
          <t>19/09/2014</t>
        </is>
      </c>
      <c r="B2523" s="31" t="n">
        <v>47.48</v>
      </c>
    </row>
    <row r="2524">
      <c r="A2524" s="4" t="inlineStr">
        <is>
          <t>22/09/2014</t>
        </is>
      </c>
      <c r="B2524" s="31" t="n">
        <v>47.51</v>
      </c>
    </row>
    <row r="2525">
      <c r="A2525" s="4" t="inlineStr">
        <is>
          <t>23/09/2014</t>
        </is>
      </c>
      <c r="B2525" s="31" t="n">
        <v>47.83</v>
      </c>
    </row>
    <row r="2526">
      <c r="A2526" s="4" t="inlineStr">
        <is>
          <t>24/09/2014</t>
        </is>
      </c>
      <c r="B2526" s="31" t="n">
        <v>47.81</v>
      </c>
    </row>
    <row r="2527">
      <c r="A2527" s="4" t="inlineStr">
        <is>
          <t>25/09/2014</t>
        </is>
      </c>
      <c r="B2527" s="31" t="n">
        <v>47.85</v>
      </c>
    </row>
    <row r="2528">
      <c r="A2528" s="4" t="inlineStr">
        <is>
          <t>26/09/2014</t>
        </is>
      </c>
      <c r="B2528" s="31" t="n">
        <v>47.85</v>
      </c>
    </row>
    <row r="2529">
      <c r="A2529" s="4" t="inlineStr">
        <is>
          <t>29/09/2014</t>
        </is>
      </c>
      <c r="B2529" s="31" t="n">
        <v>47.96</v>
      </c>
    </row>
    <row r="2530">
      <c r="A2530" s="4" t="inlineStr">
        <is>
          <t>30/09/2014</t>
        </is>
      </c>
      <c r="B2530" s="31" t="n">
        <v>47.66</v>
      </c>
    </row>
    <row r="2531">
      <c r="A2531" s="4" t="inlineStr">
        <is>
          <t>01/10/2014</t>
        </is>
      </c>
      <c r="B2531" s="31" t="n">
        <v>47.01</v>
      </c>
    </row>
    <row r="2532">
      <c r="A2532" s="4" t="inlineStr">
        <is>
          <t>02/10/2014</t>
        </is>
      </c>
      <c r="B2532" s="31" t="n">
        <v>47.29</v>
      </c>
    </row>
    <row r="2533">
      <c r="A2533" s="4" t="inlineStr">
        <is>
          <t>03/10/2014</t>
        </is>
      </c>
      <c r="B2533" s="31" t="n">
        <v>47.44</v>
      </c>
    </row>
    <row r="2534">
      <c r="A2534" s="4" t="inlineStr">
        <is>
          <t>06/10/2014</t>
        </is>
      </c>
      <c r="B2534" s="31" t="n">
        <v>47.35</v>
      </c>
    </row>
    <row r="2535">
      <c r="A2535" s="4" t="inlineStr">
        <is>
          <t>07/10/2014</t>
        </is>
      </c>
      <c r="B2535" s="31" t="n">
        <v>47.03</v>
      </c>
    </row>
    <row r="2536">
      <c r="A2536" s="4" t="inlineStr">
        <is>
          <t>08/10/2014</t>
        </is>
      </c>
      <c r="B2536" s="31" t="n">
        <v>47.57</v>
      </c>
    </row>
    <row r="2537">
      <c r="A2537" s="4" t="inlineStr">
        <is>
          <t>09/10/2014</t>
        </is>
      </c>
      <c r="B2537" s="31" t="n">
        <v>47.63</v>
      </c>
    </row>
    <row r="2538">
      <c r="A2538" s="4" t="inlineStr">
        <is>
          <t>10/10/2014</t>
        </is>
      </c>
      <c r="B2538" s="31" t="n">
        <v>47.48</v>
      </c>
    </row>
    <row r="2539">
      <c r="A2539" s="4" t="inlineStr">
        <is>
          <t>13/10/2014</t>
        </is>
      </c>
      <c r="B2539" s="31" t="n">
        <v>48.32</v>
      </c>
    </row>
    <row r="2540">
      <c r="A2540" s="4" t="inlineStr">
        <is>
          <t>14/10/2014</t>
        </is>
      </c>
      <c r="B2540" s="31" t="n">
        <v>49.36</v>
      </c>
    </row>
    <row r="2541">
      <c r="A2541" s="4" t="inlineStr">
        <is>
          <t>15/10/2014</t>
        </is>
      </c>
      <c r="B2541" s="31" t="n">
        <v>49.16</v>
      </c>
    </row>
    <row r="2542">
      <c r="A2542" s="4" t="inlineStr">
        <is>
          <t>16/10/2014</t>
        </is>
      </c>
      <c r="B2542" s="31" t="n">
        <v>49.25</v>
      </c>
    </row>
    <row r="2543">
      <c r="A2543" s="4" t="inlineStr">
        <is>
          <t>17/10/2014</t>
        </is>
      </c>
      <c r="B2543" s="31" t="n">
        <v>51.24</v>
      </c>
    </row>
    <row r="2544">
      <c r="A2544" s="4" t="inlineStr">
        <is>
          <t>20/10/2014</t>
        </is>
      </c>
      <c r="B2544" s="31" t="n">
        <v>51.43</v>
      </c>
    </row>
    <row r="2545">
      <c r="A2545" s="4" t="inlineStr">
        <is>
          <t>21/10/2014</t>
        </is>
      </c>
      <c r="B2545" s="31" t="n">
        <v>53.03</v>
      </c>
    </row>
    <row r="2546">
      <c r="A2546" s="4" t="inlineStr">
        <is>
          <t>22/10/2014</t>
        </is>
      </c>
      <c r="B2546" s="31" t="n">
        <v>53.22</v>
      </c>
    </row>
    <row r="2547">
      <c r="A2547" s="4" t="inlineStr">
        <is>
          <t>23/10/2014</t>
        </is>
      </c>
      <c r="B2547" s="31" t="n">
        <v>53.87</v>
      </c>
    </row>
    <row r="2548">
      <c r="A2548" s="4" t="inlineStr">
        <is>
          <t>24/10/2014</t>
        </is>
      </c>
      <c r="B2548" s="31" t="n">
        <v>54.17</v>
      </c>
    </row>
    <row r="2549">
      <c r="A2549" s="4" t="inlineStr">
        <is>
          <t>27/10/2014</t>
        </is>
      </c>
      <c r="B2549" s="31" t="n">
        <v>54.75</v>
      </c>
    </row>
    <row r="2550">
      <c r="A2550" s="4" t="inlineStr">
        <is>
          <t>28/10/2014</t>
        </is>
      </c>
      <c r="B2550" s="31" t="n">
        <v>56.09</v>
      </c>
    </row>
    <row r="2551">
      <c r="A2551" s="4" t="inlineStr">
        <is>
          <t>29/10/2014</t>
        </is>
      </c>
      <c r="B2551" s="31" t="n">
        <v>56.48</v>
      </c>
    </row>
    <row r="2552">
      <c r="A2552" s="4" t="inlineStr">
        <is>
          <t>30/10/2014</t>
        </is>
      </c>
      <c r="B2552" s="31" t="n">
        <v>56.87</v>
      </c>
    </row>
    <row r="2553">
      <c r="A2553" s="4" t="inlineStr">
        <is>
          <t>31/10/2014</t>
        </is>
      </c>
      <c r="B2553" s="31" t="n">
        <v>56.57</v>
      </c>
    </row>
    <row r="2554">
      <c r="A2554" s="4" t="inlineStr">
        <is>
          <t>03/11/2014</t>
        </is>
      </c>
      <c r="B2554" s="31" t="n">
        <v>56.7</v>
      </c>
    </row>
    <row r="2555">
      <c r="A2555" s="4" t="inlineStr">
        <is>
          <t>04/11/2014</t>
        </is>
      </c>
      <c r="B2555" s="31" t="n">
        <v>56.51</v>
      </c>
    </row>
    <row r="2556">
      <c r="A2556" s="4" t="inlineStr">
        <is>
          <t>05/11/2014</t>
        </is>
      </c>
      <c r="B2556" s="31" t="n">
        <v>57.22</v>
      </c>
    </row>
    <row r="2557">
      <c r="A2557" s="4" t="inlineStr">
        <is>
          <t>06/11/2014</t>
        </is>
      </c>
      <c r="B2557" s="31" t="n">
        <v>56.81</v>
      </c>
    </row>
    <row r="2558">
      <c r="A2558" s="4" t="inlineStr">
        <is>
          <t>07/11/2014</t>
        </is>
      </c>
      <c r="B2558" s="31" t="n">
        <v>57.3</v>
      </c>
    </row>
    <row r="2559">
      <c r="A2559" s="4" t="inlineStr">
        <is>
          <t>10/11/2014</t>
        </is>
      </c>
      <c r="B2559" s="31" t="n">
        <v>57.56</v>
      </c>
    </row>
    <row r="2560">
      <c r="A2560" s="4" t="inlineStr">
        <is>
          <t>11/11/2014</t>
        </is>
      </c>
      <c r="B2560" s="31" t="n">
        <v>58.33</v>
      </c>
    </row>
    <row r="2561">
      <c r="A2561" s="4" t="inlineStr">
        <is>
          <t>12/11/2014</t>
        </is>
      </c>
      <c r="B2561" s="31" t="n">
        <v>59.35</v>
      </c>
    </row>
    <row r="2562">
      <c r="A2562" s="4" t="inlineStr">
        <is>
          <t>13/11/2014</t>
        </is>
      </c>
      <c r="B2562" s="31" t="n">
        <v>58.88</v>
      </c>
    </row>
    <row r="2563">
      <c r="A2563" s="4" t="inlineStr">
        <is>
          <t>14/11/2014</t>
        </is>
      </c>
      <c r="B2563" s="31" t="n">
        <v>59.5</v>
      </c>
    </row>
    <row r="2564">
      <c r="A2564" s="4" t="inlineStr">
        <is>
          <t>17/11/2014</t>
        </is>
      </c>
      <c r="B2564" s="31" t="n">
        <v>59.67</v>
      </c>
    </row>
    <row r="2565">
      <c r="A2565" s="4" t="inlineStr">
        <is>
          <t>18/11/2014</t>
        </is>
      </c>
      <c r="B2565" s="31" t="n">
        <v>61.08</v>
      </c>
    </row>
    <row r="2566">
      <c r="A2566" s="4" t="inlineStr">
        <is>
          <t>19/11/2014</t>
        </is>
      </c>
      <c r="B2566" s="31" t="n">
        <v>61.45</v>
      </c>
    </row>
    <row r="2567">
      <c r="A2567" s="4" t="inlineStr">
        <is>
          <t>20/11/2014</t>
        </is>
      </c>
      <c r="B2567" s="31" t="n">
        <v>60.7</v>
      </c>
    </row>
    <row r="2568">
      <c r="A2568" s="4" t="inlineStr">
        <is>
          <t>21/11/2014</t>
        </is>
      </c>
      <c r="B2568" s="31" t="n">
        <v>60.61</v>
      </c>
    </row>
    <row r="2569">
      <c r="A2569" s="4" t="inlineStr">
        <is>
          <t>24/11/2014</t>
        </is>
      </c>
      <c r="B2569" s="31" t="n">
        <v>61.32</v>
      </c>
    </row>
    <row r="2570">
      <c r="A2570" s="4" t="inlineStr">
        <is>
          <t>25/11/2014</t>
        </is>
      </c>
      <c r="B2570" s="31" t="n">
        <v>60.76</v>
      </c>
    </row>
    <row r="2571">
      <c r="A2571" s="4" t="inlineStr">
        <is>
          <t>26/11/2014</t>
        </is>
      </c>
      <c r="B2571" s="31" t="n">
        <v>59.99</v>
      </c>
    </row>
    <row r="2572">
      <c r="A2572" s="4" t="inlineStr">
        <is>
          <t>27/11/2014</t>
        </is>
      </c>
      <c r="B2572" s="31" t="n">
        <v>59.69</v>
      </c>
    </row>
    <row r="2573">
      <c r="A2573" s="4" t="inlineStr">
        <is>
          <t>28/11/2014</t>
        </is>
      </c>
      <c r="B2573" s="31" t="n">
        <v>58.82</v>
      </c>
    </row>
    <row r="2574">
      <c r="A2574" s="4" t="inlineStr">
        <is>
          <t>01/12/2014</t>
        </is>
      </c>
      <c r="B2574" s="31" t="n">
        <v>57.56</v>
      </c>
    </row>
    <row r="2575">
      <c r="A2575" s="4" t="inlineStr">
        <is>
          <t>02/12/2014</t>
        </is>
      </c>
      <c r="B2575" s="31" t="n">
        <v>56.84</v>
      </c>
    </row>
    <row r="2576">
      <c r="A2576" s="4" t="inlineStr">
        <is>
          <t>03/12/2014</t>
        </is>
      </c>
      <c r="B2576" s="31" t="n">
        <v>56.88</v>
      </c>
    </row>
    <row r="2577">
      <c r="A2577" s="4" t="inlineStr">
        <is>
          <t>04/12/2014</t>
        </is>
      </c>
      <c r="B2577" s="31" t="n">
        <v>56.74</v>
      </c>
    </row>
    <row r="2578">
      <c r="A2578" s="4" t="inlineStr">
        <is>
          <t>05/12/2014</t>
        </is>
      </c>
      <c r="B2578" s="31" t="n">
        <v>56.52</v>
      </c>
    </row>
    <row r="2579">
      <c r="A2579" s="4" t="inlineStr">
        <is>
          <t>08/12/2014</t>
        </is>
      </c>
      <c r="B2579" s="31" t="n">
        <v>56.69</v>
      </c>
    </row>
    <row r="2580">
      <c r="A2580" s="4" t="inlineStr">
        <is>
          <t>09/12/2014</t>
        </is>
      </c>
      <c r="B2580" s="31" t="n">
        <v>56.8</v>
      </c>
    </row>
    <row r="2581">
      <c r="A2581" s="4" t="inlineStr">
        <is>
          <t>10/12/2014</t>
        </is>
      </c>
      <c r="B2581" s="31" t="n">
        <v>57.25</v>
      </c>
    </row>
    <row r="2582">
      <c r="A2582" s="4" t="inlineStr">
        <is>
          <t>11/12/2014</t>
        </is>
      </c>
      <c r="B2582" s="31" t="n">
        <v>57.86</v>
      </c>
    </row>
    <row r="2583">
      <c r="A2583" s="4" t="inlineStr">
        <is>
          <t>12/12/2014</t>
        </is>
      </c>
      <c r="B2583" s="31" t="n">
        <v>58.29</v>
      </c>
    </row>
    <row r="2584">
      <c r="A2584" s="4" t="inlineStr">
        <is>
          <t>15/12/2014</t>
        </is>
      </c>
      <c r="B2584" s="31" t="n">
        <v>59.33</v>
      </c>
    </row>
    <row r="2585">
      <c r="A2585" s="4" t="inlineStr">
        <is>
          <t>16/12/2014</t>
        </is>
      </c>
      <c r="B2585" s="31" t="n">
        <v>59.71</v>
      </c>
    </row>
    <row r="2586">
      <c r="A2586" s="4" t="inlineStr">
        <is>
          <t>17/12/2014</t>
        </is>
      </c>
      <c r="B2586" s="31" t="n">
        <v>59.67</v>
      </c>
    </row>
    <row r="2587">
      <c r="A2587" s="4" t="inlineStr">
        <is>
          <t>18/12/2014</t>
        </is>
      </c>
      <c r="B2587" s="31" t="n">
        <v>60.33</v>
      </c>
    </row>
    <row r="2588">
      <c r="A2588" s="4" t="inlineStr">
        <is>
          <t>19/12/2014</t>
        </is>
      </c>
      <c r="B2588" s="31" t="n">
        <v>60.52</v>
      </c>
    </row>
    <row r="2589">
      <c r="A2589" s="4" t="inlineStr">
        <is>
          <t>22/12/2014</t>
        </is>
      </c>
      <c r="B2589" s="31" t="n">
        <v>60.62</v>
      </c>
    </row>
    <row r="2590">
      <c r="A2590" s="4" t="inlineStr">
        <is>
          <t>23/12/2014</t>
        </is>
      </c>
      <c r="B2590" s="31" t="n">
        <v>60.9</v>
      </c>
    </row>
    <row r="2591">
      <c r="A2591" s="4" t="inlineStr">
        <is>
          <t>26/12/2014</t>
        </is>
      </c>
      <c r="B2591" s="31" t="n">
        <v>60.88</v>
      </c>
    </row>
    <row r="2592">
      <c r="A2592" s="4" t="inlineStr">
        <is>
          <t>29/12/2014</t>
        </is>
      </c>
      <c r="B2592" s="31" t="n">
        <v>61</v>
      </c>
    </row>
    <row r="2593">
      <c r="A2593" s="4" t="inlineStr">
        <is>
          <t>30/12/2014</t>
        </is>
      </c>
      <c r="B2593" s="31" t="n">
        <v>61.07</v>
      </c>
    </row>
    <row r="2594">
      <c r="A2594" s="4" t="inlineStr">
        <is>
          <t>02/01/2015</t>
        </is>
      </c>
      <c r="B2594" s="31" t="n">
        <v>60.54</v>
      </c>
    </row>
    <row r="2595">
      <c r="A2595" s="4" t="inlineStr">
        <is>
          <t>05/01/2015</t>
        </is>
      </c>
      <c r="B2595" s="31" t="n">
        <v>60.19</v>
      </c>
    </row>
    <row r="2596">
      <c r="A2596" s="4" t="inlineStr">
        <is>
          <t>06/01/2015</t>
        </is>
      </c>
      <c r="B2596" s="31" t="n">
        <v>59.45</v>
      </c>
    </row>
    <row r="2597">
      <c r="A2597" s="4" t="inlineStr">
        <is>
          <t>07/01/2015</t>
        </is>
      </c>
      <c r="B2597" s="31" t="n">
        <v>59.24</v>
      </c>
    </row>
    <row r="2598">
      <c r="A2598" s="4" t="inlineStr">
        <is>
          <t>08/01/2015</t>
        </is>
      </c>
      <c r="B2598" s="31" t="n">
        <v>59.11</v>
      </c>
    </row>
    <row r="2599">
      <c r="A2599" s="4" t="inlineStr">
        <is>
          <t>09/01/2015</t>
        </is>
      </c>
      <c r="B2599" s="31" t="n">
        <v>58.92</v>
      </c>
    </row>
    <row r="2600">
      <c r="A2600" s="4" t="inlineStr">
        <is>
          <t>12/01/2015</t>
        </is>
      </c>
      <c r="B2600" s="31" t="n">
        <v>58.23</v>
      </c>
    </row>
    <row r="2601">
      <c r="A2601" s="4" t="inlineStr">
        <is>
          <t>13/01/2015</t>
        </is>
      </c>
      <c r="B2601" s="31" t="n">
        <v>58.18</v>
      </c>
    </row>
    <row r="2602">
      <c r="A2602" s="4" t="inlineStr">
        <is>
          <t>14/01/2015</t>
        </is>
      </c>
      <c r="B2602" s="31" t="n">
        <v>57.89</v>
      </c>
    </row>
    <row r="2603">
      <c r="A2603" s="4" t="inlineStr">
        <is>
          <t>15/01/2015</t>
        </is>
      </c>
      <c r="B2603" s="31" t="n">
        <v>57.93</v>
      </c>
    </row>
    <row r="2604">
      <c r="A2604" s="4" t="inlineStr">
        <is>
          <t>16/01/2015</t>
        </is>
      </c>
      <c r="B2604" s="31" t="n">
        <v>57.45</v>
      </c>
    </row>
    <row r="2605">
      <c r="A2605" s="4" t="inlineStr">
        <is>
          <t>19/01/2015</t>
        </is>
      </c>
      <c r="B2605" s="31" t="n">
        <v>57.4</v>
      </c>
    </row>
    <row r="2606">
      <c r="A2606" s="4" t="inlineStr">
        <is>
          <t>20/01/2015</t>
        </is>
      </c>
      <c r="B2606" s="31" t="n">
        <v>57.53</v>
      </c>
    </row>
    <row r="2607">
      <c r="A2607" s="4" t="inlineStr">
        <is>
          <t>21/01/2015</t>
        </is>
      </c>
      <c r="B2607" s="31" t="n">
        <v>57.13</v>
      </c>
    </row>
    <row r="2608">
      <c r="A2608" s="4" t="inlineStr">
        <is>
          <t>22/01/2015</t>
        </is>
      </c>
      <c r="B2608" s="31" t="n">
        <v>56.64</v>
      </c>
    </row>
    <row r="2609">
      <c r="A2609" s="4" t="inlineStr">
        <is>
          <t>23/01/2015</t>
        </is>
      </c>
      <c r="B2609" s="31" t="n">
        <v>56.48</v>
      </c>
    </row>
    <row r="2610">
      <c r="A2610" s="4" t="inlineStr">
        <is>
          <t>26/01/2015</t>
        </is>
      </c>
      <c r="B2610" s="31" t="n">
        <v>56.43</v>
      </c>
    </row>
    <row r="2611">
      <c r="A2611" s="4" t="inlineStr">
        <is>
          <t>27/01/2015</t>
        </is>
      </c>
      <c r="B2611" s="31" t="n">
        <v>56.12</v>
      </c>
    </row>
    <row r="2612">
      <c r="A2612" s="4" t="inlineStr">
        <is>
          <t>28/01/2015</t>
        </is>
      </c>
      <c r="B2612" s="31" t="n">
        <v>55.99</v>
      </c>
    </row>
    <row r="2613">
      <c r="A2613" s="4" t="inlineStr">
        <is>
          <t>29/01/2015</t>
        </is>
      </c>
      <c r="B2613" s="31" t="n">
        <v>56.12</v>
      </c>
    </row>
    <row r="2614">
      <c r="A2614" s="4" t="inlineStr">
        <is>
          <t>30/01/2015</t>
        </is>
      </c>
      <c r="B2614" s="31" t="n">
        <v>56.46</v>
      </c>
    </row>
    <row r="2615">
      <c r="A2615" s="4" t="inlineStr">
        <is>
          <t>02/02/2015</t>
        </is>
      </c>
      <c r="B2615" s="31" t="n">
        <v>56.45</v>
      </c>
    </row>
    <row r="2616">
      <c r="A2616" s="4" t="inlineStr">
        <is>
          <t>03/02/2015</t>
        </is>
      </c>
      <c r="B2616" s="31" t="n">
        <v>56.64</v>
      </c>
    </row>
    <row r="2617">
      <c r="A2617" s="4" t="inlineStr">
        <is>
          <t>04/02/2015</t>
        </is>
      </c>
      <c r="B2617" s="31" t="n">
        <v>57.04</v>
      </c>
    </row>
    <row r="2618">
      <c r="A2618" s="4" t="inlineStr">
        <is>
          <t>05/02/2015</t>
        </is>
      </c>
      <c r="B2618" s="31" t="n">
        <v>58.03</v>
      </c>
    </row>
    <row r="2619">
      <c r="A2619" s="4" t="inlineStr">
        <is>
          <t>06/02/2015</t>
        </is>
      </c>
      <c r="B2619" s="31" t="n">
        <v>58.13</v>
      </c>
    </row>
    <row r="2620">
      <c r="A2620" s="4" t="inlineStr">
        <is>
          <t>09/02/2015</t>
        </is>
      </c>
      <c r="B2620" s="31" t="n">
        <v>58.11</v>
      </c>
    </row>
    <row r="2621">
      <c r="A2621" s="4" t="inlineStr">
        <is>
          <t>10/02/2015</t>
        </is>
      </c>
      <c r="B2621" s="31" t="n">
        <v>58.07</v>
      </c>
    </row>
    <row r="2622">
      <c r="A2622" s="4" t="inlineStr">
        <is>
          <t>11/02/2015</t>
        </is>
      </c>
      <c r="B2622" s="31" t="n">
        <v>58.09</v>
      </c>
    </row>
    <row r="2623">
      <c r="A2623" s="4" t="inlineStr">
        <is>
          <t>12/02/2015</t>
        </is>
      </c>
      <c r="B2623" s="31" t="n">
        <v>58.28</v>
      </c>
    </row>
    <row r="2624">
      <c r="A2624" s="4" t="inlineStr">
        <is>
          <t>13/02/2015</t>
        </is>
      </c>
      <c r="B2624" s="31" t="n">
        <v>58.8</v>
      </c>
    </row>
    <row r="2625">
      <c r="A2625" s="4" t="inlineStr">
        <is>
          <t>18/02/2015</t>
        </is>
      </c>
      <c r="B2625" s="31" t="n">
        <v>58.95</v>
      </c>
    </row>
    <row r="2626">
      <c r="A2626" s="4" t="inlineStr">
        <is>
          <t>19/02/2015</t>
        </is>
      </c>
      <c r="B2626" s="31" t="n">
        <v>59.25</v>
      </c>
    </row>
    <row r="2627">
      <c r="A2627" s="4" t="inlineStr">
        <is>
          <t>20/02/2015</t>
        </is>
      </c>
      <c r="B2627" s="31" t="n">
        <v>59.6</v>
      </c>
    </row>
    <row r="2628">
      <c r="A2628" s="4" t="inlineStr">
        <is>
          <t>23/02/2015</t>
        </is>
      </c>
      <c r="B2628" s="31" t="n">
        <v>60.49</v>
      </c>
    </row>
    <row r="2629">
      <c r="A2629" s="4" t="inlineStr">
        <is>
          <t>24/02/2015</t>
        </is>
      </c>
      <c r="B2629" s="31" t="n">
        <v>60.63</v>
      </c>
    </row>
    <row r="2630">
      <c r="A2630" s="4" t="inlineStr">
        <is>
          <t>25/02/2015</t>
        </is>
      </c>
      <c r="B2630" s="31" t="n">
        <v>60.84</v>
      </c>
    </row>
    <row r="2631">
      <c r="A2631" s="4" t="inlineStr">
        <is>
          <t>26/02/2015</t>
        </is>
      </c>
      <c r="B2631" s="31" t="n">
        <v>61.03</v>
      </c>
    </row>
    <row r="2632">
      <c r="A2632" s="4" t="inlineStr">
        <is>
          <t>27/02/2015</t>
        </is>
      </c>
      <c r="B2632" s="31" t="n">
        <v>60.89</v>
      </c>
    </row>
    <row r="2633">
      <c r="A2633" s="4" t="inlineStr">
        <is>
          <t>02/03/2015</t>
        </is>
      </c>
      <c r="B2633" s="31" t="n">
        <v>61.02</v>
      </c>
    </row>
    <row r="2634">
      <c r="A2634" s="4" t="inlineStr">
        <is>
          <t>03/03/2015</t>
        </is>
      </c>
      <c r="B2634" s="31" t="n">
        <v>61.09</v>
      </c>
    </row>
    <row r="2635">
      <c r="A2635" s="4" t="inlineStr">
        <is>
          <t>04/03/2015</t>
        </is>
      </c>
      <c r="B2635" s="31" t="n">
        <v>61.34</v>
      </c>
    </row>
    <row r="2636">
      <c r="A2636" s="4" t="inlineStr">
        <is>
          <t>05/03/2015</t>
        </is>
      </c>
      <c r="B2636" s="31" t="n">
        <v>61.29</v>
      </c>
    </row>
    <row r="2637">
      <c r="A2637" s="4" t="inlineStr">
        <is>
          <t>06/03/2015</t>
        </is>
      </c>
      <c r="B2637" s="31" t="n">
        <v>61.25</v>
      </c>
    </row>
    <row r="2638">
      <c r="A2638" s="4" t="inlineStr">
        <is>
          <t>09/03/2015</t>
        </is>
      </c>
      <c r="B2638" s="31" t="n">
        <v>61.4</v>
      </c>
    </row>
    <row r="2639">
      <c r="A2639" s="4" t="inlineStr">
        <is>
          <t>10/03/2015</t>
        </is>
      </c>
      <c r="B2639" s="31" t="n">
        <v>61.71</v>
      </c>
    </row>
    <row r="2640">
      <c r="A2640" s="4" t="inlineStr">
        <is>
          <t>11/03/2015</t>
        </is>
      </c>
      <c r="B2640" s="31" t="n">
        <v>61.77</v>
      </c>
    </row>
    <row r="2641">
      <c r="A2641" s="4" t="inlineStr">
        <is>
          <t>12/03/2015</t>
        </is>
      </c>
      <c r="B2641" s="31" t="n">
        <v>61.84</v>
      </c>
    </row>
    <row r="2642">
      <c r="A2642" s="4" t="inlineStr">
        <is>
          <t>13/03/2015</t>
        </is>
      </c>
      <c r="B2642" s="31" t="n">
        <v>61.73</v>
      </c>
    </row>
    <row r="2643">
      <c r="A2643" s="4" t="inlineStr">
        <is>
          <t>16/03/2015</t>
        </is>
      </c>
      <c r="B2643" s="31" t="n">
        <v>61.65</v>
      </c>
    </row>
    <row r="2644">
      <c r="A2644" s="4" t="inlineStr">
        <is>
          <t>17/03/2015</t>
        </is>
      </c>
      <c r="B2644" s="31" t="n">
        <v>61.54</v>
      </c>
    </row>
    <row r="2645">
      <c r="A2645" s="4" t="inlineStr">
        <is>
          <t>18/03/2015</t>
        </is>
      </c>
      <c r="B2645" s="31" t="n">
        <v>61.48</v>
      </c>
    </row>
    <row r="2646">
      <c r="A2646" s="4" t="inlineStr">
        <is>
          <t>19/03/2015</t>
        </is>
      </c>
      <c r="B2646" s="31" t="n">
        <v>61.98</v>
      </c>
    </row>
    <row r="2647">
      <c r="A2647" s="4" t="inlineStr">
        <is>
          <t>20/03/2015</t>
        </is>
      </c>
      <c r="B2647" s="31" t="n">
        <v>61.77</v>
      </c>
    </row>
    <row r="2648">
      <c r="A2648" s="4" t="inlineStr">
        <is>
          <t>23/03/2015</t>
        </is>
      </c>
      <c r="B2648" s="31" t="n">
        <v>61.29</v>
      </c>
    </row>
    <row r="2649">
      <c r="A2649" s="4" t="inlineStr">
        <is>
          <t>24/03/2015</t>
        </is>
      </c>
      <c r="B2649" s="31" t="n">
        <v>60.63</v>
      </c>
    </row>
    <row r="2650">
      <c r="A2650" s="4" t="inlineStr">
        <is>
          <t>25/03/2015</t>
        </is>
      </c>
      <c r="B2650" s="31" t="n">
        <v>60.48</v>
      </c>
    </row>
    <row r="2651">
      <c r="A2651" s="4" t="inlineStr">
        <is>
          <t>26/03/2015</t>
        </is>
      </c>
      <c r="B2651" s="31" t="n">
        <v>60.57</v>
      </c>
    </row>
    <row r="2652">
      <c r="A2652" s="4" t="inlineStr">
        <is>
          <t>27/03/2015</t>
        </is>
      </c>
      <c r="B2652" s="31" t="n">
        <v>60.59</v>
      </c>
    </row>
    <row r="2653">
      <c r="A2653" s="4" t="inlineStr">
        <is>
          <t>30/03/2015</t>
        </is>
      </c>
      <c r="B2653" s="31" t="n">
        <v>60.65</v>
      </c>
    </row>
    <row r="2654">
      <c r="A2654" s="4" t="inlineStr">
        <is>
          <t>31/03/2015</t>
        </is>
      </c>
      <c r="B2654" s="31" t="n">
        <v>61.17</v>
      </c>
    </row>
    <row r="2655">
      <c r="A2655" s="4" t="inlineStr">
        <is>
          <t>01/04/2015</t>
        </is>
      </c>
      <c r="B2655" s="31" t="n">
        <v>60.3</v>
      </c>
    </row>
    <row r="2656">
      <c r="A2656" s="4" t="inlineStr">
        <is>
          <t>02/04/2015</t>
        </is>
      </c>
      <c r="B2656" s="31" t="n">
        <v>60.26</v>
      </c>
    </row>
    <row r="2657">
      <c r="A2657" s="4" t="inlineStr">
        <is>
          <t>06/04/2015</t>
        </is>
      </c>
      <c r="B2657" s="31" t="n">
        <v>59.58</v>
      </c>
    </row>
    <row r="2658">
      <c r="A2658" s="4" t="inlineStr">
        <is>
          <t>07/04/2015</t>
        </is>
      </c>
      <c r="B2658" s="31" t="n">
        <v>59.04</v>
      </c>
    </row>
    <row r="2659">
      <c r="A2659" s="4" t="inlineStr">
        <is>
          <t>08/04/2015</t>
        </is>
      </c>
      <c r="B2659" s="31" t="n">
        <v>58.73</v>
      </c>
    </row>
    <row r="2660">
      <c r="A2660" s="4" t="inlineStr">
        <is>
          <t>09/04/2015</t>
        </is>
      </c>
      <c r="B2660" s="31" t="n">
        <v>58.59</v>
      </c>
    </row>
    <row r="2661">
      <c r="A2661" s="4" t="inlineStr">
        <is>
          <t>10/04/2015</t>
        </is>
      </c>
      <c r="B2661" s="31" t="n">
        <v>58.34</v>
      </c>
    </row>
    <row r="2662">
      <c r="A2662" s="4" t="inlineStr">
        <is>
          <t>13/04/2015</t>
        </is>
      </c>
      <c r="B2662" s="31" t="n">
        <v>57.97</v>
      </c>
    </row>
    <row r="2663">
      <c r="A2663" s="4" t="inlineStr">
        <is>
          <t>14/04/2015</t>
        </is>
      </c>
      <c r="B2663" s="31" t="n">
        <v>57.07</v>
      </c>
    </row>
    <row r="2664">
      <c r="A2664" s="4" t="inlineStr">
        <is>
          <t>15/04/2015</t>
        </is>
      </c>
      <c r="B2664" s="31" t="n">
        <v>56.51</v>
      </c>
    </row>
    <row r="2665">
      <c r="A2665" s="4" t="inlineStr">
        <is>
          <t>16/04/2015</t>
        </is>
      </c>
      <c r="B2665" s="31" t="n">
        <v>56.39</v>
      </c>
    </row>
    <row r="2666">
      <c r="A2666" s="4" t="inlineStr">
        <is>
          <t>17/04/2015</t>
        </is>
      </c>
      <c r="B2666" s="31" t="n">
        <v>55.73</v>
      </c>
    </row>
    <row r="2667">
      <c r="A2667" s="4" t="inlineStr">
        <is>
          <t>20/04/2015</t>
        </is>
      </c>
      <c r="B2667" s="31" t="n">
        <v>55.73</v>
      </c>
    </row>
    <row r="2668">
      <c r="A2668" s="4" t="inlineStr">
        <is>
          <t>22/04/2015</t>
        </is>
      </c>
      <c r="B2668" s="31" t="n">
        <v>55.54</v>
      </c>
    </row>
    <row r="2669">
      <c r="A2669" s="4" t="inlineStr">
        <is>
          <t>23/04/2015</t>
        </is>
      </c>
      <c r="B2669" s="31" t="n">
        <v>55.42</v>
      </c>
    </row>
    <row r="2670">
      <c r="A2670" s="4" t="inlineStr">
        <is>
          <t>24/04/2015</t>
        </is>
      </c>
      <c r="B2670" s="31" t="n">
        <v>55.01</v>
      </c>
    </row>
    <row r="2671">
      <c r="A2671" s="4" t="inlineStr">
        <is>
          <t>27/04/2015</t>
        </is>
      </c>
      <c r="B2671" s="31" t="n">
        <v>54.66</v>
      </c>
    </row>
    <row r="2672">
      <c r="A2672" s="4" t="inlineStr">
        <is>
          <t>28/04/2015</t>
        </is>
      </c>
      <c r="B2672" s="31" t="n">
        <v>54.25</v>
      </c>
    </row>
    <row r="2673">
      <c r="A2673" s="4" t="inlineStr">
        <is>
          <t>29/04/2015</t>
        </is>
      </c>
      <c r="B2673" s="31" t="n">
        <v>53.92</v>
      </c>
    </row>
    <row r="2674">
      <c r="A2674" s="4" t="inlineStr">
        <is>
          <t>30/04/2015</t>
        </is>
      </c>
      <c r="B2674" s="31" t="n">
        <v>53.47</v>
      </c>
    </row>
    <row r="2675">
      <c r="A2675" s="4" t="inlineStr">
        <is>
          <t>04/05/2015</t>
        </is>
      </c>
      <c r="B2675" s="31" t="n">
        <v>53.1</v>
      </c>
    </row>
    <row r="2676">
      <c r="A2676" s="4" t="inlineStr">
        <is>
          <t>05/05/2015</t>
        </is>
      </c>
      <c r="B2676" s="31" t="n">
        <v>52.92</v>
      </c>
    </row>
    <row r="2677">
      <c r="A2677" s="4" t="inlineStr">
        <is>
          <t>06/05/2015</t>
        </is>
      </c>
      <c r="B2677" s="31" t="n">
        <v>52.86</v>
      </c>
    </row>
    <row r="2678">
      <c r="A2678" s="4" t="inlineStr">
        <is>
          <t>07/05/2015</t>
        </is>
      </c>
      <c r="B2678" s="31" t="n">
        <v>52.55</v>
      </c>
    </row>
    <row r="2679">
      <c r="A2679" s="4" t="inlineStr">
        <is>
          <t>08/05/2015</t>
        </is>
      </c>
      <c r="B2679" s="31" t="n">
        <v>52.53</v>
      </c>
    </row>
    <row r="2680">
      <c r="A2680" s="4" t="inlineStr">
        <is>
          <t>11/05/2015</t>
        </is>
      </c>
      <c r="B2680" s="31" t="n">
        <v>52.51</v>
      </c>
    </row>
    <row r="2681">
      <c r="A2681" s="4" t="inlineStr">
        <is>
          <t>12/05/2015</t>
        </is>
      </c>
      <c r="B2681" s="31" t="n">
        <v>52.51</v>
      </c>
    </row>
    <row r="2682">
      <c r="A2682" s="4" t="inlineStr">
        <is>
          <t>13/05/2015</t>
        </is>
      </c>
      <c r="B2682" s="31" t="n">
        <v>52.1</v>
      </c>
    </row>
    <row r="2683">
      <c r="A2683" s="4" t="inlineStr">
        <is>
          <t>14/05/2015</t>
        </is>
      </c>
      <c r="B2683" s="31" t="n">
        <v>52.04</v>
      </c>
    </row>
    <row r="2684">
      <c r="A2684" s="4" t="inlineStr">
        <is>
          <t>15/05/2015</t>
        </is>
      </c>
      <c r="B2684" s="31" t="n">
        <v>51.81</v>
      </c>
    </row>
    <row r="2685">
      <c r="A2685" s="4" t="inlineStr">
        <is>
          <t>18/05/2015</t>
        </is>
      </c>
      <c r="B2685" s="31" t="n">
        <v>51.77</v>
      </c>
    </row>
    <row r="2686">
      <c r="A2686" s="4" t="inlineStr">
        <is>
          <t>19/05/2015</t>
        </is>
      </c>
      <c r="B2686" s="31" t="n">
        <v>51.22</v>
      </c>
    </row>
    <row r="2687">
      <c r="A2687" s="4" t="inlineStr">
        <is>
          <t>20/05/2015</t>
        </is>
      </c>
      <c r="B2687" s="31" t="n">
        <v>51.18</v>
      </c>
    </row>
    <row r="2688">
      <c r="A2688" s="4" t="inlineStr">
        <is>
          <t>21/05/2015</t>
        </is>
      </c>
      <c r="B2688" s="31" t="n">
        <v>51.51</v>
      </c>
    </row>
    <row r="2689">
      <c r="A2689" s="4" t="inlineStr">
        <is>
          <t>22/05/2015</t>
        </is>
      </c>
      <c r="B2689" s="31" t="n">
        <v>51.46</v>
      </c>
    </row>
    <row r="2690">
      <c r="A2690" s="4" t="inlineStr">
        <is>
          <t>25/05/2015</t>
        </is>
      </c>
      <c r="B2690" s="31" t="n">
        <v>51.38</v>
      </c>
    </row>
    <row r="2691">
      <c r="A2691" s="4" t="inlineStr">
        <is>
          <t>26/05/2015</t>
        </is>
      </c>
      <c r="B2691" s="31" t="n">
        <v>51.81</v>
      </c>
    </row>
    <row r="2692">
      <c r="A2692" s="4" t="inlineStr">
        <is>
          <t>27/05/2015</t>
        </is>
      </c>
      <c r="B2692" s="31" t="n">
        <v>51.16</v>
      </c>
    </row>
    <row r="2693">
      <c r="A2693" s="4" t="inlineStr">
        <is>
          <t>28/05/2015</t>
        </is>
      </c>
      <c r="B2693" s="31" t="n">
        <v>51.12</v>
      </c>
    </row>
    <row r="2694">
      <c r="A2694" s="4" t="inlineStr">
        <is>
          <t>29/05/2015</t>
        </is>
      </c>
      <c r="B2694" s="31" t="n">
        <v>51.05</v>
      </c>
    </row>
    <row r="2695">
      <c r="A2695" s="4" t="inlineStr">
        <is>
          <t>01/06/2015</t>
        </is>
      </c>
      <c r="B2695" s="31" t="n">
        <v>50.9</v>
      </c>
    </row>
    <row r="2696">
      <c r="A2696" s="4" t="inlineStr">
        <is>
          <t>02/06/2015</t>
        </is>
      </c>
      <c r="B2696" s="31" t="n">
        <v>50.47</v>
      </c>
    </row>
    <row r="2697">
      <c r="A2697" s="4" t="inlineStr">
        <is>
          <t>03/06/2015</t>
        </is>
      </c>
      <c r="B2697" s="31" t="n">
        <v>50.53</v>
      </c>
    </row>
    <row r="2698">
      <c r="A2698" s="4" t="inlineStr">
        <is>
          <t>05/06/2015</t>
        </is>
      </c>
      <c r="B2698" s="31" t="n">
        <v>50.59</v>
      </c>
    </row>
    <row r="2699">
      <c r="A2699" s="4" t="inlineStr">
        <is>
          <t>08/06/2015</t>
        </is>
      </c>
      <c r="B2699" s="31" t="n">
        <v>50.59</v>
      </c>
    </row>
    <row r="2700">
      <c r="A2700" s="4" t="inlineStr">
        <is>
          <t>09/06/2015</t>
        </is>
      </c>
      <c r="B2700" s="31" t="n">
        <v>50.19</v>
      </c>
    </row>
    <row r="2701">
      <c r="A2701" s="4" t="inlineStr">
        <is>
          <t>10/06/2015</t>
        </is>
      </c>
      <c r="B2701" s="31" t="n">
        <v>50.51</v>
      </c>
    </row>
    <row r="2702">
      <c r="A2702" s="4" t="inlineStr">
        <is>
          <t>11/06/2015</t>
        </is>
      </c>
      <c r="B2702" s="31" t="n">
        <v>50.67</v>
      </c>
    </row>
    <row r="2703">
      <c r="A2703" s="4" t="inlineStr">
        <is>
          <t>12/06/2015</t>
        </is>
      </c>
      <c r="B2703" s="31" t="n">
        <v>50.47</v>
      </c>
    </row>
    <row r="2704">
      <c r="A2704" s="4" t="inlineStr">
        <is>
          <t>15/06/2015</t>
        </is>
      </c>
      <c r="B2704" s="31" t="n">
        <v>50.71</v>
      </c>
    </row>
    <row r="2705">
      <c r="A2705" s="4" t="inlineStr">
        <is>
          <t>16/06/2015</t>
        </is>
      </c>
      <c r="B2705" s="31" t="n">
        <v>51.22</v>
      </c>
    </row>
    <row r="2706">
      <c r="A2706" s="4" t="inlineStr">
        <is>
          <t>17/06/2015</t>
        </is>
      </c>
      <c r="B2706" s="31" t="n">
        <v>51.28</v>
      </c>
    </row>
    <row r="2707">
      <c r="A2707" s="4" t="inlineStr">
        <is>
          <t>18/06/2015</t>
        </is>
      </c>
      <c r="B2707" s="31" t="n">
        <v>51.08</v>
      </c>
    </row>
    <row r="2708">
      <c r="A2708" s="4" t="inlineStr">
        <is>
          <t>19/06/2015</t>
        </is>
      </c>
      <c r="B2708" s="31" t="n">
        <v>50.9</v>
      </c>
    </row>
    <row r="2709">
      <c r="A2709" s="4" t="inlineStr">
        <is>
          <t>22/06/2015</t>
        </is>
      </c>
      <c r="B2709" s="31" t="n">
        <v>50.96</v>
      </c>
    </row>
    <row r="2710">
      <c r="A2710" s="4" t="inlineStr">
        <is>
          <t>23/06/2015</t>
        </is>
      </c>
      <c r="B2710" s="31" t="n">
        <v>51.22</v>
      </c>
    </row>
    <row r="2711">
      <c r="A2711" s="4" t="inlineStr">
        <is>
          <t>24/06/2015</t>
        </is>
      </c>
      <c r="B2711" s="31" t="n">
        <v>51.1</v>
      </c>
    </row>
    <row r="2712">
      <c r="A2712" s="4" t="inlineStr">
        <is>
          <t>25/06/2015</t>
        </is>
      </c>
      <c r="B2712" s="31" t="n">
        <v>51.43</v>
      </c>
    </row>
    <row r="2713">
      <c r="A2713" s="4" t="inlineStr">
        <is>
          <t>26/06/2015</t>
        </is>
      </c>
      <c r="B2713" s="31" t="n">
        <v>51.94</v>
      </c>
    </row>
    <row r="2714">
      <c r="A2714" s="4" t="inlineStr">
        <is>
          <t>29/06/2015</t>
        </is>
      </c>
      <c r="B2714" s="31" t="n">
        <v>51.49</v>
      </c>
    </row>
    <row r="2715">
      <c r="A2715" s="4" t="inlineStr">
        <is>
          <t>30/06/2015</t>
        </is>
      </c>
      <c r="B2715" s="31" t="n">
        <v>51.87</v>
      </c>
    </row>
    <row r="2716">
      <c r="A2716" s="4" t="inlineStr">
        <is>
          <t>01/07/2015</t>
        </is>
      </c>
      <c r="B2716" s="31" t="n">
        <v>51.48</v>
      </c>
    </row>
    <row r="2717">
      <c r="A2717" s="4" t="inlineStr">
        <is>
          <t>02/07/2015</t>
        </is>
      </c>
      <c r="B2717" s="31" t="n">
        <v>51.4</v>
      </c>
    </row>
    <row r="2718">
      <c r="A2718" s="4" t="inlineStr">
        <is>
          <t>03/07/2015</t>
        </is>
      </c>
      <c r="B2718" s="31" t="n">
        <v>51.58</v>
      </c>
    </row>
    <row r="2719">
      <c r="A2719" s="4" t="inlineStr">
        <is>
          <t>06/07/2015</t>
        </is>
      </c>
      <c r="B2719" s="31" t="n">
        <v>51.26</v>
      </c>
    </row>
    <row r="2720">
      <c r="A2720" s="4" t="inlineStr">
        <is>
          <t>07/07/2015</t>
        </is>
      </c>
      <c r="B2720" s="31" t="n">
        <v>51.64</v>
      </c>
    </row>
    <row r="2721">
      <c r="A2721" s="4" t="inlineStr">
        <is>
          <t>08/07/2015</t>
        </is>
      </c>
      <c r="B2721" s="31" t="n">
        <v>52.09</v>
      </c>
    </row>
    <row r="2722">
      <c r="A2722" s="4" t="inlineStr">
        <is>
          <t>09/07/2015</t>
        </is>
      </c>
      <c r="B2722" s="31" t="n">
        <v>52.25</v>
      </c>
    </row>
    <row r="2723">
      <c r="A2723" s="4" t="inlineStr">
        <is>
          <t>10/07/2015</t>
        </is>
      </c>
      <c r="B2723" s="31" t="n">
        <v>52.65</v>
      </c>
    </row>
    <row r="2724">
      <c r="A2724" s="4" t="inlineStr">
        <is>
          <t>13/07/2015</t>
        </is>
      </c>
      <c r="B2724" s="31" t="n">
        <v>51.78</v>
      </c>
    </row>
    <row r="2725">
      <c r="A2725" s="4" t="inlineStr">
        <is>
          <t>14/07/2015</t>
        </is>
      </c>
      <c r="B2725" s="31" t="n">
        <v>53.6</v>
      </c>
    </row>
    <row r="2726">
      <c r="A2726" s="4" t="inlineStr">
        <is>
          <t>15/07/2015</t>
        </is>
      </c>
      <c r="B2726" s="31" t="n">
        <v>53.72</v>
      </c>
    </row>
    <row r="2727">
      <c r="A2727" s="4" t="inlineStr">
        <is>
          <t>16/07/2015</t>
        </is>
      </c>
      <c r="B2727" s="31" t="n">
        <v>53.28</v>
      </c>
    </row>
    <row r="2728">
      <c r="A2728" s="4" t="inlineStr">
        <is>
          <t>17/07/2015</t>
        </is>
      </c>
      <c r="B2728" s="31" t="n">
        <v>53.64</v>
      </c>
    </row>
    <row r="2729">
      <c r="A2729" s="4" t="inlineStr">
        <is>
          <t>20/07/2015</t>
        </is>
      </c>
      <c r="B2729" s="31" t="n">
        <v>53.5</v>
      </c>
    </row>
    <row r="2730">
      <c r="A2730" s="4" t="inlineStr">
        <is>
          <t>21/07/2015</t>
        </is>
      </c>
      <c r="B2730" s="31" t="n">
        <v>54.15</v>
      </c>
    </row>
    <row r="2731">
      <c r="A2731" s="4" t="inlineStr">
        <is>
          <t>22/07/2015</t>
        </is>
      </c>
      <c r="B2731" s="31" t="n">
        <v>53.1</v>
      </c>
    </row>
    <row r="2732">
      <c r="A2732" s="4" t="inlineStr">
        <is>
          <t>23/07/2015</t>
        </is>
      </c>
      <c r="B2732" s="31" t="n">
        <v>52.89</v>
      </c>
    </row>
    <row r="2733">
      <c r="A2733" s="4" t="inlineStr">
        <is>
          <t>24/07/2015</t>
        </is>
      </c>
      <c r="B2733" s="31" t="n">
        <v>53.04</v>
      </c>
    </row>
    <row r="2734">
      <c r="A2734" s="4" t="inlineStr">
        <is>
          <t>27/07/2015</t>
        </is>
      </c>
      <c r="B2734" s="31" t="n">
        <v>52.41</v>
      </c>
    </row>
    <row r="2735">
      <c r="A2735" s="4" t="inlineStr">
        <is>
          <t>28/07/2015</t>
        </is>
      </c>
      <c r="B2735" s="31" t="n">
        <v>52.17</v>
      </c>
    </row>
    <row r="2736">
      <c r="A2736" s="4" t="inlineStr">
        <is>
          <t>29/07/2015</t>
        </is>
      </c>
      <c r="B2736" s="31" t="n">
        <v>52.47</v>
      </c>
    </row>
    <row r="2737">
      <c r="A2737" s="4" t="inlineStr">
        <is>
          <t>30/07/2015</t>
        </is>
      </c>
      <c r="B2737" s="31" t="n">
        <v>52.31</v>
      </c>
    </row>
    <row r="2738">
      <c r="A2738" s="4" t="inlineStr">
        <is>
          <t>31/07/2015</t>
        </is>
      </c>
      <c r="B2738" s="31" t="n">
        <v>52.43</v>
      </c>
    </row>
    <row r="2739">
      <c r="A2739" s="4" t="inlineStr">
        <is>
          <t>03/08/2015</t>
        </is>
      </c>
      <c r="B2739" s="31" t="n">
        <v>52.75</v>
      </c>
    </row>
    <row r="2740">
      <c r="A2740" s="4" t="inlineStr">
        <is>
          <t>04/08/2015</t>
        </is>
      </c>
      <c r="B2740" s="31" t="n">
        <v>53.39</v>
      </c>
    </row>
    <row r="2741">
      <c r="A2741" s="4" t="inlineStr">
        <is>
          <t>05/08/2015</t>
        </is>
      </c>
      <c r="B2741" s="31" t="n">
        <v>53.59</v>
      </c>
    </row>
    <row r="2742">
      <c r="A2742" s="4" t="inlineStr">
        <is>
          <t>06/08/2015</t>
        </is>
      </c>
      <c r="B2742" s="31" t="n">
        <v>54.6</v>
      </c>
    </row>
    <row r="2743">
      <c r="A2743" s="4" t="inlineStr">
        <is>
          <t>07/08/2015</t>
        </is>
      </c>
      <c r="B2743" s="31" t="n">
        <v>55.65</v>
      </c>
    </row>
    <row r="2744">
      <c r="A2744" s="4" t="inlineStr">
        <is>
          <t>10/08/2015</t>
        </is>
      </c>
      <c r="B2744" s="31" t="n">
        <v>55.57</v>
      </c>
    </row>
    <row r="2745">
      <c r="A2745" s="4" t="inlineStr">
        <is>
          <t>11/08/2015</t>
        </is>
      </c>
      <c r="B2745" s="31" t="n">
        <v>56.17</v>
      </c>
    </row>
    <row r="2746">
      <c r="A2746" s="4" t="inlineStr">
        <is>
          <t>12/08/2015</t>
        </is>
      </c>
      <c r="B2746" s="31" t="n">
        <v>55.61</v>
      </c>
    </row>
    <row r="2747">
      <c r="A2747" s="4" t="inlineStr">
        <is>
          <t>13/08/2015</t>
        </is>
      </c>
      <c r="B2747" s="31" t="n">
        <v>55.71</v>
      </c>
    </row>
    <row r="2748">
      <c r="A2748" s="4" t="inlineStr">
        <is>
          <t>14/08/2015</t>
        </is>
      </c>
      <c r="B2748" s="31" t="n">
        <v>55.21</v>
      </c>
    </row>
    <row r="2749">
      <c r="A2749" s="4" t="inlineStr">
        <is>
          <t>17/08/2015</t>
        </is>
      </c>
      <c r="B2749" s="31" t="n">
        <v>55.23</v>
      </c>
    </row>
    <row r="2750">
      <c r="A2750" s="4" t="inlineStr">
        <is>
          <t>18/08/2015</t>
        </is>
      </c>
      <c r="B2750" s="31" t="n">
        <v>54.62</v>
      </c>
    </row>
    <row r="2751">
      <c r="A2751" s="4" t="inlineStr">
        <is>
          <t>19/08/2015</t>
        </is>
      </c>
      <c r="B2751" s="31" t="n">
        <v>55.13</v>
      </c>
    </row>
    <row r="2752">
      <c r="A2752" s="4" t="inlineStr">
        <is>
          <t>20/08/2015</t>
        </is>
      </c>
      <c r="B2752" s="31" t="n">
        <v>55.45</v>
      </c>
    </row>
    <row r="2753">
      <c r="A2753" s="4" t="inlineStr">
        <is>
          <t>21/08/2015</t>
        </is>
      </c>
      <c r="B2753" s="31" t="n">
        <v>55.21</v>
      </c>
    </row>
    <row r="2754">
      <c r="A2754" s="4" t="inlineStr">
        <is>
          <t>24/08/2015</t>
        </is>
      </c>
      <c r="B2754" s="31" t="n">
        <v>55.65</v>
      </c>
    </row>
    <row r="2755">
      <c r="A2755" s="4" t="inlineStr">
        <is>
          <t>25/08/2015</t>
        </is>
      </c>
      <c r="B2755" s="31" t="n">
        <v>55.83</v>
      </c>
    </row>
    <row r="2756">
      <c r="A2756" s="4" t="inlineStr">
        <is>
          <t>26/08/2015</t>
        </is>
      </c>
      <c r="B2756" s="31" t="n">
        <v>55.75</v>
      </c>
    </row>
    <row r="2757">
      <c r="A2757" s="4" t="inlineStr">
        <is>
          <t>27/08/2015</t>
        </is>
      </c>
      <c r="B2757" s="31" t="n">
        <v>56.15</v>
      </c>
    </row>
    <row r="2758">
      <c r="A2758" s="4" t="inlineStr">
        <is>
          <t>28/08/2015</t>
        </is>
      </c>
      <c r="B2758" s="31" t="n">
        <v>56.28</v>
      </c>
    </row>
    <row r="2759">
      <c r="A2759" s="4" t="inlineStr">
        <is>
          <t>31/08/2015</t>
        </is>
      </c>
      <c r="B2759" s="31" t="n">
        <v>56.78</v>
      </c>
    </row>
    <row r="2760">
      <c r="A2760" s="4" t="inlineStr">
        <is>
          <t>01/09/2015</t>
        </is>
      </c>
      <c r="B2760" s="31" t="n">
        <v>57.3</v>
      </c>
    </row>
    <row r="2761">
      <c r="A2761" s="4" t="inlineStr">
        <is>
          <t>02/09/2015</t>
        </is>
      </c>
      <c r="B2761" s="31" t="n">
        <v>58.02</v>
      </c>
    </row>
    <row r="2762">
      <c r="A2762" s="4" t="inlineStr">
        <is>
          <t>03/09/2015</t>
        </is>
      </c>
      <c r="B2762" s="31" t="n">
        <v>58.32</v>
      </c>
    </row>
    <row r="2763">
      <c r="A2763" s="4" t="inlineStr">
        <is>
          <t>04/09/2015</t>
        </is>
      </c>
      <c r="B2763" s="31" t="n">
        <v>59.02</v>
      </c>
    </row>
    <row r="2764">
      <c r="A2764" s="4" t="inlineStr">
        <is>
          <t>08/09/2015</t>
        </is>
      </c>
      <c r="B2764" s="31" t="n">
        <v>59.14</v>
      </c>
    </row>
    <row r="2765">
      <c r="A2765" s="4" t="inlineStr">
        <is>
          <t>09/09/2015</t>
        </is>
      </c>
      <c r="B2765" s="31" t="n">
        <v>59.14</v>
      </c>
    </row>
    <row r="2766">
      <c r="A2766" s="4" t="inlineStr">
        <is>
          <t>10/09/2015</t>
        </is>
      </c>
      <c r="B2766" s="31" t="n">
        <v>59.82</v>
      </c>
    </row>
    <row r="2767">
      <c r="A2767" s="4" t="inlineStr">
        <is>
          <t>11/09/2015</t>
        </is>
      </c>
      <c r="B2767" s="31" t="n">
        <v>60.44</v>
      </c>
    </row>
    <row r="2768">
      <c r="A2768" s="4" t="inlineStr">
        <is>
          <t>14/09/2015</t>
        </is>
      </c>
      <c r="B2768" s="31" t="n">
        <v>61.14</v>
      </c>
    </row>
    <row r="2769">
      <c r="A2769" s="4" t="inlineStr">
        <is>
          <t>15/09/2015</t>
        </is>
      </c>
      <c r="B2769" s="31" t="n">
        <v>61.9</v>
      </c>
    </row>
    <row r="2770">
      <c r="A2770" s="4" t="inlineStr">
        <is>
          <t>16/09/2015</t>
        </is>
      </c>
      <c r="B2770" s="31" t="n">
        <v>62.64</v>
      </c>
    </row>
    <row r="2771">
      <c r="A2771" s="4" t="inlineStr">
        <is>
          <t>17/09/2015</t>
        </is>
      </c>
      <c r="B2771" s="31" t="n">
        <v>62.76</v>
      </c>
    </row>
    <row r="2772">
      <c r="A2772" s="4" t="inlineStr">
        <is>
          <t>18/09/2015</t>
        </is>
      </c>
      <c r="B2772" s="31" t="n">
        <v>62.72</v>
      </c>
    </row>
    <row r="2773">
      <c r="A2773" s="4" t="inlineStr">
        <is>
          <t>21/09/2015</t>
        </is>
      </c>
      <c r="B2773" s="31" t="n">
        <v>62.68</v>
      </c>
    </row>
    <row r="2774">
      <c r="A2774" s="4" t="inlineStr">
        <is>
          <t>22/09/2015</t>
        </is>
      </c>
      <c r="B2774" s="31" t="n">
        <v>63.38</v>
      </c>
    </row>
    <row r="2775">
      <c r="A2775" s="4" t="inlineStr">
        <is>
          <t>23/09/2015</t>
        </is>
      </c>
      <c r="B2775" s="31" t="n">
        <v>63.87</v>
      </c>
    </row>
    <row r="2776">
      <c r="A2776" s="4" t="inlineStr">
        <is>
          <t>24/09/2015</t>
        </is>
      </c>
      <c r="B2776" s="31" t="n">
        <v>65.15000000000001</v>
      </c>
    </row>
    <row r="2777">
      <c r="A2777" s="4" t="inlineStr">
        <is>
          <t>25/09/2015</t>
        </is>
      </c>
      <c r="B2777" s="31" t="n">
        <v>64.93000000000001</v>
      </c>
    </row>
    <row r="2778">
      <c r="A2778" s="4" t="inlineStr">
        <is>
          <t>28/09/2015</t>
        </is>
      </c>
      <c r="B2778" s="31" t="n">
        <v>65.83</v>
      </c>
    </row>
    <row r="2779">
      <c r="A2779" s="4" t="inlineStr">
        <is>
          <t>29/09/2015</t>
        </is>
      </c>
      <c r="B2779" s="31" t="n">
        <v>66.29000000000001</v>
      </c>
    </row>
    <row r="2780">
      <c r="A2780" s="4" t="inlineStr">
        <is>
          <t>30/09/2015</t>
        </is>
      </c>
      <c r="B2780" s="31" t="n">
        <v>67.29000000000001</v>
      </c>
    </row>
    <row r="2781">
      <c r="A2781" s="4" t="inlineStr">
        <is>
          <t>01/10/2015</t>
        </is>
      </c>
      <c r="B2781" s="31" t="n">
        <v>65.70999999999999</v>
      </c>
    </row>
    <row r="2782">
      <c r="A2782" s="4" t="inlineStr">
        <is>
          <t>02/10/2015</t>
        </is>
      </c>
      <c r="B2782" s="31" t="n">
        <v>65.39</v>
      </c>
    </row>
    <row r="2783">
      <c r="A2783" s="4" t="inlineStr">
        <is>
          <t>05/10/2015</t>
        </is>
      </c>
      <c r="B2783" s="31" t="n">
        <v>65.53</v>
      </c>
    </row>
    <row r="2784">
      <c r="A2784" s="4" t="inlineStr">
        <is>
          <t>06/10/2015</t>
        </is>
      </c>
      <c r="B2784" s="31" t="n">
        <v>65.09999999999999</v>
      </c>
    </row>
    <row r="2785">
      <c r="A2785" s="4" t="inlineStr">
        <is>
          <t>07/10/2015</t>
        </is>
      </c>
      <c r="B2785" s="31" t="n">
        <v>64.73</v>
      </c>
    </row>
    <row r="2786">
      <c r="A2786" s="4" t="inlineStr">
        <is>
          <t>08/10/2015</t>
        </is>
      </c>
      <c r="B2786" s="31" t="n">
        <v>64.22</v>
      </c>
    </row>
    <row r="2787">
      <c r="A2787" s="4" t="inlineStr">
        <is>
          <t>09/10/2015</t>
        </is>
      </c>
      <c r="B2787" s="31" t="n">
        <v>63.43</v>
      </c>
    </row>
    <row r="2788">
      <c r="A2788" s="4" t="inlineStr">
        <is>
          <t>13/10/2015</t>
        </is>
      </c>
      <c r="B2788" s="31" t="n">
        <v>63.36</v>
      </c>
    </row>
    <row r="2789">
      <c r="A2789" s="4" t="inlineStr">
        <is>
          <t>14/10/2015</t>
        </is>
      </c>
      <c r="B2789" s="31" t="n">
        <v>63.34</v>
      </c>
    </row>
    <row r="2790">
      <c r="A2790" s="4" t="inlineStr">
        <is>
          <t>15/10/2015</t>
        </is>
      </c>
      <c r="B2790" s="31" t="n">
        <v>63.06</v>
      </c>
    </row>
    <row r="2791">
      <c r="A2791" s="4" t="inlineStr">
        <is>
          <t>16/10/2015</t>
        </is>
      </c>
      <c r="B2791" s="31" t="n">
        <v>62.89</v>
      </c>
    </row>
    <row r="2792">
      <c r="A2792" s="4" t="inlineStr">
        <is>
          <t>19/10/2015</t>
        </is>
      </c>
      <c r="B2792" s="31" t="n">
        <v>62.98</v>
      </c>
    </row>
    <row r="2793">
      <c r="A2793" s="4" t="inlineStr">
        <is>
          <t>20/10/2015</t>
        </is>
      </c>
      <c r="B2793" s="31" t="n">
        <v>63.12</v>
      </c>
    </row>
    <row r="2794">
      <c r="A2794" s="4" t="inlineStr">
        <is>
          <t>21/10/2015</t>
        </is>
      </c>
      <c r="B2794" s="31" t="n">
        <v>63.77</v>
      </c>
    </row>
    <row r="2795">
      <c r="A2795" s="4" t="inlineStr">
        <is>
          <t>22/10/2015</t>
        </is>
      </c>
      <c r="B2795" s="31" t="n">
        <v>64.22</v>
      </c>
    </row>
    <row r="2796">
      <c r="A2796" s="4" t="inlineStr">
        <is>
          <t>23/10/2015</t>
        </is>
      </c>
      <c r="B2796" s="31" t="n">
        <v>64.41</v>
      </c>
    </row>
    <row r="2797">
      <c r="A2797" s="4" t="inlineStr">
        <is>
          <t>26/10/2015</t>
        </is>
      </c>
      <c r="B2797" s="31" t="n">
        <v>64.38</v>
      </c>
    </row>
    <row r="2798">
      <c r="A2798" s="4" t="inlineStr">
        <is>
          <t>27/10/2015</t>
        </is>
      </c>
      <c r="B2798" s="31" t="n">
        <v>64.77</v>
      </c>
    </row>
    <row r="2799">
      <c r="A2799" s="4" t="inlineStr">
        <is>
          <t>28/10/2015</t>
        </is>
      </c>
      <c r="B2799" s="31" t="n">
        <v>64.75</v>
      </c>
    </row>
    <row r="2800">
      <c r="A2800" s="4" t="inlineStr">
        <is>
          <t>29/10/2015</t>
        </is>
      </c>
      <c r="B2800" s="31" t="n">
        <v>65.56999999999999</v>
      </c>
    </row>
    <row r="2801">
      <c r="A2801" s="4" t="inlineStr">
        <is>
          <t>30/10/2015</t>
        </is>
      </c>
      <c r="B2801" s="31" t="n">
        <v>66.59</v>
      </c>
    </row>
    <row r="2802">
      <c r="A2802" s="4" t="inlineStr">
        <is>
          <t>03/11/2015</t>
        </is>
      </c>
      <c r="B2802" s="31" t="n">
        <v>65.05</v>
      </c>
    </row>
    <row r="2803">
      <c r="A2803" s="4" t="inlineStr">
        <is>
          <t>04/11/2015</t>
        </is>
      </c>
      <c r="B2803" s="31" t="n">
        <v>65.03</v>
      </c>
    </row>
    <row r="2804">
      <c r="A2804" s="4" t="inlineStr">
        <is>
          <t>05/11/2015</t>
        </is>
      </c>
      <c r="B2804" s="31" t="n">
        <v>64.86</v>
      </c>
    </row>
    <row r="2805">
      <c r="A2805" s="4" t="inlineStr">
        <is>
          <t>06/11/2015</t>
        </is>
      </c>
      <c r="B2805" s="31" t="n">
        <v>65.20999999999999</v>
      </c>
    </row>
    <row r="2806">
      <c r="A2806" s="4" t="inlineStr">
        <is>
          <t>09/11/2015</t>
        </is>
      </c>
      <c r="B2806" s="31" t="n">
        <v>65.31999999999999</v>
      </c>
    </row>
    <row r="2807">
      <c r="A2807" s="4" t="inlineStr">
        <is>
          <t>10/11/2015</t>
        </is>
      </c>
      <c r="B2807" s="31" t="n">
        <v>65.61</v>
      </c>
    </row>
    <row r="2808">
      <c r="A2808" s="4" t="inlineStr">
        <is>
          <t>11/11/2015</t>
        </is>
      </c>
      <c r="B2808" s="31" t="n">
        <v>65.31999999999999</v>
      </c>
    </row>
    <row r="2809">
      <c r="A2809" s="4" t="inlineStr">
        <is>
          <t>12/11/2015</t>
        </is>
      </c>
      <c r="B2809" s="31" t="n">
        <v>65.63</v>
      </c>
    </row>
    <row r="2810">
      <c r="A2810" s="4" t="inlineStr">
        <is>
          <t>13/11/2015</t>
        </is>
      </c>
      <c r="B2810" s="31" t="n">
        <v>65.3</v>
      </c>
    </row>
    <row r="2811">
      <c r="A2811" s="4" t="inlineStr">
        <is>
          <t>16/11/2015</t>
        </is>
      </c>
      <c r="B2811" s="31" t="n">
        <v>65.01000000000001</v>
      </c>
    </row>
    <row r="2812">
      <c r="A2812" s="4" t="inlineStr">
        <is>
          <t>17/11/2015</t>
        </is>
      </c>
      <c r="B2812" s="31" t="n">
        <v>64.3</v>
      </c>
    </row>
    <row r="2813">
      <c r="A2813" s="4" t="inlineStr">
        <is>
          <t>18/11/2015</t>
        </is>
      </c>
      <c r="B2813" s="31" t="n">
        <v>64.26000000000001</v>
      </c>
    </row>
    <row r="2814">
      <c r="A2814" s="4" t="inlineStr">
        <is>
          <t>19/11/2015</t>
        </is>
      </c>
      <c r="B2814" s="31" t="n">
        <v>64.40000000000001</v>
      </c>
    </row>
    <row r="2815">
      <c r="A2815" s="4" t="inlineStr">
        <is>
          <t>20/11/2015</t>
        </is>
      </c>
      <c r="B2815" s="31" t="n">
        <v>64.72</v>
      </c>
    </row>
    <row r="2816">
      <c r="A2816" s="4" t="inlineStr">
        <is>
          <t>23/11/2015</t>
        </is>
      </c>
      <c r="B2816" s="31" t="n">
        <v>64.59</v>
      </c>
    </row>
    <row r="2817">
      <c r="A2817" s="4" t="inlineStr">
        <is>
          <t>24/11/2015</t>
        </is>
      </c>
      <c r="B2817" s="31" t="n">
        <v>64.84</v>
      </c>
    </row>
    <row r="2818">
      <c r="A2818" s="4" t="inlineStr">
        <is>
          <t>25/11/2015</t>
        </is>
      </c>
      <c r="B2818" s="31" t="n">
        <v>64.45</v>
      </c>
    </row>
    <row r="2819">
      <c r="A2819" s="4" t="inlineStr">
        <is>
          <t>26/11/2015</t>
        </is>
      </c>
      <c r="B2819" s="31" t="n">
        <v>63.99</v>
      </c>
    </row>
    <row r="2820">
      <c r="A2820" s="4" t="inlineStr">
        <is>
          <t>27/11/2015</t>
        </is>
      </c>
      <c r="B2820" s="31" t="n">
        <v>64.18000000000001</v>
      </c>
    </row>
    <row r="2821">
      <c r="A2821" s="4" t="inlineStr">
        <is>
          <t>30/11/2015</t>
        </is>
      </c>
      <c r="B2821" s="31" t="n">
        <v>64.2</v>
      </c>
    </row>
    <row r="2822">
      <c r="A2822" s="4" t="inlineStr">
        <is>
          <t>01/12/2015</t>
        </is>
      </c>
      <c r="B2822" s="31" t="n">
        <v>64.98999999999999</v>
      </c>
    </row>
    <row r="2823">
      <c r="A2823" s="4" t="inlineStr">
        <is>
          <t>02/12/2015</t>
        </is>
      </c>
      <c r="B2823" s="31" t="n">
        <v>64.98999999999999</v>
      </c>
    </row>
    <row r="2824">
      <c r="A2824" s="4" t="inlineStr">
        <is>
          <t>03/12/2015</t>
        </is>
      </c>
      <c r="B2824" s="31" t="n">
        <v>65.64</v>
      </c>
    </row>
    <row r="2825">
      <c r="A2825" s="4" t="inlineStr">
        <is>
          <t>04/12/2015</t>
        </is>
      </c>
      <c r="B2825" s="31" t="n">
        <v>65.5</v>
      </c>
    </row>
    <row r="2826">
      <c r="A2826" s="4" t="inlineStr">
        <is>
          <t>07/12/2015</t>
        </is>
      </c>
      <c r="B2826" s="31" t="n">
        <v>65.18000000000001</v>
      </c>
    </row>
    <row r="2827">
      <c r="A2827" s="4" t="inlineStr">
        <is>
          <t>08/12/2015</t>
        </is>
      </c>
      <c r="B2827" s="31" t="n">
        <v>67.09999999999999</v>
      </c>
    </row>
    <row r="2828">
      <c r="A2828" s="4" t="inlineStr">
        <is>
          <t>09/12/2015</t>
        </is>
      </c>
      <c r="B2828" s="31" t="n">
        <v>66.83</v>
      </c>
    </row>
    <row r="2829">
      <c r="A2829" s="4" t="inlineStr">
        <is>
          <t>10/12/2015</t>
        </is>
      </c>
      <c r="B2829" s="31" t="n">
        <v>67.45999999999999</v>
      </c>
    </row>
    <row r="2830">
      <c r="A2830" s="4" t="inlineStr">
        <is>
          <t>11/12/2015</t>
        </is>
      </c>
      <c r="B2830" s="31" t="n">
        <v>68.09999999999999</v>
      </c>
    </row>
    <row r="2831">
      <c r="A2831" s="4" t="inlineStr">
        <is>
          <t>14/12/2015</t>
        </is>
      </c>
      <c r="B2831" s="31" t="n">
        <v>68.41</v>
      </c>
    </row>
    <row r="2832">
      <c r="A2832" s="4" t="inlineStr">
        <is>
          <t>15/12/2015</t>
        </is>
      </c>
      <c r="B2832" s="31" t="n">
        <v>68.29000000000001</v>
      </c>
    </row>
    <row r="2833">
      <c r="A2833" s="4" t="inlineStr">
        <is>
          <t>16/12/2015</t>
        </is>
      </c>
      <c r="B2833" s="31" t="n">
        <v>68.52</v>
      </c>
    </row>
    <row r="2834">
      <c r="A2834" s="4" t="inlineStr">
        <is>
          <t>17/12/2015</t>
        </is>
      </c>
      <c r="B2834" s="31" t="n">
        <v>68.54000000000001</v>
      </c>
    </row>
    <row r="2835">
      <c r="A2835" s="4" t="inlineStr">
        <is>
          <t>18/12/2015</t>
        </is>
      </c>
      <c r="B2835" s="31" t="n">
        <v>68.70999999999999</v>
      </c>
    </row>
    <row r="2836">
      <c r="A2836" s="4" t="inlineStr">
        <is>
          <t>21/12/2015</t>
        </is>
      </c>
      <c r="B2836" s="31" t="n">
        <v>69.45999999999999</v>
      </c>
    </row>
    <row r="2837">
      <c r="A2837" s="4" t="inlineStr">
        <is>
          <t>22/12/2015</t>
        </is>
      </c>
      <c r="B2837" s="31" t="n">
        <v>69.62</v>
      </c>
    </row>
    <row r="2838">
      <c r="A2838" s="4" t="inlineStr">
        <is>
          <t>23/12/2015</t>
        </is>
      </c>
      <c r="B2838" s="31" t="n">
        <v>69.67</v>
      </c>
    </row>
    <row r="2839">
      <c r="A2839" s="4" t="inlineStr">
        <is>
          <t>28/12/2015</t>
        </is>
      </c>
      <c r="B2839" s="31" t="n">
        <v>69.73</v>
      </c>
    </row>
    <row r="2840">
      <c r="A2840" s="4" t="inlineStr">
        <is>
          <t>29/12/2015</t>
        </is>
      </c>
      <c r="B2840" s="31" t="n">
        <v>70.23</v>
      </c>
    </row>
    <row r="2841">
      <c r="A2841" s="4" t="inlineStr">
        <is>
          <t>30/12/2015</t>
        </is>
      </c>
      <c r="B2841" s="31" t="n">
        <v>70.77</v>
      </c>
    </row>
    <row r="2842">
      <c r="A2842" s="4" t="inlineStr">
        <is>
          <t>04/01/2016</t>
        </is>
      </c>
      <c r="B2842" s="31" t="n">
        <v>70.88</v>
      </c>
    </row>
    <row r="2843">
      <c r="A2843" s="4" t="inlineStr">
        <is>
          <t>05/01/2016</t>
        </is>
      </c>
      <c r="B2843" s="31" t="n">
        <v>71.06999999999999</v>
      </c>
    </row>
    <row r="2844">
      <c r="A2844" s="4" t="inlineStr">
        <is>
          <t>06/01/2016</t>
        </is>
      </c>
      <c r="B2844" s="31" t="n">
        <v>72.95</v>
      </c>
    </row>
    <row r="2845">
      <c r="A2845" s="4" t="inlineStr">
        <is>
          <t>07/01/2016</t>
        </is>
      </c>
      <c r="B2845" s="31" t="n">
        <v>73.68000000000001</v>
      </c>
    </row>
    <row r="2846">
      <c r="A2846" s="4" t="inlineStr">
        <is>
          <t>08/01/2016</t>
        </is>
      </c>
      <c r="B2846" s="31" t="n">
        <v>75.06</v>
      </c>
    </row>
    <row r="2847">
      <c r="A2847" s="4" t="inlineStr">
        <is>
          <t>11/01/2016</t>
        </is>
      </c>
      <c r="B2847" s="31" t="n">
        <v>76.7</v>
      </c>
    </row>
    <row r="2848">
      <c r="A2848" s="4" t="inlineStr">
        <is>
          <t>12/01/2016</t>
        </is>
      </c>
      <c r="B2848" s="31" t="n">
        <v>79.3</v>
      </c>
    </row>
    <row r="2849">
      <c r="A2849" s="4" t="inlineStr">
        <is>
          <t>13/01/2016</t>
        </is>
      </c>
      <c r="B2849" s="31" t="n">
        <v>80.93000000000001</v>
      </c>
    </row>
    <row r="2850">
      <c r="A2850" s="4" t="inlineStr">
        <is>
          <t>14/01/2016</t>
        </is>
      </c>
      <c r="B2850" s="31" t="n">
        <v>82.53</v>
      </c>
    </row>
    <row r="2851">
      <c r="A2851" s="4" t="inlineStr">
        <is>
          <t>15/01/2016</t>
        </is>
      </c>
      <c r="B2851" s="31" t="n">
        <v>82.38</v>
      </c>
    </row>
    <row r="2852">
      <c r="A2852" s="4" t="inlineStr">
        <is>
          <t>18/01/2016</t>
        </is>
      </c>
      <c r="B2852" s="31" t="n">
        <v>82.23</v>
      </c>
    </row>
    <row r="2853">
      <c r="A2853" s="4" t="inlineStr">
        <is>
          <t>19/01/2016</t>
        </is>
      </c>
      <c r="B2853" s="31" t="n">
        <v>82.09</v>
      </c>
    </row>
    <row r="2854">
      <c r="A2854" s="4" t="inlineStr">
        <is>
          <t>20/01/2016</t>
        </is>
      </c>
      <c r="B2854" s="31" t="n">
        <v>82.28</v>
      </c>
    </row>
    <row r="2855">
      <c r="A2855" s="4" t="inlineStr">
        <is>
          <t>21/01/2016</t>
        </is>
      </c>
      <c r="B2855" s="31" t="n">
        <v>82.56999999999999</v>
      </c>
    </row>
    <row r="2856">
      <c r="A2856" s="4" t="inlineStr">
        <is>
          <t>22/01/2016</t>
        </is>
      </c>
      <c r="B2856" s="31" t="n">
        <v>82.20999999999999</v>
      </c>
    </row>
    <row r="2857">
      <c r="A2857" s="4" t="inlineStr">
        <is>
          <t>25/01/2016</t>
        </is>
      </c>
      <c r="B2857" s="31" t="n">
        <v>81.39</v>
      </c>
    </row>
    <row r="2858">
      <c r="A2858" s="4" t="inlineStr">
        <is>
          <t>26/01/2016</t>
        </is>
      </c>
      <c r="B2858" s="31" t="n">
        <v>81.54000000000001</v>
      </c>
    </row>
    <row r="2859">
      <c r="A2859" s="4" t="inlineStr">
        <is>
          <t>27/01/2016</t>
        </is>
      </c>
      <c r="B2859" s="31" t="n">
        <v>81.41</v>
      </c>
    </row>
    <row r="2860">
      <c r="A2860" s="4" t="inlineStr">
        <is>
          <t>28/01/2016</t>
        </is>
      </c>
      <c r="B2860" s="31" t="n">
        <v>81.14</v>
      </c>
    </row>
    <row r="2861">
      <c r="A2861" s="4" t="inlineStr">
        <is>
          <t>29/01/2016</t>
        </is>
      </c>
      <c r="B2861" s="31" t="n">
        <v>80.31</v>
      </c>
    </row>
    <row r="2862">
      <c r="A2862" s="4" t="inlineStr">
        <is>
          <t>01/02/2016</t>
        </is>
      </c>
      <c r="B2862" s="31" t="n">
        <v>79.79000000000001</v>
      </c>
    </row>
    <row r="2863">
      <c r="A2863" s="4" t="inlineStr">
        <is>
          <t>02/02/2016</t>
        </is>
      </c>
      <c r="B2863" s="31" t="n">
        <v>79.43000000000001</v>
      </c>
    </row>
    <row r="2864">
      <c r="A2864" s="4" t="inlineStr">
        <is>
          <t>03/02/2016</t>
        </is>
      </c>
      <c r="B2864" s="31" t="n">
        <v>79.98</v>
      </c>
    </row>
    <row r="2865">
      <c r="A2865" s="4" t="inlineStr">
        <is>
          <t>04/02/2016</t>
        </is>
      </c>
      <c r="B2865" s="31" t="n">
        <v>79.7</v>
      </c>
    </row>
    <row r="2866">
      <c r="A2866" s="4" t="inlineStr">
        <is>
          <t>05/02/2016</t>
        </is>
      </c>
      <c r="B2866" s="31" t="n">
        <v>79.40000000000001</v>
      </c>
    </row>
    <row r="2867">
      <c r="A2867" s="4" t="inlineStr">
        <is>
          <t>10/02/2016</t>
        </is>
      </c>
      <c r="B2867" s="31" t="n">
        <v>80.05</v>
      </c>
    </row>
    <row r="2868">
      <c r="A2868" s="4" t="inlineStr">
        <is>
          <t>11/02/2016</t>
        </is>
      </c>
      <c r="B2868" s="31" t="n">
        <v>80.34999999999999</v>
      </c>
    </row>
    <row r="2869">
      <c r="A2869" s="4" t="inlineStr">
        <is>
          <t>12/02/2016</t>
        </is>
      </c>
      <c r="B2869" s="31" t="n">
        <v>80.52</v>
      </c>
    </row>
    <row r="2870">
      <c r="A2870" s="4" t="inlineStr">
        <is>
          <t>15/02/2016</t>
        </is>
      </c>
      <c r="B2870" s="31" t="n">
        <v>80.56</v>
      </c>
    </row>
    <row r="2871">
      <c r="A2871" s="4" t="inlineStr">
        <is>
          <t>16/02/2016</t>
        </is>
      </c>
      <c r="B2871" s="31" t="n">
        <v>80.59999999999999</v>
      </c>
    </row>
    <row r="2872">
      <c r="A2872" s="4" t="inlineStr">
        <is>
          <t>17/02/2016</t>
        </is>
      </c>
      <c r="B2872" s="31" t="n">
        <v>80.39</v>
      </c>
    </row>
    <row r="2873">
      <c r="A2873" s="4" t="inlineStr">
        <is>
          <t>18/02/2016</t>
        </is>
      </c>
      <c r="B2873" s="31" t="n">
        <v>80.58</v>
      </c>
    </row>
    <row r="2874">
      <c r="A2874" s="4" t="inlineStr">
        <is>
          <t>19/02/2016</t>
        </is>
      </c>
      <c r="B2874" s="31" t="n">
        <v>81.14</v>
      </c>
    </row>
    <row r="2875">
      <c r="A2875" s="4" t="inlineStr">
        <is>
          <t>22/02/2016</t>
        </is>
      </c>
      <c r="B2875" s="31" t="n">
        <v>80.75</v>
      </c>
    </row>
    <row r="2876">
      <c r="A2876" s="4" t="inlineStr">
        <is>
          <t>23/02/2016</t>
        </is>
      </c>
      <c r="B2876" s="31" t="n">
        <v>81.03</v>
      </c>
    </row>
    <row r="2877">
      <c r="A2877" s="4" t="inlineStr">
        <is>
          <t>24/02/2016</t>
        </is>
      </c>
      <c r="B2877" s="31" t="n">
        <v>81.65000000000001</v>
      </c>
    </row>
    <row r="2878">
      <c r="A2878" s="4" t="inlineStr">
        <is>
          <t>25/02/2016</t>
        </is>
      </c>
      <c r="B2878" s="31" t="n">
        <v>82</v>
      </c>
    </row>
    <row r="2879">
      <c r="A2879" s="4" t="inlineStr">
        <is>
          <t>26/02/2016</t>
        </is>
      </c>
      <c r="B2879" s="31" t="n">
        <v>82.02</v>
      </c>
    </row>
    <row r="2880">
      <c r="A2880" s="4" t="inlineStr">
        <is>
          <t>29/02/2016</t>
        </is>
      </c>
      <c r="B2880" s="31" t="n">
        <v>81.84</v>
      </c>
    </row>
    <row r="2881">
      <c r="A2881" s="4" t="inlineStr">
        <is>
          <t>01/03/2016</t>
        </is>
      </c>
      <c r="B2881" s="31" t="n">
        <v>82.45999999999999</v>
      </c>
    </row>
    <row r="2882">
      <c r="A2882" s="4" t="inlineStr">
        <is>
          <t>02/03/2016</t>
        </is>
      </c>
      <c r="B2882" s="31" t="n">
        <v>83.40000000000001</v>
      </c>
    </row>
    <row r="2883">
      <c r="A2883" s="4" t="inlineStr">
        <is>
          <t>03/03/2016</t>
        </is>
      </c>
      <c r="B2883" s="31" t="n">
        <v>84</v>
      </c>
    </row>
    <row r="2884">
      <c r="A2884" s="4" t="inlineStr">
        <is>
          <t>04/03/2016</t>
        </is>
      </c>
      <c r="B2884" s="31" t="n">
        <v>83.81</v>
      </c>
    </row>
    <row r="2885">
      <c r="A2885" s="4" t="inlineStr">
        <is>
          <t>07/03/2016</t>
        </is>
      </c>
      <c r="B2885" s="31" t="n">
        <v>84.34999999999999</v>
      </c>
    </row>
    <row r="2886">
      <c r="A2886" s="4" t="inlineStr">
        <is>
          <t>08/03/2016</t>
        </is>
      </c>
      <c r="B2886" s="31" t="n">
        <v>85.62</v>
      </c>
    </row>
    <row r="2887">
      <c r="A2887" s="4" t="inlineStr">
        <is>
          <t>09/03/2016</t>
        </is>
      </c>
      <c r="B2887" s="31" t="n">
        <v>86.5</v>
      </c>
    </row>
    <row r="2888">
      <c r="A2888" s="4" t="inlineStr">
        <is>
          <t>10/03/2016</t>
        </is>
      </c>
      <c r="B2888" s="31" t="n">
        <v>89.03</v>
      </c>
    </row>
    <row r="2889">
      <c r="A2889" s="4" t="inlineStr">
        <is>
          <t>11/03/2016</t>
        </is>
      </c>
      <c r="B2889" s="31" t="n">
        <v>88.62</v>
      </c>
    </row>
    <row r="2890">
      <c r="A2890" s="4" t="inlineStr">
        <is>
          <t>14/03/2016</t>
        </is>
      </c>
      <c r="B2890" s="31" t="n">
        <v>89.3</v>
      </c>
    </row>
    <row r="2891">
      <c r="A2891" s="4" t="inlineStr">
        <is>
          <t>15/03/2016</t>
        </is>
      </c>
      <c r="B2891" s="31" t="n">
        <v>90.51000000000001</v>
      </c>
    </row>
    <row r="2892">
      <c r="A2892" s="4" t="inlineStr">
        <is>
          <t>16/03/2016</t>
        </is>
      </c>
      <c r="B2892" s="31" t="n">
        <v>91.01000000000001</v>
      </c>
    </row>
    <row r="2893">
      <c r="A2893" s="4" t="inlineStr">
        <is>
          <t>17/03/2016</t>
        </is>
      </c>
      <c r="B2893" s="31" t="n">
        <v>90.88</v>
      </c>
    </row>
    <row r="2894">
      <c r="A2894" s="4" t="inlineStr">
        <is>
          <t>18/03/2016</t>
        </is>
      </c>
      <c r="B2894" s="31" t="n">
        <v>91.34999999999999</v>
      </c>
    </row>
    <row r="2895">
      <c r="A2895" s="4" t="inlineStr">
        <is>
          <t>21/03/2016</t>
        </is>
      </c>
      <c r="B2895" s="31" t="n">
        <v>91.63</v>
      </c>
    </row>
    <row r="2896">
      <c r="A2896" s="4" t="inlineStr">
        <is>
          <t>22/03/2016</t>
        </is>
      </c>
      <c r="B2896" s="31" t="n">
        <v>92.93000000000001</v>
      </c>
    </row>
    <row r="2897">
      <c r="A2897" s="4" t="inlineStr">
        <is>
          <t>23/03/2016</t>
        </is>
      </c>
      <c r="B2897" s="31" t="n">
        <v>92.84</v>
      </c>
    </row>
    <row r="2898">
      <c r="A2898" s="4" t="inlineStr">
        <is>
          <t>24/03/2016</t>
        </is>
      </c>
      <c r="B2898" s="31" t="n">
        <v>92.3</v>
      </c>
    </row>
    <row r="2899">
      <c r="A2899" s="4" t="inlineStr">
        <is>
          <t>28/03/2016</t>
        </is>
      </c>
      <c r="B2899" s="31" t="n">
        <v>93.03</v>
      </c>
    </row>
    <row r="2900">
      <c r="A2900" s="4" t="inlineStr">
        <is>
          <t>29/03/2016</t>
        </is>
      </c>
      <c r="B2900" s="31" t="n">
        <v>93.03</v>
      </c>
    </row>
    <row r="2901">
      <c r="A2901" s="4" t="inlineStr">
        <is>
          <t>30/03/2016</t>
        </is>
      </c>
      <c r="B2901" s="31" t="n">
        <v>92.56</v>
      </c>
    </row>
    <row r="2902">
      <c r="A2902" s="4" t="inlineStr">
        <is>
          <t>31/03/2016</t>
        </is>
      </c>
      <c r="B2902" s="31" t="n">
        <v>92.70999999999999</v>
      </c>
    </row>
    <row r="2903">
      <c r="A2903" s="4" t="inlineStr">
        <is>
          <t>01/04/2016</t>
        </is>
      </c>
      <c r="B2903" s="31" t="n">
        <v>92.83</v>
      </c>
    </row>
    <row r="2904">
      <c r="A2904" s="4" t="inlineStr">
        <is>
          <t>04/04/2016</t>
        </is>
      </c>
      <c r="B2904" s="31" t="n">
        <v>92.13</v>
      </c>
    </row>
    <row r="2905">
      <c r="A2905" s="4" t="inlineStr">
        <is>
          <t>05/04/2016</t>
        </is>
      </c>
      <c r="B2905" s="31" t="n">
        <v>91.77</v>
      </c>
    </row>
    <row r="2906">
      <c r="A2906" s="4" t="inlineStr">
        <is>
          <t>06/04/2016</t>
        </is>
      </c>
      <c r="B2906" s="31" t="n">
        <v>91.79000000000001</v>
      </c>
    </row>
    <row r="2907">
      <c r="A2907" s="4" t="inlineStr">
        <is>
          <t>07/04/2016</t>
        </is>
      </c>
      <c r="B2907" s="31" t="n">
        <v>91.75</v>
      </c>
    </row>
    <row r="2908">
      <c r="A2908" s="4" t="inlineStr">
        <is>
          <t>08/04/2016</t>
        </is>
      </c>
      <c r="B2908" s="31" t="n">
        <v>91.88</v>
      </c>
    </row>
    <row r="2909">
      <c r="A2909" s="4" t="inlineStr">
        <is>
          <t>11/04/2016</t>
        </is>
      </c>
      <c r="B2909" s="31" t="n">
        <v>91.05</v>
      </c>
    </row>
    <row r="2910">
      <c r="A2910" s="4" t="inlineStr">
        <is>
          <t>12/04/2016</t>
        </is>
      </c>
      <c r="B2910" s="31" t="n">
        <v>91.09999999999999</v>
      </c>
    </row>
    <row r="2911">
      <c r="A2911" s="4" t="inlineStr">
        <is>
          <t>13/04/2016</t>
        </is>
      </c>
      <c r="B2911" s="31" t="n">
        <v>91.08</v>
      </c>
    </row>
    <row r="2912">
      <c r="A2912" s="4" t="inlineStr">
        <is>
          <t>14/04/2016</t>
        </is>
      </c>
      <c r="B2912" s="31" t="n">
        <v>90.45</v>
      </c>
    </row>
    <row r="2913">
      <c r="A2913" s="4" t="inlineStr">
        <is>
          <t>15/04/2016</t>
        </is>
      </c>
      <c r="B2913" s="31" t="n">
        <v>89.78</v>
      </c>
    </row>
    <row r="2914">
      <c r="A2914" s="4" t="inlineStr">
        <is>
          <t>18/04/2016</t>
        </is>
      </c>
      <c r="B2914" s="31" t="n">
        <v>90.20999999999999</v>
      </c>
    </row>
    <row r="2915">
      <c r="A2915" s="4" t="inlineStr">
        <is>
          <t>19/04/2016</t>
        </is>
      </c>
      <c r="B2915" s="31" t="n">
        <v>90.62</v>
      </c>
    </row>
    <row r="2916">
      <c r="A2916" s="4" t="inlineStr">
        <is>
          <t>20/04/2016</t>
        </is>
      </c>
      <c r="B2916" s="31" t="n">
        <v>90.41</v>
      </c>
    </row>
    <row r="2917">
      <c r="A2917" s="4" t="inlineStr">
        <is>
          <t>22/04/2016</t>
        </is>
      </c>
      <c r="B2917" s="31" t="n">
        <v>90.77</v>
      </c>
    </row>
    <row r="2918">
      <c r="A2918" s="4" t="inlineStr">
        <is>
          <t>25/04/2016</t>
        </is>
      </c>
      <c r="B2918" s="31" t="n">
        <v>89.97</v>
      </c>
    </row>
    <row r="2919">
      <c r="A2919" s="4" t="inlineStr">
        <is>
          <t>26/04/2016</t>
        </is>
      </c>
      <c r="B2919" s="31" t="n">
        <v>90.81</v>
      </c>
    </row>
    <row r="2920">
      <c r="A2920" s="4" t="inlineStr">
        <is>
          <t>27/04/2016</t>
        </is>
      </c>
      <c r="B2920" s="31" t="n">
        <v>90.28</v>
      </c>
    </row>
    <row r="2921">
      <c r="A2921" s="4" t="inlineStr">
        <is>
          <t>28/04/2016</t>
        </is>
      </c>
      <c r="B2921" s="31" t="n">
        <v>90.58</v>
      </c>
    </row>
    <row r="2922">
      <c r="A2922" s="4" t="inlineStr">
        <is>
          <t>29/04/2016</t>
        </is>
      </c>
      <c r="B2922" s="31" t="n">
        <v>90.48999999999999</v>
      </c>
    </row>
    <row r="2923">
      <c r="A2923" s="4" t="inlineStr">
        <is>
          <t>02/05/2016</t>
        </is>
      </c>
      <c r="B2923" s="31" t="n">
        <v>90.77</v>
      </c>
    </row>
    <row r="2924">
      <c r="A2924" s="4" t="inlineStr">
        <is>
          <t>03/05/2016</t>
        </is>
      </c>
      <c r="B2924" s="31" t="n">
        <v>91.12</v>
      </c>
    </row>
    <row r="2925">
      <c r="A2925" s="4" t="inlineStr">
        <is>
          <t>04/05/2016</t>
        </is>
      </c>
      <c r="B2925" s="31" t="n">
        <v>91.23</v>
      </c>
    </row>
    <row r="2926">
      <c r="A2926" s="4" t="inlineStr">
        <is>
          <t>05/05/2016</t>
        </is>
      </c>
      <c r="B2926" s="31" t="n">
        <v>91.65000000000001</v>
      </c>
    </row>
    <row r="2927">
      <c r="A2927" s="4" t="inlineStr">
        <is>
          <t>06/05/2016</t>
        </is>
      </c>
      <c r="B2927" s="31" t="n">
        <v>92.26000000000001</v>
      </c>
    </row>
    <row r="2928">
      <c r="A2928" s="4" t="inlineStr">
        <is>
          <t>09/05/2016</t>
        </is>
      </c>
      <c r="B2928" s="31" t="n">
        <v>92.19</v>
      </c>
    </row>
    <row r="2929">
      <c r="A2929" s="4" t="inlineStr">
        <is>
          <t>10/05/2016</t>
        </is>
      </c>
      <c r="B2929" s="31" t="n">
        <v>92.31999999999999</v>
      </c>
    </row>
    <row r="2930">
      <c r="A2930" s="4" t="inlineStr">
        <is>
          <t>11/05/2016</t>
        </is>
      </c>
      <c r="B2930" s="31" t="n">
        <v>93.04000000000001</v>
      </c>
    </row>
    <row r="2931">
      <c r="A2931" s="4" t="inlineStr">
        <is>
          <t>12/05/2016</t>
        </is>
      </c>
      <c r="B2931" s="31" t="n">
        <v>94.14</v>
      </c>
    </row>
    <row r="2932">
      <c r="A2932" s="4" t="inlineStr">
        <is>
          <t>13/05/2016</t>
        </is>
      </c>
      <c r="B2932" s="31" t="n">
        <v>95.38</v>
      </c>
    </row>
    <row r="2933">
      <c r="A2933" s="4" t="inlineStr">
        <is>
          <t>16/05/2016</t>
        </is>
      </c>
      <c r="B2933" s="31" t="n">
        <v>95.09999999999999</v>
      </c>
    </row>
    <row r="2934">
      <c r="A2934" s="4" t="inlineStr">
        <is>
          <t>17/05/2016</t>
        </is>
      </c>
      <c r="B2934" s="31" t="n">
        <v>95.58</v>
      </c>
    </row>
    <row r="2935">
      <c r="A2935" s="4" t="inlineStr">
        <is>
          <t>18/05/2016</t>
        </is>
      </c>
      <c r="B2935" s="31" t="n">
        <v>97.45</v>
      </c>
    </row>
    <row r="2936">
      <c r="A2936" s="4" t="inlineStr">
        <is>
          <t>19/05/2016</t>
        </is>
      </c>
      <c r="B2936" s="31" t="n">
        <v>97.39</v>
      </c>
    </row>
    <row r="2937">
      <c r="A2937" s="4" t="inlineStr">
        <is>
          <t>20/05/2016</t>
        </is>
      </c>
      <c r="B2937" s="31" t="n">
        <v>97.61</v>
      </c>
    </row>
    <row r="2938">
      <c r="A2938" s="4" t="inlineStr">
        <is>
          <t>23/05/2016</t>
        </is>
      </c>
      <c r="B2938" s="31" t="n">
        <v>97.43000000000001</v>
      </c>
    </row>
    <row r="2939">
      <c r="A2939" s="4" t="inlineStr">
        <is>
          <t>24/05/2016</t>
        </is>
      </c>
      <c r="B2939" s="31" t="n">
        <v>97.81999999999999</v>
      </c>
    </row>
    <row r="2940">
      <c r="A2940" s="4" t="inlineStr">
        <is>
          <t>25/05/2016</t>
        </is>
      </c>
      <c r="B2940" s="31" t="n">
        <v>97.91</v>
      </c>
    </row>
    <row r="2941">
      <c r="A2941" s="4" t="inlineStr">
        <is>
          <t>27/05/2016</t>
        </is>
      </c>
      <c r="B2941" s="31" t="n">
        <v>97.72</v>
      </c>
    </row>
    <row r="2942">
      <c r="A2942" s="4" t="inlineStr">
        <is>
          <t>30/05/2016</t>
        </is>
      </c>
      <c r="B2942" s="31" t="n">
        <v>98.26000000000001</v>
      </c>
    </row>
    <row r="2943">
      <c r="A2943" s="4" t="inlineStr">
        <is>
          <t>31/05/2016</t>
        </is>
      </c>
      <c r="B2943" s="31" t="n">
        <v>98.06</v>
      </c>
    </row>
    <row r="2944">
      <c r="A2944" s="4" t="inlineStr">
        <is>
          <t>01/06/2016</t>
        </is>
      </c>
      <c r="B2944" s="31" t="n">
        <v>96.53</v>
      </c>
    </row>
    <row r="2945">
      <c r="A2945" s="4" t="inlineStr">
        <is>
          <t>02/06/2016</t>
        </is>
      </c>
      <c r="B2945" s="31" t="n">
        <v>97.8</v>
      </c>
    </row>
    <row r="2946">
      <c r="A2946" s="4" t="inlineStr">
        <is>
          <t>03/06/2016</t>
        </is>
      </c>
      <c r="B2946" s="31" t="n">
        <v>97.62</v>
      </c>
    </row>
    <row r="2947">
      <c r="A2947" s="4" t="inlineStr">
        <is>
          <t>06/06/2016</t>
        </is>
      </c>
      <c r="B2947" s="31" t="n">
        <v>96.53</v>
      </c>
    </row>
    <row r="2948">
      <c r="A2948" s="4" t="inlineStr">
        <is>
          <t>07/06/2016</t>
        </is>
      </c>
      <c r="B2948" s="31" t="n">
        <v>96.63</v>
      </c>
    </row>
    <row r="2949">
      <c r="A2949" s="4" t="inlineStr">
        <is>
          <t>08/06/2016</t>
        </is>
      </c>
      <c r="B2949" s="31" t="n">
        <v>96.84</v>
      </c>
    </row>
    <row r="2950">
      <c r="A2950" s="4" t="inlineStr">
        <is>
          <t>09/06/2016</t>
        </is>
      </c>
      <c r="B2950" s="31" t="n">
        <v>97.17</v>
      </c>
    </row>
    <row r="2951">
      <c r="A2951" s="4" t="inlineStr">
        <is>
          <t>10/06/2016</t>
        </is>
      </c>
      <c r="B2951" s="31" t="n">
        <v>96.81999999999999</v>
      </c>
    </row>
    <row r="2952">
      <c r="A2952" s="4" t="inlineStr">
        <is>
          <t>13/06/2016</t>
        </is>
      </c>
      <c r="B2952" s="31" t="n">
        <v>96.68000000000001</v>
      </c>
    </row>
    <row r="2953">
      <c r="A2953" s="4" t="inlineStr">
        <is>
          <t>14/06/2016</t>
        </is>
      </c>
      <c r="B2953" s="31" t="n">
        <v>95.79000000000001</v>
      </c>
    </row>
    <row r="2954">
      <c r="A2954" s="4" t="inlineStr">
        <is>
          <t>15/06/2016</t>
        </is>
      </c>
      <c r="B2954" s="31" t="n">
        <v>94.41</v>
      </c>
    </row>
    <row r="2955">
      <c r="A2955" s="4" t="inlineStr">
        <is>
          <t>16/06/2016</t>
        </is>
      </c>
      <c r="B2955" s="31" t="n">
        <v>94.25</v>
      </c>
    </row>
    <row r="2956">
      <c r="A2956" s="4" t="inlineStr">
        <is>
          <t>17/06/2016</t>
        </is>
      </c>
      <c r="B2956" s="31" t="n">
        <v>91.84</v>
      </c>
    </row>
    <row r="2957">
      <c r="A2957" s="4" t="inlineStr">
        <is>
          <t>20/06/2016</t>
        </is>
      </c>
      <c r="B2957" s="31" t="n">
        <v>87.81</v>
      </c>
    </row>
    <row r="2958">
      <c r="A2958" s="4" t="inlineStr">
        <is>
          <t>21/06/2016</t>
        </is>
      </c>
      <c r="B2958" s="31" t="n">
        <v>83.54000000000001</v>
      </c>
    </row>
    <row r="2959">
      <c r="A2959" s="4" t="inlineStr">
        <is>
          <t>22/06/2016</t>
        </is>
      </c>
      <c r="B2959" s="31" t="n">
        <v>80.68000000000001</v>
      </c>
    </row>
    <row r="2960">
      <c r="A2960" s="4" t="inlineStr">
        <is>
          <t>23/06/2016</t>
        </is>
      </c>
      <c r="B2960" s="31" t="n">
        <v>78.37</v>
      </c>
    </row>
    <row r="2961">
      <c r="A2961" s="4" t="inlineStr">
        <is>
          <t>24/06/2016</t>
        </is>
      </c>
      <c r="B2961" s="31" t="n">
        <v>77.36</v>
      </c>
    </row>
    <row r="2962">
      <c r="A2962" s="4" t="inlineStr">
        <is>
          <t>27/06/2016</t>
        </is>
      </c>
      <c r="B2962" s="31" t="n">
        <v>77.36</v>
      </c>
    </row>
    <row r="2963">
      <c r="A2963" s="4" t="inlineStr">
        <is>
          <t>28/06/2016</t>
        </is>
      </c>
      <c r="B2963" s="31" t="n">
        <v>76.56</v>
      </c>
    </row>
    <row r="2964">
      <c r="A2964" s="4" t="inlineStr">
        <is>
          <t>29/06/2016</t>
        </is>
      </c>
      <c r="B2964" s="31" t="n">
        <v>75.04000000000001</v>
      </c>
    </row>
    <row r="2965">
      <c r="A2965" s="4" t="inlineStr">
        <is>
          <t>30/06/2016</t>
        </is>
      </c>
      <c r="B2965" s="31" t="n">
        <v>74.89</v>
      </c>
    </row>
    <row r="2966">
      <c r="A2966" s="4" t="inlineStr">
        <is>
          <t>01/07/2016</t>
        </is>
      </c>
      <c r="B2966" s="31" t="n">
        <v>74.47</v>
      </c>
    </row>
    <row r="2967">
      <c r="A2967" s="4" t="inlineStr">
        <is>
          <t>04/07/2016</t>
        </is>
      </c>
      <c r="B2967" s="31" t="n">
        <v>75.26000000000001</v>
      </c>
    </row>
    <row r="2968">
      <c r="A2968" s="4" t="inlineStr">
        <is>
          <t>05/07/2016</t>
        </is>
      </c>
      <c r="B2968" s="31" t="n">
        <v>74.83</v>
      </c>
    </row>
    <row r="2969">
      <c r="A2969" s="4" t="inlineStr">
        <is>
          <t>06/07/2016</t>
        </is>
      </c>
      <c r="B2969" s="31" t="n">
        <v>74.47</v>
      </c>
    </row>
    <row r="2970">
      <c r="A2970" s="4" t="inlineStr">
        <is>
          <t>07/07/2016</t>
        </is>
      </c>
      <c r="B2970" s="31" t="n">
        <v>75.81</v>
      </c>
    </row>
    <row r="2971">
      <c r="A2971" s="4" t="inlineStr">
        <is>
          <t>08/07/2016</t>
        </is>
      </c>
      <c r="B2971" s="31" t="n">
        <v>75.43000000000001</v>
      </c>
    </row>
    <row r="2972">
      <c r="A2972" s="4" t="inlineStr">
        <is>
          <t>11/07/2016</t>
        </is>
      </c>
      <c r="B2972" s="31" t="n">
        <v>74.67</v>
      </c>
    </row>
    <row r="2973">
      <c r="A2973" s="4" t="inlineStr">
        <is>
          <t>12/07/2016</t>
        </is>
      </c>
      <c r="B2973" s="31" t="n">
        <v>75.55</v>
      </c>
    </row>
    <row r="2974">
      <c r="A2974" s="4" t="inlineStr">
        <is>
          <t>13/07/2016</t>
        </is>
      </c>
      <c r="B2974" s="31" t="n">
        <v>76.93000000000001</v>
      </c>
    </row>
    <row r="2975">
      <c r="A2975" s="4" t="inlineStr">
        <is>
          <t>14/07/2016</t>
        </is>
      </c>
      <c r="B2975" s="31" t="n">
        <v>78.25</v>
      </c>
    </row>
    <row r="2976">
      <c r="A2976" s="4" t="inlineStr">
        <is>
          <t>15/07/2016</t>
        </is>
      </c>
      <c r="B2976" s="31" t="n">
        <v>79.43000000000001</v>
      </c>
    </row>
    <row r="2977">
      <c r="A2977" s="4" t="inlineStr">
        <is>
          <t>18/07/2016</t>
        </is>
      </c>
      <c r="B2977" s="31" t="n">
        <v>81.44</v>
      </c>
    </row>
    <row r="2978">
      <c r="A2978" s="4" t="inlineStr">
        <is>
          <t>19/07/2016</t>
        </is>
      </c>
      <c r="B2978" s="31" t="n">
        <v>83.14</v>
      </c>
    </row>
    <row r="2979">
      <c r="A2979" s="4" t="inlineStr">
        <is>
          <t>20/07/2016</t>
        </is>
      </c>
      <c r="B2979" s="31" t="n">
        <v>84.63</v>
      </c>
    </row>
    <row r="2980">
      <c r="A2980" s="4" t="inlineStr">
        <is>
          <t>21/07/2016</t>
        </is>
      </c>
      <c r="B2980" s="31" t="n">
        <v>85.66</v>
      </c>
    </row>
    <row r="2981">
      <c r="A2981" s="4" t="inlineStr">
        <is>
          <t>22/07/2016</t>
        </is>
      </c>
      <c r="B2981" s="31" t="n">
        <v>85.81999999999999</v>
      </c>
    </row>
    <row r="2982">
      <c r="A2982" s="4" t="inlineStr">
        <is>
          <t>25/07/2016</t>
        </is>
      </c>
      <c r="B2982" s="31" t="n">
        <v>85.98</v>
      </c>
    </row>
    <row r="2983">
      <c r="A2983" s="4" t="inlineStr">
        <is>
          <t>26/07/2016</t>
        </is>
      </c>
      <c r="B2983" s="31" t="n">
        <v>87.02</v>
      </c>
    </row>
    <row r="2984">
      <c r="A2984" s="4" t="inlineStr">
        <is>
          <t>27/07/2016</t>
        </is>
      </c>
      <c r="B2984" s="31" t="n">
        <v>86.73</v>
      </c>
    </row>
    <row r="2985">
      <c r="A2985" s="4" t="inlineStr">
        <is>
          <t>28/07/2016</t>
        </is>
      </c>
      <c r="B2985" s="31" t="n">
        <v>86.64</v>
      </c>
    </row>
    <row r="2986">
      <c r="A2986" s="4" t="inlineStr">
        <is>
          <t>29/07/2016</t>
        </is>
      </c>
      <c r="B2986" s="31" t="n">
        <v>87.31</v>
      </c>
    </row>
    <row r="2987">
      <c r="A2987" s="4" t="inlineStr">
        <is>
          <t>01/08/2016</t>
        </is>
      </c>
      <c r="B2987" s="31" t="n">
        <v>87.79000000000001</v>
      </c>
    </row>
    <row r="2988">
      <c r="A2988" s="4" t="inlineStr">
        <is>
          <t>02/08/2016</t>
        </is>
      </c>
      <c r="B2988" s="31" t="n">
        <v>86.95999999999999</v>
      </c>
    </row>
    <row r="2989">
      <c r="A2989" s="4" t="inlineStr">
        <is>
          <t>03/08/2016</t>
        </is>
      </c>
      <c r="B2989" s="31" t="n">
        <v>85.64</v>
      </c>
    </row>
    <row r="2990">
      <c r="A2990" s="4" t="inlineStr">
        <is>
          <t>04/08/2016</t>
        </is>
      </c>
      <c r="B2990" s="31" t="n">
        <v>85.78</v>
      </c>
    </row>
    <row r="2991">
      <c r="A2991" s="4" t="inlineStr">
        <is>
          <t>05/08/2016</t>
        </is>
      </c>
      <c r="B2991" s="31" t="n">
        <v>85.13</v>
      </c>
    </row>
    <row r="2992">
      <c r="A2992" s="4" t="inlineStr">
        <is>
          <t>08/08/2016</t>
        </is>
      </c>
      <c r="B2992" s="31" t="n">
        <v>84.79000000000001</v>
      </c>
    </row>
    <row r="2993">
      <c r="A2993" s="4" t="inlineStr">
        <is>
          <t>09/08/2016</t>
        </is>
      </c>
      <c r="B2993" s="31" t="n">
        <v>84.19</v>
      </c>
    </row>
    <row r="2994">
      <c r="A2994" s="4" t="inlineStr">
        <is>
          <t>10/08/2016</t>
        </is>
      </c>
      <c r="B2994" s="31" t="n">
        <v>83.84999999999999</v>
      </c>
    </row>
    <row r="2995">
      <c r="A2995" s="4" t="inlineStr">
        <is>
          <t>11/08/2016</t>
        </is>
      </c>
      <c r="B2995" s="31" t="n">
        <v>83</v>
      </c>
    </row>
    <row r="2996">
      <c r="A2996" s="4" t="inlineStr">
        <is>
          <t>12/08/2016</t>
        </is>
      </c>
      <c r="B2996" s="31" t="n">
        <v>82.78</v>
      </c>
    </row>
    <row r="2997">
      <c r="A2997" s="4" t="inlineStr">
        <is>
          <t>15/08/2016</t>
        </is>
      </c>
      <c r="B2997" s="31" t="n">
        <v>82.15000000000001</v>
      </c>
    </row>
    <row r="2998">
      <c r="A2998" s="4" t="inlineStr">
        <is>
          <t>16/08/2016</t>
        </is>
      </c>
      <c r="B2998" s="31" t="n">
        <v>81.06</v>
      </c>
    </row>
    <row r="2999">
      <c r="A2999" s="4" t="inlineStr">
        <is>
          <t>17/08/2016</t>
        </is>
      </c>
      <c r="B2999" s="31" t="n">
        <v>81.33</v>
      </c>
    </row>
    <row r="3000">
      <c r="A3000" s="4" t="inlineStr">
        <is>
          <t>18/08/2016</t>
        </is>
      </c>
      <c r="B3000" s="31" t="n">
        <v>80.65000000000001</v>
      </c>
    </row>
    <row r="3001">
      <c r="A3001" s="4" t="inlineStr">
        <is>
          <t>19/08/2016</t>
        </is>
      </c>
      <c r="B3001" s="31" t="n">
        <v>80.7</v>
      </c>
    </row>
    <row r="3002">
      <c r="A3002" s="4" t="inlineStr">
        <is>
          <t>22/08/2016</t>
        </is>
      </c>
      <c r="B3002" s="31" t="n">
        <v>80.36</v>
      </c>
    </row>
    <row r="3003">
      <c r="A3003" s="4" t="inlineStr">
        <is>
          <t>23/08/2016</t>
        </is>
      </c>
      <c r="B3003" s="31" t="n">
        <v>80.61</v>
      </c>
    </row>
    <row r="3004">
      <c r="A3004" s="4" t="inlineStr">
        <is>
          <t>24/08/2016</t>
        </is>
      </c>
      <c r="B3004" s="31" t="n">
        <v>80.23</v>
      </c>
    </row>
    <row r="3005">
      <c r="A3005" s="4" t="inlineStr">
        <is>
          <t>25/08/2016</t>
        </is>
      </c>
      <c r="B3005" s="31" t="n">
        <v>80.25</v>
      </c>
    </row>
    <row r="3006">
      <c r="A3006" s="4" t="inlineStr">
        <is>
          <t>26/08/2016</t>
        </is>
      </c>
      <c r="B3006" s="31" t="n">
        <v>79.04000000000001</v>
      </c>
    </row>
    <row r="3007">
      <c r="A3007" s="4" t="inlineStr">
        <is>
          <t>29/08/2016</t>
        </is>
      </c>
      <c r="B3007" s="31" t="n">
        <v>78.33</v>
      </c>
    </row>
    <row r="3008">
      <c r="A3008" s="4" t="inlineStr">
        <is>
          <t>30/08/2016</t>
        </is>
      </c>
      <c r="B3008" s="31" t="n">
        <v>77.5</v>
      </c>
    </row>
    <row r="3009">
      <c r="A3009" s="4" t="inlineStr">
        <is>
          <t>31/08/2016</t>
        </is>
      </c>
      <c r="B3009" s="31" t="n">
        <v>77.23</v>
      </c>
    </row>
    <row r="3010">
      <c r="A3010" s="4" t="inlineStr">
        <is>
          <t>01/09/2016</t>
        </is>
      </c>
      <c r="B3010" s="31" t="n">
        <v>76.52</v>
      </c>
    </row>
    <row r="3011">
      <c r="A3011" s="4" t="inlineStr">
        <is>
          <t>02/09/2016</t>
        </is>
      </c>
      <c r="B3011" s="31" t="n">
        <v>77.53</v>
      </c>
    </row>
    <row r="3012">
      <c r="A3012" s="4" t="inlineStr">
        <is>
          <t>05/09/2016</t>
        </is>
      </c>
      <c r="B3012" s="31" t="n">
        <v>77.48999999999999</v>
      </c>
    </row>
    <row r="3013">
      <c r="A3013" s="4" t="inlineStr">
        <is>
          <t>06/09/2016</t>
        </is>
      </c>
      <c r="B3013" s="31" t="n">
        <v>77.17</v>
      </c>
    </row>
    <row r="3014">
      <c r="A3014" s="4" t="inlineStr">
        <is>
          <t>08/09/2016</t>
        </is>
      </c>
      <c r="B3014" s="31" t="n">
        <v>75.65000000000001</v>
      </c>
    </row>
    <row r="3015">
      <c r="A3015" s="4" t="inlineStr">
        <is>
          <t>09/09/2016</t>
        </is>
      </c>
      <c r="B3015" s="31" t="n">
        <v>76.05</v>
      </c>
    </row>
    <row r="3016">
      <c r="A3016" s="4" t="inlineStr">
        <is>
          <t>12/09/2016</t>
        </is>
      </c>
      <c r="B3016" s="31" t="n">
        <v>75.73999999999999</v>
      </c>
    </row>
    <row r="3017">
      <c r="A3017" s="4" t="inlineStr">
        <is>
          <t>13/09/2016</t>
        </is>
      </c>
      <c r="B3017" s="31" t="n">
        <v>76.06999999999999</v>
      </c>
    </row>
    <row r="3018">
      <c r="A3018" s="4" t="inlineStr">
        <is>
          <t>14/09/2016</t>
        </is>
      </c>
      <c r="B3018" s="31" t="n">
        <v>76.25</v>
      </c>
    </row>
    <row r="3019">
      <c r="A3019" s="4" t="inlineStr">
        <is>
          <t>15/09/2016</t>
        </is>
      </c>
      <c r="B3019" s="31" t="n">
        <v>76.79000000000001</v>
      </c>
    </row>
    <row r="3020">
      <c r="A3020" s="4" t="inlineStr">
        <is>
          <t>16/09/2016</t>
        </is>
      </c>
      <c r="B3020" s="31" t="n">
        <v>77.2</v>
      </c>
    </row>
    <row r="3021">
      <c r="A3021" s="4" t="inlineStr">
        <is>
          <t>19/09/2016</t>
        </is>
      </c>
      <c r="B3021" s="31" t="n">
        <v>76.34999999999999</v>
      </c>
    </row>
    <row r="3022">
      <c r="A3022" s="4" t="inlineStr">
        <is>
          <t>20/09/2016</t>
        </is>
      </c>
      <c r="B3022" s="31" t="n">
        <v>75.90000000000001</v>
      </c>
    </row>
    <row r="3023">
      <c r="A3023" s="4" t="inlineStr">
        <is>
          <t>21/09/2016</t>
        </is>
      </c>
      <c r="B3023" s="31" t="n">
        <v>75.73999999999999</v>
      </c>
    </row>
    <row r="3024">
      <c r="A3024" s="4" t="inlineStr">
        <is>
          <t>22/09/2016</t>
        </is>
      </c>
      <c r="B3024" s="31" t="n">
        <v>74.51000000000001</v>
      </c>
    </row>
    <row r="3025">
      <c r="A3025" s="4" t="inlineStr">
        <is>
          <t>23/09/2016</t>
        </is>
      </c>
      <c r="B3025" s="31" t="n">
        <v>73.92</v>
      </c>
    </row>
    <row r="3026">
      <c r="A3026" s="4" t="inlineStr">
        <is>
          <t>26/09/2016</t>
        </is>
      </c>
      <c r="B3026" s="31" t="n">
        <v>73.03</v>
      </c>
    </row>
    <row r="3027">
      <c r="A3027" s="4" t="inlineStr">
        <is>
          <t>27/09/2016</t>
        </is>
      </c>
      <c r="B3027" s="31" t="n">
        <v>73.58</v>
      </c>
    </row>
    <row r="3028">
      <c r="A3028" s="4" t="inlineStr">
        <is>
          <t>28/09/2016</t>
        </is>
      </c>
      <c r="B3028" s="31" t="n">
        <v>73.77</v>
      </c>
    </row>
    <row r="3029">
      <c r="A3029" s="4" t="inlineStr">
        <is>
          <t>29/09/2016</t>
        </is>
      </c>
      <c r="B3029" s="31" t="n">
        <v>74.17</v>
      </c>
    </row>
    <row r="3030">
      <c r="A3030" s="4" t="inlineStr">
        <is>
          <t>30/09/2016</t>
        </is>
      </c>
      <c r="B3030" s="31" t="n">
        <v>74.95</v>
      </c>
    </row>
    <row r="3031">
      <c r="A3031" s="4" t="inlineStr">
        <is>
          <t>03/10/2016</t>
        </is>
      </c>
      <c r="B3031" s="31" t="n">
        <v>75.48</v>
      </c>
    </row>
    <row r="3032">
      <c r="A3032" s="4" t="inlineStr">
        <is>
          <t>04/10/2016</t>
        </is>
      </c>
      <c r="B3032" s="31" t="n">
        <v>76.93000000000001</v>
      </c>
    </row>
    <row r="3033">
      <c r="A3033" s="4" t="inlineStr">
        <is>
          <t>05/10/2016</t>
        </is>
      </c>
      <c r="B3033" s="31" t="n">
        <v>77.91</v>
      </c>
    </row>
    <row r="3034">
      <c r="A3034" s="4" t="inlineStr">
        <is>
          <t>06/10/2016</t>
        </is>
      </c>
      <c r="B3034" s="31" t="n">
        <v>78.83</v>
      </c>
    </row>
    <row r="3035">
      <c r="A3035" s="4" t="inlineStr">
        <is>
          <t>07/10/2016</t>
        </is>
      </c>
      <c r="B3035" s="31" t="n">
        <v>78.63</v>
      </c>
    </row>
    <row r="3036">
      <c r="A3036" s="4" t="inlineStr">
        <is>
          <t>10/10/2016</t>
        </is>
      </c>
      <c r="B3036" s="31" t="n">
        <v>78.88</v>
      </c>
    </row>
    <row r="3037">
      <c r="A3037" s="4" t="inlineStr">
        <is>
          <t>11/10/2016</t>
        </is>
      </c>
      <c r="B3037" s="31" t="n">
        <v>78.75</v>
      </c>
    </row>
    <row r="3038">
      <c r="A3038" s="4" t="inlineStr">
        <is>
          <t>13/10/2016</t>
        </is>
      </c>
      <c r="B3038" s="31" t="n">
        <v>78.81</v>
      </c>
    </row>
    <row r="3039">
      <c r="A3039" s="4" t="inlineStr">
        <is>
          <t>14/10/2016</t>
        </is>
      </c>
      <c r="B3039" s="31" t="n">
        <v>78.34</v>
      </c>
    </row>
    <row r="3040">
      <c r="A3040" s="4" t="inlineStr">
        <is>
          <t>17/10/2016</t>
        </is>
      </c>
      <c r="B3040" s="31" t="n">
        <v>77.53</v>
      </c>
    </row>
    <row r="3041">
      <c r="A3041" s="4" t="inlineStr">
        <is>
          <t>18/10/2016</t>
        </is>
      </c>
      <c r="B3041" s="31" t="n">
        <v>76.7</v>
      </c>
    </row>
    <row r="3042">
      <c r="A3042" s="4" t="inlineStr">
        <is>
          <t>19/10/2016</t>
        </is>
      </c>
      <c r="B3042" s="31" t="n">
        <v>75.93000000000001</v>
      </c>
    </row>
    <row r="3043">
      <c r="A3043" s="4" t="inlineStr">
        <is>
          <t>20/10/2016</t>
        </is>
      </c>
      <c r="B3043" s="31" t="n">
        <v>75.19</v>
      </c>
    </row>
    <row r="3044">
      <c r="A3044" s="4" t="inlineStr">
        <is>
          <t>21/10/2016</t>
        </is>
      </c>
      <c r="B3044" s="31" t="n">
        <v>74.05</v>
      </c>
    </row>
    <row r="3045">
      <c r="A3045" s="4" t="inlineStr">
        <is>
          <t>24/10/2016</t>
        </is>
      </c>
      <c r="B3045" s="31" t="n">
        <v>72.79000000000001</v>
      </c>
    </row>
    <row r="3046">
      <c r="A3046" s="4" t="inlineStr">
        <is>
          <t>25/10/2016</t>
        </is>
      </c>
      <c r="B3046" s="31" t="n">
        <v>72.23</v>
      </c>
    </row>
    <row r="3047">
      <c r="A3047" s="4" t="inlineStr">
        <is>
          <t>26/10/2016</t>
        </is>
      </c>
      <c r="B3047" s="31" t="n">
        <v>72.03</v>
      </c>
    </row>
    <row r="3048">
      <c r="A3048" s="4" t="inlineStr">
        <is>
          <t>27/10/2016</t>
        </is>
      </c>
      <c r="B3048" s="31" t="n">
        <v>72.36</v>
      </c>
    </row>
    <row r="3049">
      <c r="A3049" s="4" t="inlineStr">
        <is>
          <t>28/10/2016</t>
        </is>
      </c>
      <c r="B3049" s="31" t="n">
        <v>72.65000000000001</v>
      </c>
    </row>
    <row r="3050">
      <c r="A3050" s="4" t="inlineStr">
        <is>
          <t>31/10/2016</t>
        </is>
      </c>
      <c r="B3050" s="31" t="n">
        <v>73.62</v>
      </c>
    </row>
    <row r="3051">
      <c r="A3051" s="4" t="inlineStr">
        <is>
          <t>01/11/2016</t>
        </is>
      </c>
      <c r="B3051" s="31" t="n">
        <v>73.59</v>
      </c>
    </row>
    <row r="3052">
      <c r="A3052" s="4" t="inlineStr">
        <is>
          <t>03/11/2016</t>
        </is>
      </c>
      <c r="B3052" s="31" t="n">
        <v>73.61</v>
      </c>
    </row>
    <row r="3053">
      <c r="A3053" s="4" t="inlineStr">
        <is>
          <t>04/11/2016</t>
        </is>
      </c>
      <c r="B3053" s="31" t="n">
        <v>73.19</v>
      </c>
    </row>
    <row r="3054">
      <c r="A3054" s="4" t="inlineStr">
        <is>
          <t>07/11/2016</t>
        </is>
      </c>
      <c r="B3054" s="31" t="n">
        <v>72.79000000000001</v>
      </c>
    </row>
    <row r="3055">
      <c r="A3055" s="4" t="inlineStr">
        <is>
          <t>08/11/2016</t>
        </is>
      </c>
      <c r="B3055" s="31" t="n">
        <v>71.84</v>
      </c>
    </row>
    <row r="3056">
      <c r="A3056" s="4" t="inlineStr">
        <is>
          <t>09/11/2016</t>
        </is>
      </c>
      <c r="B3056" s="31" t="n">
        <v>71.20999999999999</v>
      </c>
    </row>
    <row r="3057">
      <c r="A3057" s="4" t="inlineStr">
        <is>
          <t>10/11/2016</t>
        </is>
      </c>
      <c r="B3057" s="31" t="n">
        <v>70.51000000000001</v>
      </c>
    </row>
    <row r="3058">
      <c r="A3058" s="4" t="inlineStr">
        <is>
          <t>11/11/2016</t>
        </is>
      </c>
      <c r="B3058" s="31" t="n">
        <v>70.88</v>
      </c>
    </row>
    <row r="3059">
      <c r="A3059" s="4" t="inlineStr">
        <is>
          <t>14/11/2016</t>
        </is>
      </c>
      <c r="B3059" s="31" t="n">
        <v>71.23999999999999</v>
      </c>
    </row>
    <row r="3060">
      <c r="A3060" s="4" t="inlineStr">
        <is>
          <t>16/11/2016</t>
        </is>
      </c>
      <c r="B3060" s="31" t="n">
        <v>72.36</v>
      </c>
    </row>
    <row r="3061">
      <c r="A3061" s="4" t="inlineStr">
        <is>
          <t>17/11/2016</t>
        </is>
      </c>
      <c r="B3061" s="31" t="n">
        <v>71.59</v>
      </c>
    </row>
    <row r="3062">
      <c r="A3062" s="4" t="inlineStr">
        <is>
          <t>18/11/2016</t>
        </is>
      </c>
      <c r="B3062" s="31" t="n">
        <v>70.34</v>
      </c>
    </row>
    <row r="3063">
      <c r="A3063" s="4" t="inlineStr">
        <is>
          <t>21/11/2016</t>
        </is>
      </c>
      <c r="B3063" s="31" t="n">
        <v>68.36</v>
      </c>
    </row>
    <row r="3064">
      <c r="A3064" s="4" t="inlineStr">
        <is>
          <t>22/11/2016</t>
        </is>
      </c>
      <c r="B3064" s="31" t="n">
        <v>67.75</v>
      </c>
    </row>
    <row r="3065">
      <c r="A3065" s="4" t="inlineStr">
        <is>
          <t>23/11/2016</t>
        </is>
      </c>
      <c r="B3065" s="31" t="n">
        <v>67.51000000000001</v>
      </c>
    </row>
    <row r="3066">
      <c r="A3066" s="4" t="inlineStr">
        <is>
          <t>24/11/2016</t>
        </is>
      </c>
      <c r="B3066" s="31" t="n">
        <v>66.79000000000001</v>
      </c>
    </row>
    <row r="3067">
      <c r="A3067" s="4" t="inlineStr">
        <is>
          <t>25/11/2016</t>
        </is>
      </c>
      <c r="B3067" s="31" t="n">
        <v>66.04000000000001</v>
      </c>
    </row>
    <row r="3068">
      <c r="A3068" s="4" t="inlineStr">
        <is>
          <t>28/11/2016</t>
        </is>
      </c>
      <c r="B3068" s="31" t="n">
        <v>66.41</v>
      </c>
    </row>
    <row r="3069">
      <c r="A3069" s="4" t="inlineStr">
        <is>
          <t>29/11/2016</t>
        </is>
      </c>
      <c r="B3069" s="31" t="n">
        <v>65.66</v>
      </c>
    </row>
    <row r="3070">
      <c r="A3070" s="4" t="inlineStr">
        <is>
          <t>30/11/2016</t>
        </is>
      </c>
      <c r="B3070" s="31" t="n">
        <v>65.77</v>
      </c>
    </row>
    <row r="3071">
      <c r="A3071" s="4" t="inlineStr">
        <is>
          <t>01/12/2016</t>
        </is>
      </c>
      <c r="B3071" s="31" t="n">
        <v>65.5</v>
      </c>
    </row>
    <row r="3072">
      <c r="A3072" s="4" t="inlineStr">
        <is>
          <t>02/12/2016</t>
        </is>
      </c>
      <c r="B3072" s="31" t="n">
        <v>65.48</v>
      </c>
    </row>
    <row r="3073">
      <c r="A3073" s="4" t="inlineStr">
        <is>
          <t>05/12/2016</t>
        </is>
      </c>
      <c r="B3073" s="31" t="n">
        <v>65.95</v>
      </c>
    </row>
    <row r="3074">
      <c r="A3074" s="4" t="inlineStr">
        <is>
          <t>06/12/2016</t>
        </is>
      </c>
      <c r="B3074" s="31" t="n">
        <v>66.86</v>
      </c>
    </row>
    <row r="3075">
      <c r="A3075" s="4" t="inlineStr">
        <is>
          <t>07/12/2016</t>
        </is>
      </c>
      <c r="B3075" s="31" t="n">
        <v>67.19</v>
      </c>
    </row>
    <row r="3076">
      <c r="A3076" s="4" t="inlineStr">
        <is>
          <t>08/12/2016</t>
        </is>
      </c>
      <c r="B3076" s="31" t="n">
        <v>68.48</v>
      </c>
    </row>
    <row r="3077">
      <c r="A3077" s="4" t="inlineStr">
        <is>
          <t>09/12/2016</t>
        </is>
      </c>
      <c r="B3077" s="31" t="n">
        <v>67.95999999999999</v>
      </c>
    </row>
    <row r="3078">
      <c r="A3078" s="4" t="inlineStr">
        <is>
          <t>12/12/2016</t>
        </is>
      </c>
      <c r="B3078" s="31" t="n">
        <v>68.76000000000001</v>
      </c>
    </row>
    <row r="3079">
      <c r="A3079" s="4" t="inlineStr">
        <is>
          <t>13/12/2016</t>
        </is>
      </c>
      <c r="B3079" s="31" t="n">
        <v>70</v>
      </c>
    </row>
    <row r="3080">
      <c r="A3080" s="4" t="inlineStr">
        <is>
          <t>14/12/2016</t>
        </is>
      </c>
      <c r="B3080" s="31" t="n">
        <v>69.55</v>
      </c>
    </row>
    <row r="3081">
      <c r="A3081" s="4" t="inlineStr">
        <is>
          <t>15/12/2016</t>
        </is>
      </c>
      <c r="B3081" s="31" t="n">
        <v>69.25</v>
      </c>
    </row>
    <row r="3082">
      <c r="A3082" s="4" t="inlineStr">
        <is>
          <t>16/12/2016</t>
        </is>
      </c>
      <c r="B3082" s="31" t="n">
        <v>69.68000000000001</v>
      </c>
    </row>
    <row r="3083">
      <c r="A3083" s="4" t="inlineStr">
        <is>
          <t>19/12/2016</t>
        </is>
      </c>
      <c r="B3083" s="31" t="n">
        <v>70.56</v>
      </c>
    </row>
    <row r="3084">
      <c r="A3084" s="4" t="inlineStr">
        <is>
          <t>20/12/2016</t>
        </is>
      </c>
      <c r="B3084" s="31" t="n">
        <v>70.52</v>
      </c>
    </row>
    <row r="3085">
      <c r="A3085" s="4" t="inlineStr">
        <is>
          <t>21/12/2016</t>
        </is>
      </c>
      <c r="B3085" s="31" t="n">
        <v>69.63</v>
      </c>
    </row>
    <row r="3086">
      <c r="A3086" s="4" t="inlineStr">
        <is>
          <t>22/12/2016</t>
        </is>
      </c>
      <c r="B3086" s="31" t="n">
        <v>70.04000000000001</v>
      </c>
    </row>
    <row r="3087">
      <c r="A3087" s="4" t="inlineStr">
        <is>
          <t>23/12/2016</t>
        </is>
      </c>
      <c r="B3087" s="31" t="n">
        <v>69.55</v>
      </c>
    </row>
    <row r="3088">
      <c r="A3088" s="4" t="inlineStr">
        <is>
          <t>26/12/2016</t>
        </is>
      </c>
      <c r="B3088" s="31" t="n">
        <v>69.59</v>
      </c>
    </row>
    <row r="3089">
      <c r="A3089" s="4" t="inlineStr">
        <is>
          <t>27/12/2016</t>
        </is>
      </c>
      <c r="B3089" s="31" t="n">
        <v>69.55</v>
      </c>
    </row>
    <row r="3090">
      <c r="A3090" s="4" t="inlineStr">
        <is>
          <t>28/12/2016</t>
        </is>
      </c>
      <c r="B3090" s="31" t="n">
        <v>69.03</v>
      </c>
    </row>
    <row r="3091">
      <c r="A3091" s="4" t="inlineStr">
        <is>
          <t>29/12/2016</t>
        </is>
      </c>
      <c r="B3091" s="31" t="n">
        <v>68.42</v>
      </c>
    </row>
    <row r="3092">
      <c r="A3092" s="4" t="inlineStr">
        <is>
          <t>02/01/2017</t>
        </is>
      </c>
      <c r="B3092" s="31" t="n">
        <v>68.59</v>
      </c>
    </row>
    <row r="3093">
      <c r="A3093" s="4" t="inlineStr">
        <is>
          <t>03/01/2017</t>
        </is>
      </c>
      <c r="B3093" s="31" t="n">
        <v>67.58</v>
      </c>
    </row>
    <row r="3094">
      <c r="A3094" s="4" t="inlineStr">
        <is>
          <t>04/01/2017</t>
        </is>
      </c>
      <c r="B3094" s="31" t="n">
        <v>66.34999999999999</v>
      </c>
    </row>
    <row r="3095">
      <c r="A3095" s="4" t="inlineStr">
        <is>
          <t>05/01/2017</t>
        </is>
      </c>
      <c r="B3095" s="31" t="n">
        <v>65.73</v>
      </c>
    </row>
    <row r="3096">
      <c r="A3096" s="4" t="inlineStr">
        <is>
          <t>06/01/2017</t>
        </is>
      </c>
      <c r="B3096" s="31" t="n">
        <v>64.66</v>
      </c>
    </row>
    <row r="3097">
      <c r="A3097" s="4" t="inlineStr">
        <is>
          <t>09/01/2017</t>
        </is>
      </c>
      <c r="B3097" s="31" t="n">
        <v>63.68</v>
      </c>
    </row>
    <row r="3098">
      <c r="A3098" s="4" t="inlineStr">
        <is>
          <t>10/01/2017</t>
        </is>
      </c>
      <c r="B3098" s="31" t="n">
        <v>61.93</v>
      </c>
    </row>
    <row r="3099">
      <c r="A3099" s="4" t="inlineStr">
        <is>
          <t>11/01/2017</t>
        </is>
      </c>
      <c r="B3099" s="31" t="n">
        <v>61.27</v>
      </c>
    </row>
    <row r="3100">
      <c r="A3100" s="4" t="inlineStr">
        <is>
          <t>12/01/2017</t>
        </is>
      </c>
      <c r="B3100" s="31" t="n">
        <v>61.26</v>
      </c>
    </row>
    <row r="3101">
      <c r="A3101" s="4" t="inlineStr">
        <is>
          <t>13/01/2017</t>
        </is>
      </c>
      <c r="B3101" s="31" t="n">
        <v>60.86</v>
      </c>
    </row>
    <row r="3102">
      <c r="A3102" s="4" t="inlineStr">
        <is>
          <t>16/01/2017</t>
        </is>
      </c>
      <c r="B3102" s="31" t="n">
        <v>60.97</v>
      </c>
    </row>
    <row r="3103">
      <c r="A3103" s="4" t="inlineStr">
        <is>
          <t>17/01/2017</t>
        </is>
      </c>
      <c r="B3103" s="31" t="n">
        <v>61.49</v>
      </c>
    </row>
    <row r="3104">
      <c r="A3104" s="4" t="inlineStr">
        <is>
          <t>18/01/2017</t>
        </is>
      </c>
      <c r="B3104" s="31" t="n">
        <v>62.54</v>
      </c>
    </row>
    <row r="3105">
      <c r="A3105" s="4" t="inlineStr">
        <is>
          <t>19/01/2017</t>
        </is>
      </c>
      <c r="B3105" s="31" t="n">
        <v>62.43</v>
      </c>
    </row>
    <row r="3106">
      <c r="A3106" s="4" t="inlineStr">
        <is>
          <t>20/01/2017</t>
        </is>
      </c>
      <c r="B3106" s="31" t="n">
        <v>63.39</v>
      </c>
    </row>
    <row r="3107">
      <c r="A3107" s="4" t="inlineStr">
        <is>
          <t>23/01/2017</t>
        </is>
      </c>
      <c r="B3107" s="31" t="n">
        <v>64.70999999999999</v>
      </c>
    </row>
    <row r="3108">
      <c r="A3108" s="4" t="inlineStr">
        <is>
          <t>24/01/2017</t>
        </is>
      </c>
      <c r="B3108" s="31" t="n">
        <v>64.81999999999999</v>
      </c>
    </row>
    <row r="3109">
      <c r="A3109" s="4" t="inlineStr">
        <is>
          <t>25/01/2017</t>
        </is>
      </c>
      <c r="B3109" s="31" t="n">
        <v>65.01000000000001</v>
      </c>
    </row>
    <row r="3110">
      <c r="A3110" s="4" t="inlineStr">
        <is>
          <t>26/01/2017</t>
        </is>
      </c>
      <c r="B3110" s="31" t="n">
        <v>65.20999999999999</v>
      </c>
    </row>
    <row r="3111">
      <c r="A3111" s="4" t="inlineStr">
        <is>
          <t>27/01/2017</t>
        </is>
      </c>
      <c r="B3111" s="31" t="n">
        <v>65.3</v>
      </c>
    </row>
    <row r="3112">
      <c r="A3112" s="4" t="inlineStr">
        <is>
          <t>30/01/2017</t>
        </is>
      </c>
      <c r="B3112" s="31" t="n">
        <v>65.09999999999999</v>
      </c>
    </row>
    <row r="3113">
      <c r="A3113" s="4" t="inlineStr">
        <is>
          <t>31/01/2017</t>
        </is>
      </c>
      <c r="B3113" s="31" t="n">
        <v>64.84</v>
      </c>
    </row>
    <row r="3114">
      <c r="A3114" s="4" t="inlineStr">
        <is>
          <t>01/02/2017</t>
        </is>
      </c>
      <c r="B3114" s="31" t="n">
        <v>64.18000000000001</v>
      </c>
    </row>
    <row r="3115">
      <c r="A3115" s="4" t="inlineStr">
        <is>
          <t>02/02/2017</t>
        </is>
      </c>
      <c r="B3115" s="31" t="n">
        <v>63.97</v>
      </c>
    </row>
    <row r="3116">
      <c r="A3116" s="4" t="inlineStr">
        <is>
          <t>03/02/2017</t>
        </is>
      </c>
      <c r="B3116" s="31" t="n">
        <v>64.8</v>
      </c>
    </row>
    <row r="3117">
      <c r="A3117" s="4" t="inlineStr">
        <is>
          <t>06/02/2017</t>
        </is>
      </c>
      <c r="B3117" s="31" t="n">
        <v>64.68000000000001</v>
      </c>
    </row>
    <row r="3118">
      <c r="A3118" s="4" t="inlineStr">
        <is>
          <t>07/02/2017</t>
        </is>
      </c>
      <c r="B3118" s="31" t="n">
        <v>64.11</v>
      </c>
    </row>
    <row r="3119">
      <c r="A3119" s="4" t="inlineStr">
        <is>
          <t>08/02/2017</t>
        </is>
      </c>
      <c r="B3119" s="31" t="n">
        <v>64.73</v>
      </c>
    </row>
    <row r="3120">
      <c r="A3120" s="4" t="inlineStr">
        <is>
          <t>09/02/2017</t>
        </is>
      </c>
      <c r="B3120" s="31" t="n">
        <v>64.81999999999999</v>
      </c>
    </row>
    <row r="3121">
      <c r="A3121" s="4" t="inlineStr">
        <is>
          <t>10/02/2017</t>
        </is>
      </c>
      <c r="B3121" s="31" t="n">
        <v>65.09</v>
      </c>
    </row>
    <row r="3122">
      <c r="A3122" s="4" t="inlineStr">
        <is>
          <t>13/02/2017</t>
        </is>
      </c>
      <c r="B3122" s="31" t="n">
        <v>65.03</v>
      </c>
    </row>
    <row r="3123">
      <c r="A3123" s="4" t="inlineStr">
        <is>
          <t>14/02/2017</t>
        </is>
      </c>
      <c r="B3123" s="31" t="n">
        <v>64.70999999999999</v>
      </c>
    </row>
    <row r="3124">
      <c r="A3124" s="4" t="inlineStr">
        <is>
          <t>15/02/2017</t>
        </is>
      </c>
      <c r="B3124" s="31" t="n">
        <v>64.14</v>
      </c>
    </row>
    <row r="3125">
      <c r="A3125" s="4" t="inlineStr">
        <is>
          <t>16/02/2017</t>
        </is>
      </c>
      <c r="B3125" s="31" t="n">
        <v>64.3</v>
      </c>
    </row>
    <row r="3126">
      <c r="A3126" s="4" t="inlineStr">
        <is>
          <t>17/02/2017</t>
        </is>
      </c>
      <c r="B3126" s="31" t="n">
        <v>64.18000000000001</v>
      </c>
    </row>
    <row r="3127">
      <c r="A3127" s="4" t="inlineStr">
        <is>
          <t>20/02/2017</t>
        </is>
      </c>
      <c r="B3127" s="31" t="n">
        <v>63.91</v>
      </c>
    </row>
    <row r="3128">
      <c r="A3128" s="4" t="inlineStr">
        <is>
          <t>21/02/2017</t>
        </is>
      </c>
      <c r="B3128" s="31" t="n">
        <v>64.11</v>
      </c>
    </row>
    <row r="3129">
      <c r="A3129" s="4" t="inlineStr">
        <is>
          <t>22/02/2017</t>
        </is>
      </c>
      <c r="B3129" s="31" t="n">
        <v>64.77</v>
      </c>
    </row>
    <row r="3130">
      <c r="A3130" s="4" t="inlineStr">
        <is>
          <t>23/02/2017</t>
        </is>
      </c>
      <c r="B3130" s="31" t="n">
        <v>64.25</v>
      </c>
    </row>
    <row r="3131">
      <c r="A3131" s="4" t="inlineStr">
        <is>
          <t>24/02/2017</t>
        </is>
      </c>
      <c r="B3131" s="31" t="n">
        <v>64.25</v>
      </c>
    </row>
    <row r="3132">
      <c r="A3132" s="4" t="inlineStr">
        <is>
          <t>01/03/2017</t>
        </is>
      </c>
      <c r="B3132" s="31" t="n">
        <v>63.99</v>
      </c>
    </row>
    <row r="3133">
      <c r="A3133" s="4" t="inlineStr">
        <is>
          <t>02/03/2017</t>
        </is>
      </c>
      <c r="B3133" s="31" t="n">
        <v>64.26000000000001</v>
      </c>
    </row>
    <row r="3134">
      <c r="A3134" s="4" t="inlineStr">
        <is>
          <t>03/03/2017</t>
        </is>
      </c>
      <c r="B3134" s="31" t="n">
        <v>64.51000000000001</v>
      </c>
    </row>
    <row r="3135">
      <c r="A3135" s="4" t="inlineStr">
        <is>
          <t>06/03/2017</t>
        </is>
      </c>
      <c r="B3135" s="31" t="n">
        <v>63.98</v>
      </c>
    </row>
    <row r="3136">
      <c r="A3136" s="4" t="inlineStr">
        <is>
          <t>07/03/2017</t>
        </is>
      </c>
      <c r="B3136" s="31" t="n">
        <v>63.87</v>
      </c>
    </row>
    <row r="3137">
      <c r="A3137" s="4" t="inlineStr">
        <is>
          <t>08/03/2017</t>
        </is>
      </c>
      <c r="B3137" s="31" t="n">
        <v>63.14</v>
      </c>
    </row>
    <row r="3138">
      <c r="A3138" s="4" t="inlineStr">
        <is>
          <t>09/03/2017</t>
        </is>
      </c>
      <c r="B3138" s="31" t="n">
        <v>63.23</v>
      </c>
    </row>
    <row r="3139">
      <c r="A3139" s="4" t="inlineStr">
        <is>
          <t>10/03/2017</t>
        </is>
      </c>
      <c r="B3139" s="31" t="n">
        <v>63.07</v>
      </c>
    </row>
    <row r="3140">
      <c r="A3140" s="4" t="inlineStr">
        <is>
          <t>13/03/2017</t>
        </is>
      </c>
      <c r="B3140" s="31" t="n">
        <v>62.02</v>
      </c>
    </row>
    <row r="3141">
      <c r="A3141" s="4" t="inlineStr">
        <is>
          <t>14/03/2017</t>
        </is>
      </c>
      <c r="B3141" s="31" t="n">
        <v>62.87</v>
      </c>
    </row>
    <row r="3142">
      <c r="A3142" s="4" t="inlineStr">
        <is>
          <t>15/03/2017</t>
        </is>
      </c>
      <c r="B3142" s="31" t="n">
        <v>62.48</v>
      </c>
    </row>
    <row r="3143">
      <c r="A3143" s="4" t="inlineStr">
        <is>
          <t>16/03/2017</t>
        </is>
      </c>
      <c r="B3143" s="31" t="n">
        <v>62.3</v>
      </c>
    </row>
    <row r="3144">
      <c r="A3144" s="4" t="inlineStr">
        <is>
          <t>17/03/2017</t>
        </is>
      </c>
      <c r="B3144" s="31" t="n">
        <v>61.65</v>
      </c>
    </row>
    <row r="3145">
      <c r="A3145" s="4" t="inlineStr">
        <is>
          <t>20/03/2017</t>
        </is>
      </c>
      <c r="B3145" s="31" t="n">
        <v>61.08</v>
      </c>
    </row>
    <row r="3146">
      <c r="A3146" s="4" t="inlineStr">
        <is>
          <t>21/03/2017</t>
        </is>
      </c>
      <c r="B3146" s="31" t="n">
        <v>59.07</v>
      </c>
    </row>
    <row r="3147">
      <c r="A3147" s="4" t="inlineStr">
        <is>
          <t>22/03/2017</t>
        </is>
      </c>
      <c r="B3147" s="31" t="n">
        <v>58.37</v>
      </c>
    </row>
    <row r="3148">
      <c r="A3148" s="4" t="inlineStr">
        <is>
          <t>23/03/2017</t>
        </is>
      </c>
      <c r="B3148" s="31" t="n">
        <v>56.48</v>
      </c>
    </row>
    <row r="3149">
      <c r="A3149" s="4" t="inlineStr">
        <is>
          <t>24/03/2017</t>
        </is>
      </c>
      <c r="B3149" s="31" t="n">
        <v>56.29</v>
      </c>
    </row>
    <row r="3150">
      <c r="A3150" s="4" t="inlineStr">
        <is>
          <t>27/03/2017</t>
        </is>
      </c>
      <c r="B3150" s="31" t="n">
        <v>54.21</v>
      </c>
    </row>
    <row r="3151">
      <c r="A3151" s="4" t="inlineStr">
        <is>
          <t>28/03/2017</t>
        </is>
      </c>
      <c r="B3151" s="31" t="n">
        <v>54.14</v>
      </c>
    </row>
    <row r="3152">
      <c r="A3152" s="4" t="inlineStr">
        <is>
          <t>29/03/2017</t>
        </is>
      </c>
      <c r="B3152" s="31" t="n">
        <v>53.67</v>
      </c>
    </row>
    <row r="3153">
      <c r="A3153" s="4" t="inlineStr">
        <is>
          <t>30/03/2017</t>
        </is>
      </c>
      <c r="B3153" s="31" t="n">
        <v>53.87</v>
      </c>
    </row>
    <row r="3154">
      <c r="A3154" s="4" t="inlineStr">
        <is>
          <t>31/03/2017</t>
        </is>
      </c>
      <c r="B3154" s="31" t="n">
        <v>53.6</v>
      </c>
    </row>
    <row r="3155">
      <c r="A3155" s="4" t="inlineStr">
        <is>
          <t>03/04/2017</t>
        </is>
      </c>
      <c r="B3155" s="31" t="n">
        <v>52.88</v>
      </c>
    </row>
    <row r="3156">
      <c r="A3156" s="4" t="inlineStr">
        <is>
          <t>04/04/2017</t>
        </is>
      </c>
      <c r="B3156" s="31" t="n">
        <v>51.93</v>
      </c>
    </row>
    <row r="3157">
      <c r="A3157" s="4" t="inlineStr">
        <is>
          <t>05/04/2017</t>
        </is>
      </c>
      <c r="B3157" s="31" t="n">
        <v>51.18</v>
      </c>
    </row>
    <row r="3158">
      <c r="A3158" s="4" t="inlineStr">
        <is>
          <t>06/04/2017</t>
        </is>
      </c>
      <c r="B3158" s="31" t="n">
        <v>50.8</v>
      </c>
    </row>
    <row r="3159">
      <c r="A3159" s="4" t="inlineStr">
        <is>
          <t>07/04/2017</t>
        </is>
      </c>
      <c r="B3159" s="31" t="n">
        <v>50.64</v>
      </c>
    </row>
    <row r="3160">
      <c r="A3160" s="4" t="inlineStr">
        <is>
          <t>10/04/2017</t>
        </is>
      </c>
      <c r="B3160" s="31" t="n">
        <v>50.24</v>
      </c>
    </row>
    <row r="3161">
      <c r="A3161" s="4" t="inlineStr">
        <is>
          <t>11/04/2017</t>
        </is>
      </c>
      <c r="B3161" s="31" t="n">
        <v>49.5</v>
      </c>
    </row>
    <row r="3162">
      <c r="A3162" s="4" t="inlineStr">
        <is>
          <t>12/04/2017</t>
        </is>
      </c>
      <c r="B3162" s="31" t="n">
        <v>49.54</v>
      </c>
    </row>
    <row r="3163">
      <c r="A3163" s="4" t="inlineStr">
        <is>
          <t>13/04/2017</t>
        </is>
      </c>
      <c r="B3163" s="31" t="n">
        <v>50.02</v>
      </c>
    </row>
    <row r="3164">
      <c r="A3164" s="4" t="inlineStr">
        <is>
          <t>17/04/2017</t>
        </is>
      </c>
      <c r="B3164" s="31" t="n">
        <v>50.13</v>
      </c>
    </row>
    <row r="3165">
      <c r="A3165" s="4" t="inlineStr">
        <is>
          <t>18/04/2017</t>
        </is>
      </c>
      <c r="B3165" s="31" t="n">
        <v>51.39</v>
      </c>
    </row>
    <row r="3166">
      <c r="A3166" s="4" t="inlineStr">
        <is>
          <t>19/04/2017</t>
        </is>
      </c>
      <c r="B3166" s="31" t="n">
        <v>51.21</v>
      </c>
    </row>
    <row r="3167">
      <c r="A3167" s="4" t="inlineStr">
        <is>
          <t>20/04/2017</t>
        </is>
      </c>
      <c r="B3167" s="31" t="n">
        <v>51.46</v>
      </c>
    </row>
    <row r="3168">
      <c r="A3168" s="4" t="inlineStr">
        <is>
          <t>24/04/2017</t>
        </is>
      </c>
      <c r="B3168" s="31" t="n">
        <v>52.11</v>
      </c>
    </row>
    <row r="3169">
      <c r="A3169" s="4" t="inlineStr">
        <is>
          <t>25/04/2017</t>
        </is>
      </c>
      <c r="B3169" s="31" t="n">
        <v>51.32</v>
      </c>
    </row>
    <row r="3170">
      <c r="A3170" s="4" t="inlineStr">
        <is>
          <t>26/04/2017</t>
        </is>
      </c>
      <c r="B3170" s="31" t="n">
        <v>51.39</v>
      </c>
    </row>
    <row r="3171">
      <c r="A3171" s="4" t="inlineStr">
        <is>
          <t>27/04/2017</t>
        </is>
      </c>
      <c r="B3171" s="31" t="n">
        <v>50.8</v>
      </c>
    </row>
    <row r="3172">
      <c r="A3172" s="4" t="inlineStr">
        <is>
          <t>28/04/2017</t>
        </is>
      </c>
      <c r="B3172" s="31" t="n">
        <v>50.69</v>
      </c>
    </row>
    <row r="3173">
      <c r="A3173" s="4" t="inlineStr">
        <is>
          <t>02/05/2017</t>
        </is>
      </c>
      <c r="B3173" s="31" t="n">
        <v>50.69</v>
      </c>
    </row>
    <row r="3174">
      <c r="A3174" s="4" t="inlineStr">
        <is>
          <t>03/05/2017</t>
        </is>
      </c>
      <c r="B3174" s="31" t="n">
        <v>51.29</v>
      </c>
    </row>
    <row r="3175">
      <c r="A3175" s="4" t="inlineStr">
        <is>
          <t>04/05/2017</t>
        </is>
      </c>
      <c r="B3175" s="31" t="n">
        <v>51.78</v>
      </c>
    </row>
    <row r="3176">
      <c r="A3176" s="4" t="inlineStr">
        <is>
          <t>05/05/2017</t>
        </is>
      </c>
      <c r="B3176" s="31" t="n">
        <v>51.31</v>
      </c>
    </row>
    <row r="3177">
      <c r="A3177" s="4" t="inlineStr">
        <is>
          <t>08/05/2017</t>
        </is>
      </c>
      <c r="B3177" s="31" t="n">
        <v>51.26</v>
      </c>
    </row>
    <row r="3178">
      <c r="A3178" s="4" t="inlineStr">
        <is>
          <t>09/05/2017</t>
        </is>
      </c>
      <c r="B3178" s="31" t="n">
        <v>50.91</v>
      </c>
    </row>
    <row r="3179">
      <c r="A3179" s="4" t="inlineStr">
        <is>
          <t>10/05/2017</t>
        </is>
      </c>
      <c r="B3179" s="31" t="n">
        <v>51.13</v>
      </c>
    </row>
    <row r="3180">
      <c r="A3180" s="4" t="inlineStr">
        <is>
          <t>11/05/2017</t>
        </is>
      </c>
      <c r="B3180" s="31" t="n">
        <v>50.84</v>
      </c>
    </row>
    <row r="3181">
      <c r="A3181" s="4" t="inlineStr">
        <is>
          <t>12/05/2017</t>
        </is>
      </c>
      <c r="B3181" s="31" t="n">
        <v>51.02</v>
      </c>
    </row>
    <row r="3182">
      <c r="A3182" s="4" t="inlineStr">
        <is>
          <t>15/05/2017</t>
        </is>
      </c>
      <c r="B3182" s="31" t="n">
        <v>51.09</v>
      </c>
    </row>
    <row r="3183">
      <c r="A3183" s="4" t="inlineStr">
        <is>
          <t>16/05/2017</t>
        </is>
      </c>
      <c r="B3183" s="31" t="n">
        <v>50.64</v>
      </c>
    </row>
    <row r="3184">
      <c r="A3184" s="4" t="inlineStr">
        <is>
          <t>17/05/2017</t>
        </is>
      </c>
      <c r="B3184" s="31" t="n">
        <v>50.26</v>
      </c>
    </row>
    <row r="3185">
      <c r="A3185" s="4" t="inlineStr">
        <is>
          <t>18/05/2017</t>
        </is>
      </c>
      <c r="B3185" s="31" t="n">
        <v>50.49</v>
      </c>
    </row>
    <row r="3186">
      <c r="A3186" s="4" t="inlineStr">
        <is>
          <t>19/05/2017</t>
        </is>
      </c>
      <c r="B3186" s="31" t="n">
        <v>50.98</v>
      </c>
    </row>
    <row r="3187">
      <c r="A3187" s="4" t="inlineStr">
        <is>
          <t>22/05/2017</t>
        </is>
      </c>
      <c r="B3187" s="31" t="n">
        <v>50.64</v>
      </c>
    </row>
    <row r="3188">
      <c r="A3188" s="4" t="inlineStr">
        <is>
          <t>23/05/2017</t>
        </is>
      </c>
      <c r="B3188" s="31" t="n">
        <v>50.58</v>
      </c>
    </row>
    <row r="3189">
      <c r="A3189" s="4" t="inlineStr">
        <is>
          <t>24/05/2017</t>
        </is>
      </c>
      <c r="B3189" s="31" t="n">
        <v>50.13</v>
      </c>
    </row>
    <row r="3190">
      <c r="A3190" s="4" t="inlineStr">
        <is>
          <t>25/05/2017</t>
        </is>
      </c>
      <c r="B3190" s="31" t="n">
        <v>49.24</v>
      </c>
    </row>
    <row r="3191">
      <c r="A3191" s="4" t="inlineStr">
        <is>
          <t>26/05/2017</t>
        </is>
      </c>
      <c r="B3191" s="31" t="n">
        <v>49.46</v>
      </c>
    </row>
    <row r="3192">
      <c r="A3192" s="4" t="inlineStr">
        <is>
          <t>29/05/2017</t>
        </is>
      </c>
      <c r="B3192" s="31" t="n">
        <v>48.86</v>
      </c>
    </row>
    <row r="3193">
      <c r="A3193" s="4" t="inlineStr">
        <is>
          <t>30/05/2017</t>
        </is>
      </c>
      <c r="B3193" s="31" t="n">
        <v>48.71</v>
      </c>
    </row>
    <row r="3194">
      <c r="A3194" s="4" t="inlineStr">
        <is>
          <t>31/05/2017</t>
        </is>
      </c>
      <c r="B3194" s="31" t="n">
        <v>48.11</v>
      </c>
    </row>
    <row r="3195">
      <c r="A3195" s="4" t="inlineStr">
        <is>
          <t>01/06/2017</t>
        </is>
      </c>
      <c r="B3195" s="31" t="n">
        <v>48.49</v>
      </c>
    </row>
    <row r="3196">
      <c r="A3196" s="4" t="inlineStr">
        <is>
          <t>02/06/2017</t>
        </is>
      </c>
      <c r="B3196" s="31" t="n">
        <v>48.42</v>
      </c>
    </row>
    <row r="3197">
      <c r="A3197" s="4" t="inlineStr">
        <is>
          <t>05/06/2017</t>
        </is>
      </c>
      <c r="B3197" s="31" t="n">
        <v>48.66</v>
      </c>
    </row>
    <row r="3198">
      <c r="A3198" s="4" t="inlineStr">
        <is>
          <t>06/06/2017</t>
        </is>
      </c>
      <c r="B3198" s="31" t="n">
        <v>49.08</v>
      </c>
    </row>
    <row r="3199">
      <c r="A3199" s="4" t="inlineStr">
        <is>
          <t>07/06/2017</t>
        </is>
      </c>
      <c r="B3199" s="31" t="n">
        <v>48.99</v>
      </c>
    </row>
    <row r="3200">
      <c r="A3200" s="4" t="inlineStr">
        <is>
          <t>08/06/2017</t>
        </is>
      </c>
      <c r="B3200" s="31" t="n">
        <v>49.72</v>
      </c>
    </row>
    <row r="3201">
      <c r="A3201" s="4" t="inlineStr">
        <is>
          <t>09/06/2017</t>
        </is>
      </c>
      <c r="B3201" s="31" t="n">
        <v>50.01</v>
      </c>
    </row>
    <row r="3202">
      <c r="A3202" s="4" t="inlineStr">
        <is>
          <t>12/06/2017</t>
        </is>
      </c>
      <c r="B3202" s="31" t="n">
        <v>49.59</v>
      </c>
    </row>
    <row r="3203">
      <c r="A3203" s="4" t="inlineStr">
        <is>
          <t>13/06/2017</t>
        </is>
      </c>
      <c r="B3203" s="31" t="n">
        <v>49.83</v>
      </c>
    </row>
    <row r="3204">
      <c r="A3204" s="4" t="inlineStr">
        <is>
          <t>14/06/2017</t>
        </is>
      </c>
      <c r="B3204" s="31" t="n">
        <v>49.54</v>
      </c>
    </row>
    <row r="3205">
      <c r="A3205" s="4" t="inlineStr">
        <is>
          <t>16/06/2017</t>
        </is>
      </c>
      <c r="B3205" s="31" t="n">
        <v>49.57</v>
      </c>
    </row>
    <row r="3206">
      <c r="A3206" s="4" t="inlineStr">
        <is>
          <t>19/06/2017</t>
        </is>
      </c>
      <c r="B3206" s="31" t="n">
        <v>49.75</v>
      </c>
    </row>
    <row r="3207">
      <c r="A3207" s="4" t="inlineStr">
        <is>
          <t>20/06/2017</t>
        </is>
      </c>
      <c r="B3207" s="31" t="n">
        <v>49.81</v>
      </c>
    </row>
    <row r="3208">
      <c r="A3208" s="4" t="inlineStr">
        <is>
          <t>21/06/2017</t>
        </is>
      </c>
      <c r="B3208" s="31" t="n">
        <v>49.43</v>
      </c>
    </row>
    <row r="3209">
      <c r="A3209" s="4" t="inlineStr">
        <is>
          <t>22/06/2017</t>
        </is>
      </c>
      <c r="B3209" s="31" t="n">
        <v>49.08</v>
      </c>
    </row>
    <row r="3210">
      <c r="A3210" s="4" t="inlineStr">
        <is>
          <t>23/06/2017</t>
        </is>
      </c>
      <c r="B3210" s="31" t="n">
        <v>49.04</v>
      </c>
    </row>
    <row r="3211">
      <c r="A3211" s="4" t="inlineStr">
        <is>
          <t>26/06/2017</t>
        </is>
      </c>
      <c r="B3211" s="31" t="n">
        <v>48.26</v>
      </c>
    </row>
    <row r="3212">
      <c r="A3212" s="4" t="inlineStr">
        <is>
          <t>27/06/2017</t>
        </is>
      </c>
      <c r="B3212" s="31" t="n">
        <v>48.2</v>
      </c>
    </row>
    <row r="3213">
      <c r="A3213" s="4" t="inlineStr">
        <is>
          <t>28/06/2017</t>
        </is>
      </c>
      <c r="B3213" s="31" t="n">
        <v>47.96</v>
      </c>
    </row>
    <row r="3214">
      <c r="A3214" s="4" t="inlineStr">
        <is>
          <t>29/06/2017</t>
        </is>
      </c>
      <c r="B3214" s="31" t="n">
        <v>47.34</v>
      </c>
    </row>
    <row r="3215">
      <c r="A3215" s="4" t="inlineStr">
        <is>
          <t>30/06/2017</t>
        </is>
      </c>
      <c r="B3215" s="31" t="n">
        <v>46.61</v>
      </c>
    </row>
    <row r="3216">
      <c r="A3216" s="4" t="inlineStr">
        <is>
          <t>03/07/2017</t>
        </is>
      </c>
      <c r="B3216" s="31" t="n">
        <v>48.07</v>
      </c>
    </row>
    <row r="3217">
      <c r="A3217" s="4" t="inlineStr">
        <is>
          <t>04/07/2017</t>
        </is>
      </c>
      <c r="B3217" s="31" t="n">
        <v>48.35</v>
      </c>
    </row>
    <row r="3218">
      <c r="A3218" s="4" t="inlineStr">
        <is>
          <t>05/07/2017</t>
        </is>
      </c>
      <c r="B3218" s="31" t="n">
        <v>49.19</v>
      </c>
    </row>
    <row r="3219">
      <c r="A3219" s="4" t="inlineStr">
        <is>
          <t>06/07/2017</t>
        </is>
      </c>
      <c r="B3219" s="31" t="n">
        <v>49.1</v>
      </c>
    </row>
    <row r="3220">
      <c r="A3220" s="4" t="inlineStr">
        <is>
          <t>07/07/2017</t>
        </is>
      </c>
      <c r="B3220" s="31" t="n">
        <v>49.36</v>
      </c>
    </row>
    <row r="3221">
      <c r="A3221" s="4" t="inlineStr">
        <is>
          <t>10/07/2017</t>
        </is>
      </c>
      <c r="B3221" s="31" t="n">
        <v>49.47</v>
      </c>
    </row>
    <row r="3222">
      <c r="A3222" s="4" t="inlineStr">
        <is>
          <t>11/07/2017</t>
        </is>
      </c>
      <c r="B3222" s="31" t="n">
        <v>50.13</v>
      </c>
    </row>
    <row r="3223">
      <c r="A3223" s="4" t="inlineStr">
        <is>
          <t>12/07/2017</t>
        </is>
      </c>
      <c r="B3223" s="31" t="n">
        <v>49.82</v>
      </c>
    </row>
    <row r="3224">
      <c r="A3224" s="4" t="inlineStr">
        <is>
          <t>13/07/2017</t>
        </is>
      </c>
      <c r="B3224" s="31" t="n">
        <v>49.07</v>
      </c>
    </row>
    <row r="3225">
      <c r="A3225" s="4" t="inlineStr">
        <is>
          <t>14/07/2017</t>
        </is>
      </c>
      <c r="B3225" s="31" t="n">
        <v>48.37</v>
      </c>
    </row>
    <row r="3226">
      <c r="A3226" s="4" t="inlineStr">
        <is>
          <t>17/07/2017</t>
        </is>
      </c>
      <c r="B3226" s="31" t="n">
        <v>48.59</v>
      </c>
    </row>
    <row r="3227">
      <c r="A3227" s="4" t="inlineStr">
        <is>
          <t>18/07/2017</t>
        </is>
      </c>
      <c r="B3227" s="31" t="n">
        <v>49.1</v>
      </c>
    </row>
    <row r="3228">
      <c r="A3228" s="4" t="inlineStr">
        <is>
          <t>19/07/2017</t>
        </is>
      </c>
      <c r="B3228" s="31" t="n">
        <v>49.31</v>
      </c>
    </row>
    <row r="3229">
      <c r="A3229" s="4" t="inlineStr">
        <is>
          <t>20/07/2017</t>
        </is>
      </c>
      <c r="B3229" s="31" t="n">
        <v>49.05</v>
      </c>
    </row>
    <row r="3230">
      <c r="A3230" s="4" t="inlineStr">
        <is>
          <t>21/07/2017</t>
        </is>
      </c>
      <c r="B3230" s="31" t="n">
        <v>48.64</v>
      </c>
    </row>
    <row r="3231">
      <c r="A3231" s="4" t="inlineStr">
        <is>
          <t>24/07/2017</t>
        </is>
      </c>
      <c r="B3231" s="31" t="n">
        <v>47.74</v>
      </c>
    </row>
    <row r="3232">
      <c r="A3232" s="4" t="inlineStr">
        <is>
          <t>25/07/2017</t>
        </is>
      </c>
      <c r="B3232" s="31" t="n">
        <v>47.46</v>
      </c>
    </row>
    <row r="3233">
      <c r="A3233" s="4" t="inlineStr">
        <is>
          <t>26/07/2017</t>
        </is>
      </c>
      <c r="B3233" s="31" t="n">
        <v>46.95</v>
      </c>
    </row>
    <row r="3234">
      <c r="A3234" s="4" t="inlineStr">
        <is>
          <t>27/07/2017</t>
        </is>
      </c>
      <c r="B3234" s="31" t="n">
        <v>47.06</v>
      </c>
    </row>
    <row r="3235">
      <c r="A3235" s="4" t="inlineStr">
        <is>
          <t>28/07/2017</t>
        </is>
      </c>
      <c r="B3235" s="31" t="n">
        <v>46.78</v>
      </c>
    </row>
    <row r="3236">
      <c r="A3236" s="4" t="inlineStr">
        <is>
          <t>31/07/2017</t>
        </is>
      </c>
      <c r="B3236" s="31" t="n">
        <v>46.86</v>
      </c>
    </row>
    <row r="3237">
      <c r="A3237" s="4" t="inlineStr">
        <is>
          <t>01/08/2017</t>
        </is>
      </c>
      <c r="B3237" s="31" t="n">
        <v>46.66</v>
      </c>
    </row>
    <row r="3238">
      <c r="A3238" s="4" t="inlineStr">
        <is>
          <t>02/08/2017</t>
        </is>
      </c>
      <c r="B3238" s="31" t="n">
        <v>46.57</v>
      </c>
    </row>
    <row r="3239">
      <c r="A3239" s="4" t="inlineStr">
        <is>
          <t>03/08/2017</t>
        </is>
      </c>
      <c r="B3239" s="31" t="n">
        <v>46.37</v>
      </c>
    </row>
    <row r="3240">
      <c r="A3240" s="4" t="inlineStr">
        <is>
          <t>04/08/2017</t>
        </is>
      </c>
      <c r="B3240" s="31" t="n">
        <v>47.4</v>
      </c>
    </row>
    <row r="3241">
      <c r="A3241" s="4" t="inlineStr">
        <is>
          <t>07/08/2017</t>
        </is>
      </c>
      <c r="B3241" s="31" t="n">
        <v>47.84</v>
      </c>
    </row>
    <row r="3242">
      <c r="A3242" s="4" t="inlineStr">
        <is>
          <t>08/08/2017</t>
        </is>
      </c>
      <c r="B3242" s="31" t="n">
        <v>47.62</v>
      </c>
    </row>
    <row r="3243">
      <c r="A3243" s="4" t="inlineStr">
        <is>
          <t>09/08/2017</t>
        </is>
      </c>
      <c r="B3243" s="31" t="n">
        <v>47.82</v>
      </c>
    </row>
    <row r="3244">
      <c r="A3244" s="4" t="inlineStr">
        <is>
          <t>10/08/2017</t>
        </is>
      </c>
      <c r="B3244" s="31" t="n">
        <v>48.1</v>
      </c>
    </row>
    <row r="3245">
      <c r="A3245" s="4" t="inlineStr">
        <is>
          <t>11/08/2017</t>
        </is>
      </c>
      <c r="B3245" s="31" t="n">
        <v>48.45</v>
      </c>
    </row>
    <row r="3246">
      <c r="A3246" s="4" t="inlineStr">
        <is>
          <t>14/08/2017</t>
        </is>
      </c>
      <c r="B3246" s="31" t="n">
        <v>48.72</v>
      </c>
    </row>
    <row r="3247">
      <c r="A3247" s="4" t="inlineStr">
        <is>
          <t>15/08/2017</t>
        </is>
      </c>
      <c r="B3247" s="31" t="n">
        <v>49.77</v>
      </c>
    </row>
    <row r="3248">
      <c r="A3248" s="4" t="inlineStr">
        <is>
          <t>16/08/2017</t>
        </is>
      </c>
      <c r="B3248" s="31" t="n">
        <v>50.56</v>
      </c>
    </row>
    <row r="3249">
      <c r="A3249" s="4" t="inlineStr">
        <is>
          <t>17/08/2017</t>
        </is>
      </c>
      <c r="B3249" s="31" t="n">
        <v>50.86</v>
      </c>
    </row>
    <row r="3250">
      <c r="A3250" s="4" t="inlineStr">
        <is>
          <t>18/08/2017</t>
        </is>
      </c>
      <c r="B3250" s="31" t="n">
        <v>51.45</v>
      </c>
    </row>
    <row r="3251">
      <c r="A3251" s="4" t="inlineStr">
        <is>
          <t>21/08/2017</t>
        </is>
      </c>
      <c r="B3251" s="31" t="n">
        <v>51.21</v>
      </c>
    </row>
    <row r="3252">
      <c r="A3252" s="4" t="inlineStr">
        <is>
          <t>22/08/2017</t>
        </is>
      </c>
      <c r="B3252" s="31" t="n">
        <v>50.73</v>
      </c>
    </row>
    <row r="3253">
      <c r="A3253" s="4" t="inlineStr">
        <is>
          <t>23/08/2017</t>
        </is>
      </c>
      <c r="B3253" s="31" t="n">
        <v>50.45</v>
      </c>
    </row>
    <row r="3254">
      <c r="A3254" s="4" t="inlineStr">
        <is>
          <t>24/08/2017</t>
        </is>
      </c>
      <c r="B3254" s="31" t="n">
        <v>49.64</v>
      </c>
    </row>
    <row r="3255">
      <c r="A3255" s="4" t="inlineStr">
        <is>
          <t>25/08/2017</t>
        </is>
      </c>
      <c r="B3255" s="31" t="n">
        <v>49.57</v>
      </c>
    </row>
    <row r="3256">
      <c r="A3256" s="4" t="inlineStr">
        <is>
          <t>28/08/2017</t>
        </is>
      </c>
      <c r="B3256" s="31" t="n">
        <v>49.59</v>
      </c>
    </row>
    <row r="3257">
      <c r="A3257" s="4" t="inlineStr">
        <is>
          <t>29/08/2017</t>
        </is>
      </c>
      <c r="B3257" s="31" t="n">
        <v>49.31</v>
      </c>
    </row>
    <row r="3258">
      <c r="A3258" s="4" t="inlineStr">
        <is>
          <t>30/08/2017</t>
        </is>
      </c>
      <c r="B3258" s="31" t="n">
        <v>49.55</v>
      </c>
    </row>
    <row r="3259">
      <c r="A3259" s="4" t="inlineStr">
        <is>
          <t>31/08/2017</t>
        </is>
      </c>
      <c r="B3259" s="31" t="n">
        <v>50.23</v>
      </c>
    </row>
    <row r="3260">
      <c r="A3260" s="4" t="inlineStr">
        <is>
          <t>01/09/2017</t>
        </is>
      </c>
      <c r="B3260" s="31" t="n">
        <v>50.09</v>
      </c>
    </row>
    <row r="3261">
      <c r="A3261" s="4" t="inlineStr">
        <is>
          <t>04/09/2017</t>
        </is>
      </c>
      <c r="B3261" s="31" t="n">
        <v>51.15</v>
      </c>
    </row>
    <row r="3262">
      <c r="A3262" s="4" t="inlineStr">
        <is>
          <t>05/09/2017</t>
        </is>
      </c>
      <c r="B3262" s="31" t="n">
        <v>51.19</v>
      </c>
    </row>
    <row r="3263">
      <c r="A3263" s="4" t="inlineStr">
        <is>
          <t>06/09/2017</t>
        </is>
      </c>
      <c r="B3263" s="31" t="n">
        <v>51.44</v>
      </c>
    </row>
    <row r="3264">
      <c r="A3264" s="4" t="inlineStr">
        <is>
          <t>08/09/2017</t>
        </is>
      </c>
      <c r="B3264" s="31" t="n">
        <v>51.52</v>
      </c>
    </row>
    <row r="3265">
      <c r="A3265" s="4" t="inlineStr">
        <is>
          <t>11/09/2017</t>
        </is>
      </c>
      <c r="B3265" s="31" t="n">
        <v>51.99</v>
      </c>
    </row>
    <row r="3266">
      <c r="A3266" s="4" t="inlineStr">
        <is>
          <t>12/09/2017</t>
        </is>
      </c>
      <c r="B3266" s="31" t="n">
        <v>51.94</v>
      </c>
    </row>
    <row r="3267">
      <c r="A3267" s="4" t="inlineStr">
        <is>
          <t>13/09/2017</t>
        </is>
      </c>
      <c r="B3267" s="31" t="n">
        <v>52.1</v>
      </c>
    </row>
    <row r="3268">
      <c r="A3268" s="4" t="inlineStr">
        <is>
          <t>14/09/2017</t>
        </is>
      </c>
      <c r="B3268" s="31" t="n">
        <v>52.8</v>
      </c>
    </row>
    <row r="3269">
      <c r="A3269" s="4" t="inlineStr">
        <is>
          <t>15/09/2017</t>
        </is>
      </c>
      <c r="B3269" s="31" t="n">
        <v>52.85</v>
      </c>
    </row>
    <row r="3270">
      <c r="A3270" s="4" t="inlineStr">
        <is>
          <t>18/09/2017</t>
        </is>
      </c>
      <c r="B3270" s="31" t="n">
        <v>53.07</v>
      </c>
    </row>
    <row r="3271">
      <c r="A3271" s="4" t="inlineStr">
        <is>
          <t>19/09/2017</t>
        </is>
      </c>
      <c r="B3271" s="31" t="n">
        <v>53.27</v>
      </c>
    </row>
    <row r="3272">
      <c r="A3272" s="4" t="inlineStr">
        <is>
          <t>20/09/2017</t>
        </is>
      </c>
      <c r="B3272" s="31" t="n">
        <v>54.9</v>
      </c>
    </row>
    <row r="3273">
      <c r="A3273" s="4" t="inlineStr">
        <is>
          <t>21/09/2017</t>
        </is>
      </c>
      <c r="B3273" s="31" t="n">
        <v>55.69</v>
      </c>
    </row>
    <row r="3274">
      <c r="A3274" s="4" t="inlineStr">
        <is>
          <t>22/09/2017</t>
        </is>
      </c>
      <c r="B3274" s="31" t="n">
        <v>56.11</v>
      </c>
    </row>
    <row r="3275">
      <c r="A3275" s="4" t="inlineStr">
        <is>
          <t>25/09/2017</t>
        </is>
      </c>
      <c r="B3275" s="31" t="n">
        <v>55.87</v>
      </c>
    </row>
    <row r="3276">
      <c r="A3276" s="4" t="inlineStr">
        <is>
          <t>26/09/2017</t>
        </is>
      </c>
      <c r="B3276" s="31" t="n">
        <v>55.25</v>
      </c>
    </row>
    <row r="3277">
      <c r="A3277" s="4" t="inlineStr">
        <is>
          <t>27/09/2017</t>
        </is>
      </c>
      <c r="B3277" s="31" t="n">
        <v>55.03</v>
      </c>
    </row>
    <row r="3278">
      <c r="A3278" s="4" t="inlineStr">
        <is>
          <t>28/09/2017</t>
        </is>
      </c>
      <c r="B3278" s="31" t="n">
        <v>54.83</v>
      </c>
    </row>
    <row r="3279">
      <c r="A3279" s="4" t="inlineStr">
        <is>
          <t>29/09/2017</t>
        </is>
      </c>
      <c r="B3279" s="31" t="n">
        <v>55.01</v>
      </c>
    </row>
    <row r="3280">
      <c r="A3280" s="4" t="inlineStr">
        <is>
          <t>02/10/2017</t>
        </is>
      </c>
      <c r="B3280" s="31" t="n">
        <v>55.54</v>
      </c>
    </row>
    <row r="3281">
      <c r="A3281" s="4" t="inlineStr">
        <is>
          <t>03/10/2017</t>
        </is>
      </c>
      <c r="B3281" s="31" t="n">
        <v>54.3</v>
      </c>
    </row>
    <row r="3282">
      <c r="A3282" s="4" t="inlineStr">
        <is>
          <t>04/10/2017</t>
        </is>
      </c>
      <c r="B3282" s="31" t="n">
        <v>54.08</v>
      </c>
    </row>
    <row r="3283">
      <c r="A3283" s="4" t="inlineStr">
        <is>
          <t>05/10/2017</t>
        </is>
      </c>
      <c r="B3283" s="31" t="n">
        <v>54.21</v>
      </c>
    </row>
    <row r="3284">
      <c r="A3284" s="4" t="inlineStr">
        <is>
          <t>06/10/2017</t>
        </is>
      </c>
      <c r="B3284" s="31" t="n">
        <v>55.54</v>
      </c>
    </row>
    <row r="3285">
      <c r="A3285" s="4" t="inlineStr">
        <is>
          <t>09/10/2017</t>
        </is>
      </c>
      <c r="B3285" s="31" t="n">
        <v>56.35</v>
      </c>
    </row>
    <row r="3286">
      <c r="A3286" s="4" t="inlineStr">
        <is>
          <t>10/10/2017</t>
        </is>
      </c>
      <c r="B3286" s="31" t="n">
        <v>56.97</v>
      </c>
    </row>
    <row r="3287">
      <c r="A3287" s="4" t="inlineStr">
        <is>
          <t>11/10/2017</t>
        </is>
      </c>
      <c r="B3287" s="31" t="n">
        <v>57.19</v>
      </c>
    </row>
    <row r="3288">
      <c r="A3288" s="4" t="inlineStr">
        <is>
          <t>13/10/2017</t>
        </is>
      </c>
      <c r="B3288" s="31" t="n">
        <v>57.15</v>
      </c>
    </row>
    <row r="3289">
      <c r="A3289" s="4" t="inlineStr">
        <is>
          <t>16/10/2017</t>
        </is>
      </c>
      <c r="B3289" s="31" t="n">
        <v>57.96</v>
      </c>
    </row>
    <row r="3290">
      <c r="A3290" s="4" t="inlineStr">
        <is>
          <t>17/10/2017</t>
        </is>
      </c>
      <c r="B3290" s="31" t="n">
        <v>58.14</v>
      </c>
    </row>
    <row r="3291">
      <c r="A3291" s="4" t="inlineStr">
        <is>
          <t>18/10/2017</t>
        </is>
      </c>
      <c r="B3291" s="31" t="n">
        <v>58.03</v>
      </c>
    </row>
    <row r="3292">
      <c r="A3292" s="4" t="inlineStr">
        <is>
          <t>19/10/2017</t>
        </is>
      </c>
      <c r="B3292" s="31" t="n">
        <v>57.46</v>
      </c>
    </row>
    <row r="3293">
      <c r="A3293" s="4" t="inlineStr">
        <is>
          <t>20/10/2017</t>
        </is>
      </c>
      <c r="B3293" s="31" t="n">
        <v>57.99</v>
      </c>
    </row>
    <row r="3294">
      <c r="A3294" s="4" t="inlineStr">
        <is>
          <t>23/10/2017</t>
        </is>
      </c>
      <c r="B3294" s="31" t="n">
        <v>58.56</v>
      </c>
    </row>
    <row r="3295">
      <c r="A3295" s="4" t="inlineStr">
        <is>
          <t>24/10/2017</t>
        </is>
      </c>
      <c r="B3295" s="31" t="n">
        <v>58.52</v>
      </c>
    </row>
    <row r="3296">
      <c r="A3296" s="4" t="inlineStr">
        <is>
          <t>25/10/2017</t>
        </is>
      </c>
      <c r="B3296" s="31" t="n">
        <v>58.78</v>
      </c>
    </row>
    <row r="3297">
      <c r="A3297" s="4" t="inlineStr">
        <is>
          <t>26/10/2017</t>
        </is>
      </c>
      <c r="B3297" s="31" t="n">
        <v>57.52</v>
      </c>
    </row>
    <row r="3298">
      <c r="A3298" s="4" t="inlineStr">
        <is>
          <t>27/10/2017</t>
        </is>
      </c>
      <c r="B3298" s="31" t="n">
        <v>58.05</v>
      </c>
    </row>
    <row r="3299">
      <c r="A3299" s="4" t="inlineStr">
        <is>
          <t>30/10/2017</t>
        </is>
      </c>
      <c r="B3299" s="31" t="n">
        <v>58.47</v>
      </c>
    </row>
    <row r="3300">
      <c r="A3300" s="4" t="inlineStr">
        <is>
          <t>31/10/2017</t>
        </is>
      </c>
      <c r="B3300" s="31" t="n">
        <v>58.91</v>
      </c>
    </row>
    <row r="3301">
      <c r="A3301" s="4" t="inlineStr">
        <is>
          <t>01/11/2017</t>
        </is>
      </c>
      <c r="B3301" s="31" t="n">
        <v>59.8</v>
      </c>
    </row>
    <row r="3302">
      <c r="A3302" s="4" t="inlineStr">
        <is>
          <t>03/11/2017</t>
        </is>
      </c>
      <c r="B3302" s="31" t="n">
        <v>59.77</v>
      </c>
    </row>
    <row r="3303">
      <c r="A3303" s="4" t="inlineStr">
        <is>
          <t>06/11/2017</t>
        </is>
      </c>
      <c r="B3303" s="31" t="n">
        <v>58.38</v>
      </c>
    </row>
    <row r="3304">
      <c r="A3304" s="4" t="inlineStr">
        <is>
          <t>07/11/2017</t>
        </is>
      </c>
      <c r="B3304" s="31" t="n">
        <v>59.46</v>
      </c>
    </row>
    <row r="3305">
      <c r="A3305" s="4" t="inlineStr">
        <is>
          <t>08/11/2017</t>
        </is>
      </c>
      <c r="B3305" s="31" t="n">
        <v>59.46</v>
      </c>
    </row>
    <row r="3306">
      <c r="A3306" s="4" t="inlineStr">
        <is>
          <t>09/11/2017</t>
        </is>
      </c>
      <c r="B3306" s="31" t="n">
        <v>59.13</v>
      </c>
    </row>
    <row r="3307">
      <c r="A3307" s="4" t="inlineStr">
        <is>
          <t>10/11/2017</t>
        </is>
      </c>
      <c r="B3307" s="31" t="n">
        <v>59.42</v>
      </c>
    </row>
    <row r="3308">
      <c r="A3308" s="4" t="inlineStr">
        <is>
          <t>13/11/2017</t>
        </is>
      </c>
      <c r="B3308" s="31" t="n">
        <v>58.77</v>
      </c>
    </row>
    <row r="3309">
      <c r="A3309" s="4" t="inlineStr">
        <is>
          <t>14/11/2017</t>
        </is>
      </c>
      <c r="B3309" s="31" t="n">
        <v>58.66</v>
      </c>
    </row>
    <row r="3310">
      <c r="A3310" s="4" t="inlineStr">
        <is>
          <t>16/11/2017</t>
        </is>
      </c>
      <c r="B3310" s="31" t="n">
        <v>58.62</v>
      </c>
    </row>
    <row r="3311">
      <c r="A3311" s="4" t="inlineStr">
        <is>
          <t>17/11/2017</t>
        </is>
      </c>
      <c r="B3311" s="31" t="n">
        <v>58.27</v>
      </c>
    </row>
    <row r="3312">
      <c r="A3312" s="4" t="inlineStr">
        <is>
          <t>20/11/2017</t>
        </is>
      </c>
      <c r="B3312" s="31" t="n">
        <v>57.75</v>
      </c>
    </row>
    <row r="3313">
      <c r="A3313" s="4" t="inlineStr">
        <is>
          <t>21/11/2017</t>
        </is>
      </c>
      <c r="B3313" s="31" t="n">
        <v>57.06</v>
      </c>
    </row>
    <row r="3314">
      <c r="A3314" s="4" t="inlineStr">
        <is>
          <t>22/11/2017</t>
        </is>
      </c>
      <c r="B3314" s="31" t="n">
        <v>56.33</v>
      </c>
    </row>
    <row r="3315">
      <c r="A3315" s="4" t="inlineStr">
        <is>
          <t>23/11/2017</t>
        </is>
      </c>
      <c r="B3315" s="31" t="n">
        <v>55.84</v>
      </c>
    </row>
    <row r="3316">
      <c r="A3316" s="4" t="inlineStr">
        <is>
          <t>24/11/2017</t>
        </is>
      </c>
      <c r="B3316" s="31" t="n">
        <v>56.11</v>
      </c>
    </row>
    <row r="3317">
      <c r="A3317" s="4" t="inlineStr">
        <is>
          <t>27/11/2017</t>
        </is>
      </c>
      <c r="B3317" s="31" t="n">
        <v>55.57</v>
      </c>
    </row>
    <row r="3318">
      <c r="A3318" s="4" t="inlineStr">
        <is>
          <t>28/11/2017</t>
        </is>
      </c>
      <c r="B3318" s="31" t="n">
        <v>55.13</v>
      </c>
    </row>
    <row r="3319">
      <c r="A3319" s="4" t="inlineStr">
        <is>
          <t>29/11/2017</t>
        </is>
      </c>
      <c r="B3319" s="31" t="n">
        <v>55.46</v>
      </c>
    </row>
    <row r="3320">
      <c r="A3320" s="4" t="inlineStr">
        <is>
          <t>30/11/2017</t>
        </is>
      </c>
      <c r="B3320" s="31" t="n">
        <v>55.62</v>
      </c>
    </row>
    <row r="3321">
      <c r="A3321" s="4" t="inlineStr">
        <is>
          <t>01/12/2017</t>
        </is>
      </c>
      <c r="B3321" s="31" t="n">
        <v>55.74</v>
      </c>
    </row>
    <row r="3322">
      <c r="A3322" s="4" t="inlineStr">
        <is>
          <t>04/12/2017</t>
        </is>
      </c>
      <c r="B3322" s="31" t="n">
        <v>56.25</v>
      </c>
    </row>
    <row r="3323">
      <c r="A3323" s="4" t="inlineStr">
        <is>
          <t>05/12/2017</t>
        </is>
      </c>
      <c r="B3323" s="31" t="n">
        <v>56.43</v>
      </c>
    </row>
    <row r="3324">
      <c r="A3324" s="4" t="inlineStr">
        <is>
          <t>06/12/2017</t>
        </is>
      </c>
      <c r="B3324" s="31" t="n">
        <v>57.22</v>
      </c>
    </row>
    <row r="3325">
      <c r="A3325" s="4" t="inlineStr">
        <is>
          <t>07/12/2017</t>
        </is>
      </c>
      <c r="B3325" s="31" t="n">
        <v>57.02</v>
      </c>
    </row>
    <row r="3326">
      <c r="A3326" s="4" t="inlineStr">
        <is>
          <t>08/12/2017</t>
        </is>
      </c>
      <c r="B3326" s="31" t="n">
        <v>56.91</v>
      </c>
    </row>
    <row r="3327">
      <c r="A3327" s="4" t="inlineStr">
        <is>
          <t>11/12/2017</t>
        </is>
      </c>
      <c r="B3327" s="31" t="n">
        <v>57.06</v>
      </c>
    </row>
    <row r="3328">
      <c r="A3328" s="4" t="inlineStr">
        <is>
          <t>12/12/2017</t>
        </is>
      </c>
      <c r="B3328" s="31" t="n">
        <v>57.38</v>
      </c>
    </row>
    <row r="3329">
      <c r="A3329" s="4" t="inlineStr">
        <is>
          <t>13/12/2017</t>
        </is>
      </c>
      <c r="B3329" s="31" t="n">
        <v>58.28</v>
      </c>
    </row>
    <row r="3330">
      <c r="A3330" s="4" t="inlineStr">
        <is>
          <t>14/12/2017</t>
        </is>
      </c>
      <c r="B3330" s="31" t="n">
        <v>57.74</v>
      </c>
    </row>
    <row r="3331">
      <c r="A3331" s="4" t="inlineStr">
        <is>
          <t>15/12/2017</t>
        </is>
      </c>
      <c r="B3331" s="31" t="n">
        <v>58.32</v>
      </c>
    </row>
    <row r="3332">
      <c r="A3332" s="4" t="inlineStr">
        <is>
          <t>18/12/2017</t>
        </is>
      </c>
      <c r="B3332" s="31" t="n">
        <v>58.68</v>
      </c>
    </row>
    <row r="3333">
      <c r="A3333" s="4" t="inlineStr">
        <is>
          <t>19/12/2017</t>
        </is>
      </c>
      <c r="B3333" s="31" t="n">
        <v>59.62</v>
      </c>
    </row>
    <row r="3334">
      <c r="A3334" s="4" t="inlineStr">
        <is>
          <t>20/12/2017</t>
        </is>
      </c>
      <c r="B3334" s="31" t="n">
        <v>60</v>
      </c>
    </row>
    <row r="3335">
      <c r="A3335" s="4" t="inlineStr">
        <is>
          <t>21/12/2017</t>
        </is>
      </c>
      <c r="B3335" s="31" t="n">
        <v>60.05</v>
      </c>
    </row>
    <row r="3336">
      <c r="A3336" s="4" t="inlineStr">
        <is>
          <t>22/12/2017</t>
        </is>
      </c>
      <c r="B3336" s="31" t="n">
        <v>59.94</v>
      </c>
    </row>
    <row r="3337">
      <c r="A3337" s="4" t="inlineStr">
        <is>
          <t>26/12/2017</t>
        </is>
      </c>
      <c r="B3337" s="31" t="n">
        <v>60.43</v>
      </c>
    </row>
    <row r="3338">
      <c r="A3338" s="4" t="inlineStr">
        <is>
          <t>27/12/2017</t>
        </is>
      </c>
      <c r="B3338" s="31" t="n">
        <v>60.75</v>
      </c>
    </row>
    <row r="3339">
      <c r="A3339" s="4" t="inlineStr">
        <is>
          <t>28/12/2017</t>
        </is>
      </c>
      <c r="B3339" s="31" t="n">
        <v>60.86</v>
      </c>
    </row>
    <row r="3340">
      <c r="A3340" s="4" t="inlineStr">
        <is>
          <t>02/01/2018</t>
        </is>
      </c>
      <c r="B3340" s="31" t="n">
        <v>60.4</v>
      </c>
    </row>
    <row r="3341">
      <c r="A3341" s="4" t="inlineStr">
        <is>
          <t>03/01/2018</t>
        </is>
      </c>
      <c r="B3341" s="31" t="n">
        <v>60.22</v>
      </c>
    </row>
    <row r="3342">
      <c r="A3342" s="4" t="inlineStr">
        <is>
          <t>04/01/2018</t>
        </is>
      </c>
      <c r="B3342" s="31" t="n">
        <v>60.12</v>
      </c>
    </row>
    <row r="3343">
      <c r="A3343" s="4" t="inlineStr">
        <is>
          <t>05/01/2018</t>
        </is>
      </c>
      <c r="B3343" s="31" t="n">
        <v>59.58</v>
      </c>
    </row>
    <row r="3344">
      <c r="A3344" s="4" t="inlineStr">
        <is>
          <t>08/01/2018</t>
        </is>
      </c>
      <c r="B3344" s="31" t="n">
        <v>59.24</v>
      </c>
    </row>
    <row r="3345">
      <c r="A3345" s="4" t="inlineStr">
        <is>
          <t>09/01/2018</t>
        </is>
      </c>
      <c r="B3345" s="31" t="n">
        <v>58.38</v>
      </c>
    </row>
    <row r="3346">
      <c r="A3346" s="4" t="inlineStr">
        <is>
          <t>10/01/2018</t>
        </is>
      </c>
      <c r="B3346" s="31" t="n">
        <v>58.51</v>
      </c>
    </row>
    <row r="3347">
      <c r="A3347" s="4" t="inlineStr">
        <is>
          <t>11/01/2018</t>
        </is>
      </c>
      <c r="B3347" s="31" t="n">
        <v>57.99</v>
      </c>
    </row>
    <row r="3348">
      <c r="A3348" s="4" t="inlineStr">
        <is>
          <t>12/01/2018</t>
        </is>
      </c>
      <c r="B3348" s="31" t="n">
        <v>58.7</v>
      </c>
    </row>
    <row r="3349">
      <c r="A3349" s="4" t="inlineStr">
        <is>
          <t>15/01/2018</t>
        </is>
      </c>
      <c r="B3349" s="31" t="n">
        <v>57.97</v>
      </c>
    </row>
    <row r="3350">
      <c r="A3350" s="4" t="inlineStr">
        <is>
          <t>16/01/2018</t>
        </is>
      </c>
      <c r="B3350" s="31" t="n">
        <v>56.97</v>
      </c>
    </row>
    <row r="3351">
      <c r="A3351" s="4" t="inlineStr">
        <is>
          <t>17/01/2018</t>
        </is>
      </c>
      <c r="B3351" s="31" t="n">
        <v>57.58</v>
      </c>
    </row>
    <row r="3352">
      <c r="A3352" s="4" t="inlineStr">
        <is>
          <t>18/01/2018</t>
        </is>
      </c>
      <c r="B3352" s="31" t="n">
        <v>57.74</v>
      </c>
    </row>
    <row r="3353">
      <c r="A3353" s="4" t="inlineStr">
        <is>
          <t>19/01/2018</t>
        </is>
      </c>
      <c r="B3353" s="31" t="n">
        <v>57.83</v>
      </c>
    </row>
    <row r="3354">
      <c r="A3354" s="4" t="inlineStr">
        <is>
          <t>22/01/2018</t>
        </is>
      </c>
      <c r="B3354" s="31" t="n">
        <v>58.34</v>
      </c>
    </row>
    <row r="3355">
      <c r="A3355" s="4" t="inlineStr">
        <is>
          <t>23/01/2018</t>
        </is>
      </c>
      <c r="B3355" s="31" t="n">
        <v>58.26</v>
      </c>
    </row>
    <row r="3356">
      <c r="A3356" s="4" t="inlineStr">
        <is>
          <t>24/01/2018</t>
        </is>
      </c>
      <c r="B3356" s="31" t="n">
        <v>57.58</v>
      </c>
    </row>
    <row r="3357">
      <c r="A3357" s="4" t="inlineStr">
        <is>
          <t>25/01/2018</t>
        </is>
      </c>
      <c r="B3357" s="31" t="n">
        <v>57.86</v>
      </c>
    </row>
    <row r="3358">
      <c r="A3358" s="4" t="inlineStr">
        <is>
          <t>26/01/2018</t>
        </is>
      </c>
      <c r="B3358" s="31" t="n">
        <v>58.26</v>
      </c>
    </row>
    <row r="3359">
      <c r="A3359" s="4" t="inlineStr">
        <is>
          <t>29/01/2018</t>
        </is>
      </c>
      <c r="B3359" s="31" t="n">
        <v>58.27</v>
      </c>
    </row>
    <row r="3360">
      <c r="A3360" s="4" t="inlineStr">
        <is>
          <t>30/01/2018</t>
        </is>
      </c>
      <c r="B3360" s="31" t="n">
        <v>58.42</v>
      </c>
    </row>
    <row r="3361">
      <c r="A3361" s="4" t="inlineStr">
        <is>
          <t>31/01/2018</t>
        </is>
      </c>
      <c r="B3361" s="31" t="n">
        <v>58.61</v>
      </c>
    </row>
    <row r="3362">
      <c r="A3362" s="4" t="inlineStr">
        <is>
          <t>01/02/2018</t>
        </is>
      </c>
      <c r="B3362" s="31" t="n">
        <v>58.7</v>
      </c>
    </row>
    <row r="3363">
      <c r="A3363" s="4" t="inlineStr">
        <is>
          <t>02/02/2018</t>
        </is>
      </c>
      <c r="B3363" s="31" t="n">
        <v>59.34</v>
      </c>
    </row>
    <row r="3364">
      <c r="A3364" s="4" t="inlineStr">
        <is>
          <t>05/02/2018</t>
        </is>
      </c>
      <c r="B3364" s="31" t="n">
        <v>59.16</v>
      </c>
    </row>
    <row r="3365">
      <c r="A3365" s="4" t="inlineStr">
        <is>
          <t>06/02/2018</t>
        </is>
      </c>
      <c r="B3365" s="31" t="n">
        <v>59.73</v>
      </c>
    </row>
    <row r="3366">
      <c r="A3366" s="4" t="inlineStr">
        <is>
          <t>07/02/2018</t>
        </is>
      </c>
      <c r="B3366" s="31" t="n">
        <v>59.72</v>
      </c>
    </row>
    <row r="3367">
      <c r="A3367" s="4" t="inlineStr">
        <is>
          <t>08/02/2018</t>
        </is>
      </c>
      <c r="B3367" s="31" t="n">
        <v>59.61</v>
      </c>
    </row>
    <row r="3368">
      <c r="A3368" s="4" t="inlineStr">
        <is>
          <t>09/02/2018</t>
        </is>
      </c>
      <c r="B3368" s="31" t="n">
        <v>59.59</v>
      </c>
    </row>
    <row r="3369">
      <c r="A3369" s="4" t="inlineStr">
        <is>
          <t>14/02/2018</t>
        </is>
      </c>
      <c r="B3369" s="31" t="n">
        <v>59.93</v>
      </c>
    </row>
    <row r="3370">
      <c r="A3370" s="4" t="inlineStr">
        <is>
          <t>15/02/2018</t>
        </is>
      </c>
      <c r="B3370" s="31" t="n">
        <v>60.54</v>
      </c>
    </row>
    <row r="3371">
      <c r="A3371" s="4" t="inlineStr">
        <is>
          <t>16/02/2018</t>
        </is>
      </c>
      <c r="B3371" s="31" t="n">
        <v>60.81</v>
      </c>
    </row>
    <row r="3372">
      <c r="A3372" s="4" t="inlineStr">
        <is>
          <t>19/02/2018</t>
        </is>
      </c>
      <c r="B3372" s="31" t="n">
        <v>61.16</v>
      </c>
    </row>
    <row r="3373">
      <c r="A3373" s="4" t="inlineStr">
        <is>
          <t>20/02/2018</t>
        </is>
      </c>
      <c r="B3373" s="31" t="n">
        <v>61.91</v>
      </c>
    </row>
    <row r="3374">
      <c r="A3374" s="4" t="inlineStr">
        <is>
          <t>21/02/2018</t>
        </is>
      </c>
      <c r="B3374" s="31" t="n">
        <v>62.92</v>
      </c>
    </row>
    <row r="3375">
      <c r="A3375" s="4" t="inlineStr">
        <is>
          <t>22/02/2018</t>
        </is>
      </c>
      <c r="B3375" s="31" t="n">
        <v>64.54000000000001</v>
      </c>
    </row>
    <row r="3376">
      <c r="A3376" s="4" t="inlineStr">
        <is>
          <t>23/02/2018</t>
        </is>
      </c>
      <c r="B3376" s="31" t="n">
        <v>65.7</v>
      </c>
    </row>
    <row r="3377">
      <c r="A3377" s="4" t="inlineStr">
        <is>
          <t>26/02/2018</t>
        </is>
      </c>
      <c r="B3377" s="31" t="n">
        <v>66.22</v>
      </c>
    </row>
    <row r="3378">
      <c r="A3378" s="4" t="inlineStr">
        <is>
          <t>27/02/2018</t>
        </is>
      </c>
      <c r="B3378" s="31" t="n">
        <v>68.70999999999999</v>
      </c>
    </row>
    <row r="3379">
      <c r="A3379" s="4" t="inlineStr">
        <is>
          <t>28/02/2018</t>
        </is>
      </c>
      <c r="B3379" s="31" t="n">
        <v>70.06</v>
      </c>
    </row>
    <row r="3380">
      <c r="A3380" s="4" t="inlineStr">
        <is>
          <t>01/03/2018</t>
        </is>
      </c>
      <c r="B3380" s="31" t="n">
        <v>70.58</v>
      </c>
    </row>
    <row r="3381">
      <c r="A3381" s="4" t="inlineStr">
        <is>
          <t>02/03/2018</t>
        </is>
      </c>
      <c r="B3381" s="31" t="n">
        <v>71.15000000000001</v>
      </c>
    </row>
    <row r="3382">
      <c r="A3382" s="4" t="inlineStr">
        <is>
          <t>05/03/2018</t>
        </is>
      </c>
      <c r="B3382" s="31" t="n">
        <v>73.51000000000001</v>
      </c>
    </row>
    <row r="3383">
      <c r="A3383" s="4" t="inlineStr">
        <is>
          <t>06/03/2018</t>
        </is>
      </c>
      <c r="B3383" s="31" t="n">
        <v>72.84999999999999</v>
      </c>
    </row>
    <row r="3384">
      <c r="A3384" s="4" t="inlineStr">
        <is>
          <t>07/03/2018</t>
        </is>
      </c>
      <c r="B3384" s="31" t="n">
        <v>72.78</v>
      </c>
    </row>
    <row r="3385">
      <c r="A3385" s="4" t="inlineStr">
        <is>
          <t>08/03/2018</t>
        </is>
      </c>
      <c r="B3385" s="31" t="n">
        <v>73.38</v>
      </c>
    </row>
    <row r="3386">
      <c r="A3386" s="4" t="inlineStr">
        <is>
          <t>09/03/2018</t>
        </is>
      </c>
      <c r="B3386" s="31" t="n">
        <v>73.56</v>
      </c>
    </row>
    <row r="3387">
      <c r="A3387" s="4" t="inlineStr">
        <is>
          <t>12/03/2018</t>
        </is>
      </c>
      <c r="B3387" s="31" t="n">
        <v>75.09</v>
      </c>
    </row>
    <row r="3388">
      <c r="A3388" s="4" t="inlineStr">
        <is>
          <t>13/03/2018</t>
        </is>
      </c>
      <c r="B3388" s="31" t="n">
        <v>76.23</v>
      </c>
    </row>
    <row r="3389">
      <c r="A3389" s="4" t="inlineStr">
        <is>
          <t>14/03/2018</t>
        </is>
      </c>
      <c r="B3389" s="31" t="n">
        <v>76.23999999999999</v>
      </c>
    </row>
    <row r="3390">
      <c r="A3390" s="4" t="inlineStr">
        <is>
          <t>15/03/2018</t>
        </is>
      </c>
      <c r="B3390" s="31" t="n">
        <v>75.09</v>
      </c>
    </row>
    <row r="3391">
      <c r="A3391" s="4" t="inlineStr">
        <is>
          <t>16/03/2018</t>
        </is>
      </c>
      <c r="B3391" s="31" t="n">
        <v>73.62</v>
      </c>
    </row>
    <row r="3392">
      <c r="A3392" s="4" t="inlineStr">
        <is>
          <t>19/03/2018</t>
        </is>
      </c>
      <c r="B3392" s="31" t="n">
        <v>73.7</v>
      </c>
    </row>
    <row r="3393">
      <c r="A3393" s="4" t="inlineStr">
        <is>
          <t>20/03/2018</t>
        </is>
      </c>
      <c r="B3393" s="31" t="n">
        <v>73.92</v>
      </c>
    </row>
    <row r="3394">
      <c r="A3394" s="4" t="inlineStr">
        <is>
          <t>21/03/2018</t>
        </is>
      </c>
      <c r="B3394" s="31" t="n">
        <v>74.09</v>
      </c>
    </row>
    <row r="3395">
      <c r="A3395" s="4" t="inlineStr">
        <is>
          <t>22/03/2018</t>
        </is>
      </c>
      <c r="B3395" s="31" t="n">
        <v>73.88</v>
      </c>
    </row>
    <row r="3396">
      <c r="A3396" s="4" t="inlineStr">
        <is>
          <t>23/03/2018</t>
        </is>
      </c>
      <c r="B3396" s="31" t="n">
        <v>72.84999999999999</v>
      </c>
    </row>
    <row r="3397">
      <c r="A3397" s="4" t="inlineStr">
        <is>
          <t>26/03/2018</t>
        </is>
      </c>
      <c r="B3397" s="31" t="n">
        <v>73.3</v>
      </c>
    </row>
    <row r="3398">
      <c r="A3398" s="4" t="inlineStr">
        <is>
          <t>27/03/2018</t>
        </is>
      </c>
      <c r="B3398" s="31" t="n">
        <v>72.92</v>
      </c>
    </row>
    <row r="3399">
      <c r="A3399" s="4" t="inlineStr">
        <is>
          <t>28/03/2018</t>
        </is>
      </c>
      <c r="B3399" s="31" t="n">
        <v>72.37</v>
      </c>
    </row>
    <row r="3400">
      <c r="A3400" s="4" t="inlineStr">
        <is>
          <t>29/03/2018</t>
        </is>
      </c>
      <c r="B3400" s="31" t="n">
        <v>71.66</v>
      </c>
    </row>
    <row r="3401">
      <c r="A3401" s="4" t="inlineStr">
        <is>
          <t>02/04/2018</t>
        </is>
      </c>
      <c r="B3401" s="31" t="n">
        <v>70.41</v>
      </c>
    </row>
    <row r="3402">
      <c r="A3402" s="4" t="inlineStr">
        <is>
          <t>03/04/2018</t>
        </is>
      </c>
      <c r="B3402" s="31" t="n">
        <v>70.76000000000001</v>
      </c>
    </row>
    <row r="3403">
      <c r="A3403" s="4" t="inlineStr">
        <is>
          <t>04/04/2018</t>
        </is>
      </c>
      <c r="B3403" s="31" t="n">
        <v>72.09999999999999</v>
      </c>
    </row>
    <row r="3404">
      <c r="A3404" s="4" t="inlineStr">
        <is>
          <t>05/04/2018</t>
        </is>
      </c>
      <c r="B3404" s="31" t="n">
        <v>72.69</v>
      </c>
    </row>
    <row r="3405">
      <c r="A3405" s="4" t="inlineStr">
        <is>
          <t>06/04/2018</t>
        </is>
      </c>
      <c r="B3405" s="31" t="n">
        <v>73.04000000000001</v>
      </c>
    </row>
    <row r="3406">
      <c r="A3406" s="4" t="inlineStr">
        <is>
          <t>09/04/2018</t>
        </is>
      </c>
      <c r="B3406" s="31" t="n">
        <v>73.13</v>
      </c>
    </row>
    <row r="3407">
      <c r="A3407" s="4" t="inlineStr">
        <is>
          <t>10/04/2018</t>
        </is>
      </c>
      <c r="B3407" s="31" t="n">
        <v>72.44</v>
      </c>
    </row>
    <row r="3408">
      <c r="A3408" s="4" t="inlineStr">
        <is>
          <t>11/04/2018</t>
        </is>
      </c>
      <c r="B3408" s="31" t="n">
        <v>72.09</v>
      </c>
    </row>
    <row r="3409">
      <c r="A3409" s="4" t="inlineStr">
        <is>
          <t>12/04/2018</t>
        </is>
      </c>
      <c r="B3409" s="31" t="n">
        <v>71.47</v>
      </c>
    </row>
    <row r="3410">
      <c r="A3410" s="4" t="inlineStr">
        <is>
          <t>13/04/2018</t>
        </is>
      </c>
      <c r="B3410" s="31" t="n">
        <v>70.5</v>
      </c>
    </row>
    <row r="3411">
      <c r="A3411" s="4" t="inlineStr">
        <is>
          <t>16/04/2018</t>
        </is>
      </c>
      <c r="B3411" s="31" t="n">
        <v>70.87</v>
      </c>
    </row>
    <row r="3412">
      <c r="A3412" s="4" t="inlineStr">
        <is>
          <t>17/04/2018</t>
        </is>
      </c>
      <c r="B3412" s="31" t="n">
        <v>70.70999999999999</v>
      </c>
    </row>
    <row r="3413">
      <c r="A3413" s="4" t="inlineStr">
        <is>
          <t>18/04/2018</t>
        </is>
      </c>
      <c r="B3413" s="31" t="n">
        <v>70.25</v>
      </c>
    </row>
    <row r="3414">
      <c r="A3414" s="4" t="inlineStr">
        <is>
          <t>19/04/2018</t>
        </is>
      </c>
      <c r="B3414" s="31" t="n">
        <v>69.52</v>
      </c>
    </row>
    <row r="3415">
      <c r="A3415" s="4" t="inlineStr">
        <is>
          <t>20/04/2018</t>
        </is>
      </c>
      <c r="B3415" s="31" t="n">
        <v>68.55</v>
      </c>
    </row>
    <row r="3416">
      <c r="A3416" s="4" t="inlineStr">
        <is>
          <t>23/04/2018</t>
        </is>
      </c>
      <c r="B3416" s="31" t="n">
        <v>67.81</v>
      </c>
    </row>
    <row r="3417">
      <c r="A3417" s="4" t="inlineStr">
        <is>
          <t>24/04/2018</t>
        </is>
      </c>
      <c r="B3417" s="31" t="n">
        <v>68.59</v>
      </c>
    </row>
    <row r="3418">
      <c r="A3418" s="4" t="inlineStr">
        <is>
          <t>25/04/2018</t>
        </is>
      </c>
      <c r="B3418" s="31" t="n">
        <v>68.70999999999999</v>
      </c>
    </row>
    <row r="3419">
      <c r="A3419" s="4" t="inlineStr">
        <is>
          <t>26/04/2018</t>
        </is>
      </c>
      <c r="B3419" s="31" t="n">
        <v>68.54000000000001</v>
      </c>
    </row>
    <row r="3420">
      <c r="A3420" s="4" t="inlineStr">
        <is>
          <t>27/04/2018</t>
        </is>
      </c>
      <c r="B3420" s="31" t="n">
        <v>68.84</v>
      </c>
    </row>
    <row r="3421">
      <c r="A3421" s="4" t="inlineStr">
        <is>
          <t>30/04/2018</t>
        </is>
      </c>
      <c r="B3421" s="31" t="n">
        <v>69.58</v>
      </c>
    </row>
    <row r="3422">
      <c r="A3422" s="4" t="inlineStr">
        <is>
          <t>02/05/2018</t>
        </is>
      </c>
      <c r="B3422" s="31" t="n">
        <v>69.34</v>
      </c>
    </row>
    <row r="3423">
      <c r="A3423" s="4" t="inlineStr">
        <is>
          <t>03/05/2018</t>
        </is>
      </c>
      <c r="B3423" s="31" t="n">
        <v>69.73</v>
      </c>
    </row>
    <row r="3424">
      <c r="A3424" s="4" t="inlineStr">
        <is>
          <t>04/05/2018</t>
        </is>
      </c>
      <c r="B3424" s="31" t="n">
        <v>70.42</v>
      </c>
    </row>
    <row r="3425">
      <c r="A3425" s="4" t="inlineStr">
        <is>
          <t>07/05/2018</t>
        </is>
      </c>
      <c r="B3425" s="31" t="n">
        <v>72.31</v>
      </c>
    </row>
    <row r="3426">
      <c r="A3426" s="4" t="inlineStr">
        <is>
          <t>08/05/2018</t>
        </is>
      </c>
      <c r="B3426" s="31" t="n">
        <v>72.45</v>
      </c>
    </row>
    <row r="3427">
      <c r="A3427" s="4" t="inlineStr">
        <is>
          <t>09/05/2018</t>
        </is>
      </c>
      <c r="B3427" s="31" t="n">
        <v>73.39</v>
      </c>
    </row>
    <row r="3428">
      <c r="A3428" s="4" t="inlineStr">
        <is>
          <t>10/05/2018</t>
        </is>
      </c>
      <c r="B3428" s="31" t="n">
        <v>73.16</v>
      </c>
    </row>
    <row r="3429">
      <c r="A3429" s="4" t="inlineStr">
        <is>
          <t>11/05/2018</t>
        </is>
      </c>
      <c r="B3429" s="31" t="n">
        <v>73.91</v>
      </c>
    </row>
    <row r="3430">
      <c r="A3430" s="4" t="inlineStr">
        <is>
          <t>14/05/2018</t>
        </is>
      </c>
      <c r="B3430" s="31" t="n">
        <v>73.40000000000001</v>
      </c>
    </row>
    <row r="3431">
      <c r="A3431" s="4" t="inlineStr">
        <is>
          <t>15/05/2018</t>
        </is>
      </c>
      <c r="B3431" s="31" t="n">
        <v>73.59999999999999</v>
      </c>
    </row>
    <row r="3432">
      <c r="A3432" s="4" t="inlineStr">
        <is>
          <t>16/05/2018</t>
        </is>
      </c>
      <c r="B3432" s="31" t="n">
        <v>74</v>
      </c>
    </row>
    <row r="3433">
      <c r="A3433" s="4" t="inlineStr">
        <is>
          <t>17/05/2018</t>
        </is>
      </c>
      <c r="B3433" s="31" t="n">
        <v>74.15000000000001</v>
      </c>
    </row>
    <row r="3434">
      <c r="A3434" s="4" t="inlineStr">
        <is>
          <t>18/05/2018</t>
        </is>
      </c>
      <c r="B3434" s="31" t="n">
        <v>74.22</v>
      </c>
    </row>
    <row r="3435">
      <c r="A3435" s="4" t="inlineStr">
        <is>
          <t>21/05/2018</t>
        </is>
      </c>
      <c r="B3435" s="31" t="n">
        <v>75.51000000000001</v>
      </c>
    </row>
    <row r="3436">
      <c r="A3436" s="4" t="inlineStr">
        <is>
          <t>22/05/2018</t>
        </is>
      </c>
      <c r="B3436" s="31" t="n">
        <v>76</v>
      </c>
    </row>
    <row r="3437">
      <c r="A3437" s="4" t="inlineStr">
        <is>
          <t>23/05/2018</t>
        </is>
      </c>
      <c r="B3437" s="31" t="n">
        <v>76.90000000000001</v>
      </c>
    </row>
    <row r="3438">
      <c r="A3438" s="4" t="inlineStr">
        <is>
          <t>24/05/2018</t>
        </is>
      </c>
      <c r="B3438" s="31" t="n">
        <v>77.39</v>
      </c>
    </row>
    <row r="3439">
      <c r="A3439" s="4" t="inlineStr">
        <is>
          <t>25/05/2018</t>
        </is>
      </c>
      <c r="B3439" s="31" t="n">
        <v>77.04000000000001</v>
      </c>
    </row>
    <row r="3440">
      <c r="A3440" s="4" t="inlineStr">
        <is>
          <t>28/05/2018</t>
        </is>
      </c>
      <c r="B3440" s="31" t="n">
        <v>76.87</v>
      </c>
    </row>
    <row r="3441">
      <c r="A3441" s="4" t="inlineStr">
        <is>
          <t>29/05/2018</t>
        </is>
      </c>
      <c r="B3441" s="31" t="n">
        <v>78.40000000000001</v>
      </c>
    </row>
    <row r="3442">
      <c r="A3442" s="4" t="inlineStr">
        <is>
          <t>30/05/2018</t>
        </is>
      </c>
      <c r="B3442" s="31" t="n">
        <v>79.23999999999999</v>
      </c>
    </row>
    <row r="3443">
      <c r="A3443" s="4" t="inlineStr">
        <is>
          <t>01/06/2018</t>
        </is>
      </c>
      <c r="B3443" s="31" t="n">
        <v>78.47</v>
      </c>
    </row>
    <row r="3444">
      <c r="A3444" s="4" t="inlineStr">
        <is>
          <t>04/06/2018</t>
        </is>
      </c>
      <c r="B3444" s="31" t="n">
        <v>76.52</v>
      </c>
    </row>
    <row r="3445">
      <c r="A3445" s="4" t="inlineStr">
        <is>
          <t>05/06/2018</t>
        </is>
      </c>
      <c r="B3445" s="31" t="n">
        <v>74.86</v>
      </c>
    </row>
    <row r="3446">
      <c r="A3446" s="4" t="inlineStr">
        <is>
          <t>06/06/2018</t>
        </is>
      </c>
      <c r="B3446" s="31" t="n">
        <v>74.69</v>
      </c>
    </row>
    <row r="3447">
      <c r="A3447" s="4" t="inlineStr">
        <is>
          <t>07/06/2018</t>
        </is>
      </c>
      <c r="B3447" s="31" t="n">
        <v>74.52</v>
      </c>
    </row>
    <row r="3448">
      <c r="A3448" s="4" t="inlineStr">
        <is>
          <t>08/06/2018</t>
        </is>
      </c>
      <c r="B3448" s="31" t="n">
        <v>73.98999999999999</v>
      </c>
    </row>
    <row r="3449">
      <c r="A3449" s="4" t="inlineStr">
        <is>
          <t>11/06/2018</t>
        </is>
      </c>
      <c r="B3449" s="31" t="n">
        <v>73.3</v>
      </c>
    </row>
    <row r="3450">
      <c r="A3450" s="4" t="inlineStr">
        <is>
          <t>12/06/2018</t>
        </is>
      </c>
      <c r="B3450" s="31" t="n">
        <v>71.34</v>
      </c>
    </row>
    <row r="3451">
      <c r="A3451" s="4" t="inlineStr">
        <is>
          <t>13/06/2018</t>
        </is>
      </c>
      <c r="B3451" s="31" t="n">
        <v>69.59</v>
      </c>
    </row>
    <row r="3452">
      <c r="A3452" s="4" t="inlineStr">
        <is>
          <t>14/06/2018</t>
        </is>
      </c>
      <c r="B3452" s="31" t="n">
        <v>68.81</v>
      </c>
    </row>
    <row r="3453">
      <c r="A3453" s="4" t="inlineStr">
        <is>
          <t>15/06/2018</t>
        </is>
      </c>
      <c r="B3453" s="31" t="n">
        <v>68.47</v>
      </c>
    </row>
    <row r="3454">
      <c r="A3454" s="4" t="inlineStr">
        <is>
          <t>18/06/2018</t>
        </is>
      </c>
      <c r="B3454" s="31" t="n">
        <v>68.40000000000001</v>
      </c>
    </row>
    <row r="3455">
      <c r="A3455" s="4" t="inlineStr">
        <is>
          <t>19/06/2018</t>
        </is>
      </c>
      <c r="B3455" s="31" t="n">
        <v>67.75</v>
      </c>
    </row>
    <row r="3456">
      <c r="A3456" s="4" t="inlineStr">
        <is>
          <t>20/06/2018</t>
        </is>
      </c>
      <c r="B3456" s="31" t="n">
        <v>66.28</v>
      </c>
    </row>
    <row r="3457">
      <c r="A3457" s="4" t="inlineStr">
        <is>
          <t>21/06/2018</t>
        </is>
      </c>
      <c r="B3457" s="31" t="n">
        <v>66.11</v>
      </c>
    </row>
    <row r="3458">
      <c r="A3458" s="4" t="inlineStr">
        <is>
          <t>22/06/2018</t>
        </is>
      </c>
      <c r="B3458" s="31" t="n">
        <v>64.79000000000001</v>
      </c>
    </row>
    <row r="3459">
      <c r="A3459" s="4" t="inlineStr">
        <is>
          <t>25/06/2018</t>
        </is>
      </c>
      <c r="B3459" s="31" t="n">
        <v>64.56999999999999</v>
      </c>
    </row>
    <row r="3460">
      <c r="A3460" s="4" t="inlineStr">
        <is>
          <t>26/06/2018</t>
        </is>
      </c>
      <c r="B3460" s="31" t="n">
        <v>63.87</v>
      </c>
    </row>
    <row r="3461">
      <c r="A3461" s="4" t="inlineStr">
        <is>
          <t>27/06/2018</t>
        </is>
      </c>
      <c r="B3461" s="31" t="n">
        <v>63.56</v>
      </c>
    </row>
    <row r="3462">
      <c r="A3462" s="4" t="inlineStr">
        <is>
          <t>28/06/2018</t>
        </is>
      </c>
      <c r="B3462" s="31" t="n">
        <v>63.16</v>
      </c>
    </row>
    <row r="3463">
      <c r="A3463" s="4" t="inlineStr">
        <is>
          <t>29/06/2018</t>
        </is>
      </c>
      <c r="B3463" s="31" t="n">
        <v>63.22</v>
      </c>
    </row>
    <row r="3464">
      <c r="A3464" s="4" t="inlineStr">
        <is>
          <t>02/07/2018</t>
        </is>
      </c>
      <c r="B3464" s="31" t="n">
        <v>62.57</v>
      </c>
    </row>
    <row r="3465">
      <c r="A3465" s="4" t="inlineStr">
        <is>
          <t>03/07/2018</t>
        </is>
      </c>
      <c r="B3465" s="31" t="n">
        <v>61.6</v>
      </c>
    </row>
    <row r="3466">
      <c r="A3466" s="4" t="inlineStr">
        <is>
          <t>04/07/2018</t>
        </is>
      </c>
      <c r="B3466" s="31" t="n">
        <v>60</v>
      </c>
    </row>
    <row r="3467">
      <c r="A3467" s="4" t="inlineStr">
        <is>
          <t>05/07/2018</t>
        </is>
      </c>
      <c r="B3467" s="31" t="n">
        <v>61.98</v>
      </c>
    </row>
    <row r="3468">
      <c r="A3468" s="4" t="inlineStr">
        <is>
          <t>06/07/2018</t>
        </is>
      </c>
      <c r="B3468" s="31" t="n">
        <v>61.62</v>
      </c>
    </row>
    <row r="3469">
      <c r="A3469" s="4" t="inlineStr">
        <is>
          <t>09/07/2018</t>
        </is>
      </c>
      <c r="B3469" s="31" t="n">
        <v>61.21</v>
      </c>
    </row>
    <row r="3470">
      <c r="A3470" s="4" t="inlineStr">
        <is>
          <t>10/07/2018</t>
        </is>
      </c>
      <c r="B3470" s="31" t="n">
        <v>62.72</v>
      </c>
    </row>
    <row r="3471">
      <c r="A3471" s="4" t="inlineStr">
        <is>
          <t>11/07/2018</t>
        </is>
      </c>
      <c r="B3471" s="31" t="n">
        <v>62.32</v>
      </c>
    </row>
    <row r="3472">
      <c r="A3472" s="4" t="inlineStr">
        <is>
          <t>12/07/2018</t>
        </is>
      </c>
      <c r="B3472" s="31" t="n">
        <v>62.98</v>
      </c>
    </row>
    <row r="3473">
      <c r="A3473" s="4" t="inlineStr">
        <is>
          <t>13/07/2018</t>
        </is>
      </c>
      <c r="B3473" s="31" t="n">
        <v>62.44</v>
      </c>
    </row>
    <row r="3474">
      <c r="A3474" s="4" t="inlineStr">
        <is>
          <t>16/07/2018</t>
        </is>
      </c>
      <c r="B3474" s="31" t="n">
        <v>63.32</v>
      </c>
    </row>
    <row r="3475">
      <c r="A3475" s="4" t="inlineStr">
        <is>
          <t>17/07/2018</t>
        </is>
      </c>
      <c r="B3475" s="31" t="n">
        <v>63.12</v>
      </c>
    </row>
    <row r="3476">
      <c r="A3476" s="4" t="inlineStr">
        <is>
          <t>18/07/2018</t>
        </is>
      </c>
      <c r="B3476" s="31" t="n">
        <v>63.42</v>
      </c>
    </row>
    <row r="3477">
      <c r="A3477" s="4" t="inlineStr">
        <is>
          <t>19/07/2018</t>
        </is>
      </c>
      <c r="B3477" s="31" t="n">
        <v>63.56</v>
      </c>
    </row>
    <row r="3478">
      <c r="A3478" s="4" t="inlineStr">
        <is>
          <t>20/07/2018</t>
        </is>
      </c>
      <c r="B3478" s="31" t="n">
        <v>64.17</v>
      </c>
    </row>
    <row r="3479">
      <c r="A3479" s="4" t="inlineStr">
        <is>
          <t>23/07/2018</t>
        </is>
      </c>
      <c r="B3479" s="31" t="n">
        <v>64.15000000000001</v>
      </c>
    </row>
    <row r="3480">
      <c r="A3480" s="4" t="inlineStr">
        <is>
          <t>24/07/2018</t>
        </is>
      </c>
      <c r="B3480" s="31" t="n">
        <v>64.03</v>
      </c>
    </row>
    <row r="3481">
      <c r="A3481" s="4" t="inlineStr">
        <is>
          <t>25/07/2018</t>
        </is>
      </c>
      <c r="B3481" s="31" t="n">
        <v>64.51000000000001</v>
      </c>
    </row>
    <row r="3482">
      <c r="A3482" s="4" t="inlineStr">
        <is>
          <t>26/07/2018</t>
        </is>
      </c>
      <c r="B3482" s="31" t="n">
        <v>64.75</v>
      </c>
    </row>
    <row r="3483">
      <c r="A3483" s="4" t="inlineStr">
        <is>
          <t>27/07/2018</t>
        </is>
      </c>
      <c r="B3483" s="31" t="n">
        <v>65.55</v>
      </c>
    </row>
    <row r="3484">
      <c r="A3484" s="4" t="inlineStr">
        <is>
          <t>30/07/2018</t>
        </is>
      </c>
      <c r="B3484" s="31" t="n">
        <v>65.94</v>
      </c>
    </row>
    <row r="3485">
      <c r="A3485" s="4" t="inlineStr">
        <is>
          <t>31/07/2018</t>
        </is>
      </c>
      <c r="B3485" s="31" t="n">
        <v>66.93000000000001</v>
      </c>
    </row>
    <row r="3486">
      <c r="A3486" s="4" t="inlineStr">
        <is>
          <t>01/08/2018</t>
        </is>
      </c>
      <c r="B3486" s="31" t="n">
        <v>66.65000000000001</v>
      </c>
    </row>
    <row r="3487">
      <c r="A3487" s="4" t="inlineStr">
        <is>
          <t>02/08/2018</t>
        </is>
      </c>
      <c r="B3487" s="31" t="n">
        <v>67.15000000000001</v>
      </c>
    </row>
    <row r="3488">
      <c r="A3488" s="4" t="inlineStr">
        <is>
          <t>03/08/2018</t>
        </is>
      </c>
      <c r="B3488" s="31" t="n">
        <v>67.20999999999999</v>
      </c>
    </row>
    <row r="3489">
      <c r="A3489" s="4" t="inlineStr">
        <is>
          <t>06/08/2018</t>
        </is>
      </c>
      <c r="B3489" s="31" t="n">
        <v>67.64</v>
      </c>
    </row>
    <row r="3490">
      <c r="A3490" s="4" t="inlineStr">
        <is>
          <t>07/08/2018</t>
        </is>
      </c>
      <c r="B3490" s="31" t="n">
        <v>69.87</v>
      </c>
    </row>
    <row r="3491">
      <c r="A3491" s="4" t="inlineStr">
        <is>
          <t>08/08/2018</t>
        </is>
      </c>
      <c r="B3491" s="31" t="n">
        <v>70.75</v>
      </c>
    </row>
    <row r="3492">
      <c r="A3492" s="4" t="inlineStr">
        <is>
          <t>09/08/2018</t>
        </is>
      </c>
      <c r="B3492" s="31" t="n">
        <v>70.84</v>
      </c>
    </row>
    <row r="3493">
      <c r="A3493" s="4" t="inlineStr">
        <is>
          <t>10/08/2018</t>
        </is>
      </c>
      <c r="B3493" s="31" t="n">
        <v>71.19</v>
      </c>
    </row>
    <row r="3494">
      <c r="A3494" s="4" t="inlineStr">
        <is>
          <t>13/08/2018</t>
        </is>
      </c>
      <c r="B3494" s="31" t="n">
        <v>70.47</v>
      </c>
    </row>
    <row r="3495">
      <c r="A3495" s="4" t="inlineStr">
        <is>
          <t>14/08/2018</t>
        </is>
      </c>
      <c r="B3495" s="31" t="n">
        <v>69.73999999999999</v>
      </c>
    </row>
    <row r="3496">
      <c r="A3496" s="4" t="inlineStr">
        <is>
          <t>15/08/2018</t>
        </is>
      </c>
      <c r="B3496" s="31" t="n">
        <v>69.93000000000001</v>
      </c>
    </row>
    <row r="3497">
      <c r="A3497" s="4" t="inlineStr">
        <is>
          <t>16/08/2018</t>
        </is>
      </c>
      <c r="B3497" s="31" t="n">
        <v>70.26000000000001</v>
      </c>
    </row>
    <row r="3498">
      <c r="A3498" s="4" t="inlineStr">
        <is>
          <t>17/08/2018</t>
        </is>
      </c>
      <c r="B3498" s="31" t="n">
        <v>69.77</v>
      </c>
    </row>
    <row r="3499">
      <c r="A3499" s="4" t="inlineStr">
        <is>
          <t>20/08/2018</t>
        </is>
      </c>
      <c r="B3499" s="31" t="n">
        <v>69.72</v>
      </c>
    </row>
    <row r="3500">
      <c r="A3500" s="4" t="inlineStr">
        <is>
          <t>21/08/2018</t>
        </is>
      </c>
      <c r="B3500" s="31" t="n">
        <v>69.47</v>
      </c>
    </row>
    <row r="3501">
      <c r="A3501" s="4" t="inlineStr">
        <is>
          <t>22/08/2018</t>
        </is>
      </c>
      <c r="B3501" s="31" t="n">
        <v>70.16</v>
      </c>
    </row>
    <row r="3502">
      <c r="A3502" s="4" t="inlineStr">
        <is>
          <t>23/08/2018</t>
        </is>
      </c>
      <c r="B3502" s="31" t="n">
        <v>70.43000000000001</v>
      </c>
    </row>
    <row r="3503">
      <c r="A3503" s="4" t="inlineStr">
        <is>
          <t>24/08/2018</t>
        </is>
      </c>
      <c r="B3503" s="31" t="n">
        <v>70.38</v>
      </c>
    </row>
    <row r="3504">
      <c r="A3504" s="4" t="inlineStr">
        <is>
          <t>27/08/2018</t>
        </is>
      </c>
      <c r="B3504" s="31" t="n">
        <v>70.09</v>
      </c>
    </row>
    <row r="3505">
      <c r="A3505" s="4" t="inlineStr">
        <is>
          <t>28/08/2018</t>
        </is>
      </c>
      <c r="B3505" s="31" t="n">
        <v>69.40000000000001</v>
      </c>
    </row>
    <row r="3506">
      <c r="A3506" s="4" t="inlineStr">
        <is>
          <t>29/08/2018</t>
        </is>
      </c>
      <c r="B3506" s="31" t="n">
        <v>69.59</v>
      </c>
    </row>
    <row r="3507">
      <c r="A3507" s="4" t="inlineStr">
        <is>
          <t>30/08/2018</t>
        </is>
      </c>
      <c r="B3507" s="31" t="n">
        <v>69.59</v>
      </c>
    </row>
    <row r="3508">
      <c r="A3508" s="4" t="inlineStr">
        <is>
          <t>31/08/2018</t>
        </is>
      </c>
      <c r="B3508" s="31" t="n">
        <v>69.44</v>
      </c>
    </row>
    <row r="3509">
      <c r="A3509" s="4" t="inlineStr">
        <is>
          <t>03/09/2018</t>
        </is>
      </c>
      <c r="B3509" s="31" t="n">
        <v>68.06</v>
      </c>
    </row>
    <row r="3510">
      <c r="A3510" s="4" t="inlineStr">
        <is>
          <t>04/09/2018</t>
        </is>
      </c>
      <c r="B3510" s="31" t="n">
        <v>67.95999999999999</v>
      </c>
    </row>
    <row r="3511">
      <c r="A3511" s="4" t="inlineStr">
        <is>
          <t>05/09/2018</t>
        </is>
      </c>
      <c r="B3511" s="31" t="n">
        <v>67.98</v>
      </c>
    </row>
    <row r="3512">
      <c r="A3512" s="4" t="inlineStr">
        <is>
          <t>06/09/2018</t>
        </is>
      </c>
      <c r="B3512" s="31" t="n">
        <v>67.63</v>
      </c>
    </row>
    <row r="3513">
      <c r="A3513" s="4" t="inlineStr">
        <is>
          <t>10/09/2018</t>
        </is>
      </c>
      <c r="B3513" s="31" t="n">
        <v>68.33</v>
      </c>
    </row>
    <row r="3514">
      <c r="A3514" s="4" t="inlineStr">
        <is>
          <t>11/09/2018</t>
        </is>
      </c>
      <c r="B3514" s="31" t="n">
        <v>67.86</v>
      </c>
    </row>
    <row r="3515">
      <c r="A3515" s="4" t="inlineStr">
        <is>
          <t>12/09/2018</t>
        </is>
      </c>
      <c r="B3515" s="31" t="n">
        <v>67.41</v>
      </c>
    </row>
    <row r="3516">
      <c r="A3516" s="4" t="inlineStr">
        <is>
          <t>13/09/2018</t>
        </is>
      </c>
      <c r="B3516" s="31" t="n">
        <v>67.51000000000001</v>
      </c>
    </row>
    <row r="3517">
      <c r="A3517" s="4" t="inlineStr">
        <is>
          <t>14/09/2018</t>
        </is>
      </c>
      <c r="B3517" s="31" t="n">
        <v>67.81</v>
      </c>
    </row>
    <row r="3518">
      <c r="A3518" s="4" t="inlineStr">
        <is>
          <t>17/09/2018</t>
        </is>
      </c>
      <c r="B3518" s="31" t="n">
        <v>68.01000000000001</v>
      </c>
    </row>
    <row r="3519">
      <c r="A3519" s="4" t="inlineStr">
        <is>
          <t>18/09/2018</t>
        </is>
      </c>
      <c r="B3519" s="31" t="n">
        <v>67.26000000000001</v>
      </c>
    </row>
    <row r="3520">
      <c r="A3520" s="4" t="inlineStr">
        <is>
          <t>19/09/2018</t>
        </is>
      </c>
      <c r="B3520" s="31" t="n">
        <v>67.06</v>
      </c>
    </row>
    <row r="3521">
      <c r="A3521" s="4" t="inlineStr">
        <is>
          <t>20/09/2018</t>
        </is>
      </c>
      <c r="B3521" s="31" t="n">
        <v>66.42</v>
      </c>
    </row>
    <row r="3522">
      <c r="A3522" s="4" t="inlineStr">
        <is>
          <t>21/09/2018</t>
        </is>
      </c>
      <c r="B3522" s="31" t="n">
        <v>65.90000000000001</v>
      </c>
    </row>
    <row r="3523">
      <c r="A3523" s="4" t="inlineStr">
        <is>
          <t>24/09/2018</t>
        </is>
      </c>
      <c r="B3523" s="31" t="n">
        <v>66.28</v>
      </c>
    </row>
    <row r="3524">
      <c r="A3524" s="4" t="inlineStr">
        <is>
          <t>25/09/2018</t>
        </is>
      </c>
      <c r="B3524" s="31" t="n">
        <v>65.8</v>
      </c>
    </row>
    <row r="3525">
      <c r="A3525" s="4" t="inlineStr">
        <is>
          <t>26/09/2018</t>
        </is>
      </c>
      <c r="B3525" s="31" t="n">
        <v>65.78</v>
      </c>
    </row>
    <row r="3526">
      <c r="A3526" s="4" t="inlineStr">
        <is>
          <t>27/09/2018</t>
        </is>
      </c>
      <c r="B3526" s="31" t="n">
        <v>65.77</v>
      </c>
    </row>
    <row r="3527">
      <c r="A3527" s="4" t="inlineStr">
        <is>
          <t>28/09/2018</t>
        </is>
      </c>
      <c r="B3527" s="31" t="n">
        <v>65.56999999999999</v>
      </c>
    </row>
    <row r="3528">
      <c r="A3528" s="4" t="inlineStr">
        <is>
          <t>01/10/2018</t>
        </is>
      </c>
      <c r="B3528" s="31" t="n">
        <v>64.86</v>
      </c>
    </row>
    <row r="3529">
      <c r="A3529" s="4" t="inlineStr">
        <is>
          <t>02/10/2018</t>
        </is>
      </c>
      <c r="B3529" s="31" t="n">
        <v>64.41</v>
      </c>
    </row>
    <row r="3530">
      <c r="A3530" s="4" t="inlineStr">
        <is>
          <t>03/10/2018</t>
        </is>
      </c>
      <c r="B3530" s="31" t="n">
        <v>63.59</v>
      </c>
    </row>
    <row r="3531">
      <c r="A3531" s="4" t="inlineStr">
        <is>
          <t>04/10/2018</t>
        </is>
      </c>
      <c r="B3531" s="31" t="n">
        <v>63.26</v>
      </c>
    </row>
    <row r="3532">
      <c r="A3532" s="4" t="inlineStr">
        <is>
          <t>05/10/2018</t>
        </is>
      </c>
      <c r="B3532" s="31" t="n">
        <v>63.97</v>
      </c>
    </row>
    <row r="3533">
      <c r="A3533" s="4" t="inlineStr">
        <is>
          <t>08/10/2018</t>
        </is>
      </c>
      <c r="B3533" s="31" t="n">
        <v>62.88</v>
      </c>
    </row>
    <row r="3534">
      <c r="A3534" s="4" t="inlineStr">
        <is>
          <t>09/10/2018</t>
        </is>
      </c>
      <c r="B3534" s="31" t="n">
        <v>61.95</v>
      </c>
    </row>
    <row r="3535">
      <c r="A3535" s="4" t="inlineStr">
        <is>
          <t>10/10/2018</t>
        </is>
      </c>
      <c r="B3535" s="31" t="n">
        <v>60.98</v>
      </c>
    </row>
    <row r="3536">
      <c r="A3536" s="4" t="inlineStr">
        <is>
          <t>11/10/2018</t>
        </is>
      </c>
      <c r="B3536" s="31" t="n">
        <v>61.21</v>
      </c>
    </row>
    <row r="3537">
      <c r="A3537" s="4" t="inlineStr">
        <is>
          <t>15/10/2018</t>
        </is>
      </c>
      <c r="B3537" s="31" t="n">
        <v>60.82</v>
      </c>
    </row>
    <row r="3538">
      <c r="A3538" s="4" t="inlineStr">
        <is>
          <t>16/10/2018</t>
        </is>
      </c>
      <c r="B3538" s="31" t="n">
        <v>60.3</v>
      </c>
    </row>
    <row r="3539">
      <c r="A3539" s="4" t="inlineStr">
        <is>
          <t>17/10/2018</t>
        </is>
      </c>
      <c r="B3539" s="31" t="n">
        <v>59.35</v>
      </c>
    </row>
    <row r="3540">
      <c r="A3540" s="4" t="inlineStr">
        <is>
          <t>18/10/2018</t>
        </is>
      </c>
      <c r="B3540" s="31" t="n">
        <v>58.79</v>
      </c>
    </row>
    <row r="3541">
      <c r="A3541" s="4" t="inlineStr">
        <is>
          <t>19/10/2018</t>
        </is>
      </c>
      <c r="B3541" s="31" t="n">
        <v>58.08</v>
      </c>
    </row>
    <row r="3542">
      <c r="A3542" s="4" t="inlineStr">
        <is>
          <t>22/10/2018</t>
        </is>
      </c>
      <c r="B3542" s="31" t="n">
        <v>57.9</v>
      </c>
    </row>
    <row r="3543">
      <c r="A3543" s="4" t="inlineStr">
        <is>
          <t>23/10/2018</t>
        </is>
      </c>
      <c r="B3543" s="31" t="n">
        <v>57.53</v>
      </c>
    </row>
    <row r="3544">
      <c r="A3544" s="4" t="inlineStr">
        <is>
          <t>24/10/2018</t>
        </is>
      </c>
      <c r="B3544" s="31" t="n">
        <v>57.37</v>
      </c>
    </row>
    <row r="3545">
      <c r="A3545" s="4" t="inlineStr">
        <is>
          <t>25/10/2018</t>
        </is>
      </c>
      <c r="B3545" s="31" t="n">
        <v>57.65</v>
      </c>
    </row>
    <row r="3546">
      <c r="A3546" s="4" t="inlineStr">
        <is>
          <t>26/10/2018</t>
        </is>
      </c>
      <c r="B3546" s="31" t="n">
        <v>56.99</v>
      </c>
    </row>
    <row r="3547">
      <c r="A3547" s="4" t="inlineStr">
        <is>
          <t>29/10/2018</t>
        </is>
      </c>
      <c r="B3547" s="31" t="n">
        <v>56.87</v>
      </c>
    </row>
    <row r="3548">
      <c r="A3548" s="4" t="inlineStr">
        <is>
          <t>30/10/2018</t>
        </is>
      </c>
      <c r="B3548" s="31" t="n">
        <v>56.99</v>
      </c>
    </row>
    <row r="3549">
      <c r="A3549" s="4" t="inlineStr">
        <is>
          <t>31/10/2018</t>
        </is>
      </c>
      <c r="B3549" s="31" t="n">
        <v>56.36</v>
      </c>
    </row>
    <row r="3550">
      <c r="A3550" s="4" t="inlineStr">
        <is>
          <t>01/11/2018</t>
        </is>
      </c>
      <c r="B3550" s="31" t="n">
        <v>56.79</v>
      </c>
    </row>
    <row r="3551">
      <c r="A3551" s="4" t="inlineStr">
        <is>
          <t>05/11/2018</t>
        </is>
      </c>
      <c r="B3551" s="31" t="n">
        <v>57.65</v>
      </c>
    </row>
    <row r="3552">
      <c r="A3552" s="4" t="inlineStr">
        <is>
          <t>06/11/2018</t>
        </is>
      </c>
      <c r="B3552" s="31" t="n">
        <v>57.9</v>
      </c>
    </row>
    <row r="3553">
      <c r="A3553" s="4" t="inlineStr">
        <is>
          <t>07/11/2018</t>
        </is>
      </c>
      <c r="B3553" s="31" t="n">
        <v>59.21</v>
      </c>
    </row>
    <row r="3554">
      <c r="A3554" s="4" t="inlineStr">
        <is>
          <t>08/11/2018</t>
        </is>
      </c>
      <c r="B3554" s="31" t="n">
        <v>59.16</v>
      </c>
    </row>
    <row r="3555">
      <c r="A3555" s="4" t="inlineStr">
        <is>
          <t>09/11/2018</t>
        </is>
      </c>
      <c r="B3555" s="31" t="n">
        <v>59.64</v>
      </c>
    </row>
    <row r="3556">
      <c r="A3556" s="4" t="inlineStr">
        <is>
          <t>12/11/2018</t>
        </is>
      </c>
      <c r="B3556" s="31" t="n">
        <v>60.25</v>
      </c>
    </row>
    <row r="3557">
      <c r="A3557" s="4" t="inlineStr">
        <is>
          <t>13/11/2018</t>
        </is>
      </c>
      <c r="B3557" s="31" t="n">
        <v>60.65</v>
      </c>
    </row>
    <row r="3558">
      <c r="A3558" s="4" t="inlineStr">
        <is>
          <t>14/11/2018</t>
        </is>
      </c>
      <c r="B3558" s="31" t="n">
        <v>61.05</v>
      </c>
    </row>
    <row r="3559">
      <c r="A3559" s="4" t="inlineStr">
        <is>
          <t>16/11/2018</t>
        </is>
      </c>
      <c r="B3559" s="31" t="n">
        <v>61.02</v>
      </c>
    </row>
    <row r="3560">
      <c r="A3560" s="4" t="inlineStr">
        <is>
          <t>19/11/2018</t>
        </is>
      </c>
      <c r="B3560" s="31" t="n">
        <v>61.2</v>
      </c>
    </row>
    <row r="3561">
      <c r="A3561" s="4" t="inlineStr">
        <is>
          <t>20/11/2018</t>
        </is>
      </c>
      <c r="B3561" s="31" t="n">
        <v>61.23</v>
      </c>
    </row>
    <row r="3562">
      <c r="A3562" s="4" t="inlineStr">
        <is>
          <t>21/11/2018</t>
        </is>
      </c>
      <c r="B3562" s="31" t="n">
        <v>61.89</v>
      </c>
    </row>
    <row r="3563">
      <c r="A3563" s="4" t="inlineStr">
        <is>
          <t>22/11/2018</t>
        </is>
      </c>
      <c r="B3563" s="31" t="n">
        <v>61.94</v>
      </c>
    </row>
    <row r="3564">
      <c r="A3564" s="4" t="inlineStr">
        <is>
          <t>23/11/2018</t>
        </is>
      </c>
      <c r="B3564" s="31" t="n">
        <v>61.83</v>
      </c>
    </row>
    <row r="3565">
      <c r="A3565" s="4" t="inlineStr">
        <is>
          <t>26/11/2018</t>
        </is>
      </c>
      <c r="B3565" s="31" t="n">
        <v>62.49</v>
      </c>
    </row>
    <row r="3566">
      <c r="A3566" s="4" t="inlineStr">
        <is>
          <t>27/11/2018</t>
        </is>
      </c>
      <c r="B3566" s="31" t="n">
        <v>61.88</v>
      </c>
    </row>
    <row r="3567">
      <c r="A3567" s="4" t="inlineStr">
        <is>
          <t>28/11/2018</t>
        </is>
      </c>
      <c r="B3567" s="31" t="n">
        <v>62.34</v>
      </c>
    </row>
    <row r="3568">
      <c r="A3568" s="4" t="inlineStr">
        <is>
          <t>29/11/2018</t>
        </is>
      </c>
      <c r="B3568" s="31" t="n">
        <v>61.35</v>
      </c>
    </row>
    <row r="3569">
      <c r="A3569" s="4" t="inlineStr">
        <is>
          <t>30/11/2018</t>
        </is>
      </c>
      <c r="B3569" s="31" t="n">
        <v>62.67</v>
      </c>
    </row>
    <row r="3570">
      <c r="A3570" s="4" t="inlineStr">
        <is>
          <t>03/12/2018</t>
        </is>
      </c>
      <c r="B3570" s="31" t="n">
        <v>62.9</v>
      </c>
    </row>
    <row r="3571">
      <c r="A3571" s="4" t="inlineStr">
        <is>
          <t>04/12/2018</t>
        </is>
      </c>
      <c r="B3571" s="31" t="n">
        <v>61.38</v>
      </c>
    </row>
    <row r="3572">
      <c r="A3572" s="4" t="inlineStr">
        <is>
          <t>05/12/2018</t>
        </is>
      </c>
      <c r="B3572" s="31" t="n">
        <v>62.77</v>
      </c>
    </row>
    <row r="3573">
      <c r="A3573" s="4" t="inlineStr">
        <is>
          <t>06/12/2018</t>
        </is>
      </c>
      <c r="B3573" s="31" t="n">
        <v>63.34</v>
      </c>
    </row>
    <row r="3574">
      <c r="A3574" s="4" t="inlineStr">
        <is>
          <t>07/12/2018</t>
        </is>
      </c>
      <c r="B3574" s="31" t="n">
        <v>62.82</v>
      </c>
    </row>
    <row r="3575">
      <c r="A3575" s="4" t="inlineStr">
        <is>
          <t>10/12/2018</t>
        </is>
      </c>
      <c r="B3575" s="31" t="n">
        <v>62.8</v>
      </c>
    </row>
    <row r="3576">
      <c r="A3576" s="4" t="inlineStr">
        <is>
          <t>11/12/2018</t>
        </is>
      </c>
      <c r="B3576" s="31" t="n">
        <v>61.4</v>
      </c>
    </row>
    <row r="3577">
      <c r="A3577" s="4" t="inlineStr">
        <is>
          <t>12/12/2018</t>
        </is>
      </c>
      <c r="B3577" s="31" t="n">
        <v>62.23</v>
      </c>
    </row>
    <row r="3578">
      <c r="A3578" s="4" t="inlineStr">
        <is>
          <t>13/12/2018</t>
        </is>
      </c>
      <c r="B3578" s="31" t="n">
        <v>62.49</v>
      </c>
    </row>
    <row r="3579">
      <c r="A3579" s="4" t="inlineStr">
        <is>
          <t>14/12/2018</t>
        </is>
      </c>
      <c r="B3579" s="31" t="n">
        <v>63.11</v>
      </c>
    </row>
    <row r="3580">
      <c r="A3580" s="4" t="inlineStr">
        <is>
          <t>17/12/2018</t>
        </is>
      </c>
      <c r="B3580" s="31" t="n">
        <v>63.78</v>
      </c>
    </row>
    <row r="3581">
      <c r="A3581" s="4" t="inlineStr">
        <is>
          <t>18/12/2018</t>
        </is>
      </c>
      <c r="B3581" s="31" t="n">
        <v>62.65</v>
      </c>
    </row>
    <row r="3582">
      <c r="A3582" s="4" t="inlineStr">
        <is>
          <t>19/12/2018</t>
        </is>
      </c>
      <c r="B3582" s="31" t="n">
        <v>63.66</v>
      </c>
    </row>
    <row r="3583">
      <c r="A3583" s="4" t="inlineStr">
        <is>
          <t>20/12/2018</t>
        </is>
      </c>
      <c r="B3583" s="31" t="n">
        <v>65.12</v>
      </c>
    </row>
    <row r="3584">
      <c r="A3584" s="4" t="inlineStr">
        <is>
          <t>21/12/2018</t>
        </is>
      </c>
      <c r="B3584" s="31" t="n">
        <v>64.7</v>
      </c>
    </row>
    <row r="3585">
      <c r="A3585" s="4" t="inlineStr">
        <is>
          <t>26/12/2018</t>
        </is>
      </c>
      <c r="B3585" s="31" t="n">
        <v>65.05</v>
      </c>
    </row>
    <row r="3586">
      <c r="A3586" s="4" t="inlineStr">
        <is>
          <t>27/12/2018</t>
        </is>
      </c>
      <c r="B3586" s="31" t="n">
        <v>65.48</v>
      </c>
    </row>
    <row r="3587">
      <c r="A3587" s="4" t="inlineStr">
        <is>
          <t>28/12/2018</t>
        </is>
      </c>
      <c r="B3587" s="31" t="n">
        <v>65.23</v>
      </c>
    </row>
    <row r="3588">
      <c r="A3588" s="4" t="inlineStr">
        <is>
          <t>02/01/2019</t>
        </is>
      </c>
      <c r="B3588" s="31" t="n">
        <v>65.78</v>
      </c>
    </row>
    <row r="3589">
      <c r="A3589" s="4" t="inlineStr">
        <is>
          <t>03/01/2019</t>
        </is>
      </c>
      <c r="B3589" s="31" t="n">
        <v>66.03</v>
      </c>
    </row>
    <row r="3590">
      <c r="A3590" s="4" t="inlineStr">
        <is>
          <t>04/01/2019</t>
        </is>
      </c>
      <c r="B3590" s="31" t="n">
        <v>65.88</v>
      </c>
    </row>
    <row r="3591">
      <c r="A3591" s="4" t="inlineStr">
        <is>
          <t>07/01/2019</t>
        </is>
      </c>
      <c r="B3591" s="31" t="n">
        <v>65.63</v>
      </c>
    </row>
    <row r="3592">
      <c r="A3592" s="4" t="inlineStr">
        <is>
          <t>08/01/2019</t>
        </is>
      </c>
      <c r="B3592" s="31" t="n">
        <v>65.06</v>
      </c>
    </row>
    <row r="3593">
      <c r="A3593" s="4" t="inlineStr">
        <is>
          <t>09/01/2019</t>
        </is>
      </c>
      <c r="B3593" s="31" t="n">
        <v>65.06</v>
      </c>
    </row>
    <row r="3594">
      <c r="A3594" s="4" t="inlineStr">
        <is>
          <t>10/01/2019</t>
        </is>
      </c>
      <c r="B3594" s="31" t="n">
        <v>65.18000000000001</v>
      </c>
    </row>
    <row r="3595">
      <c r="A3595" s="4" t="inlineStr">
        <is>
          <t>11/01/2019</t>
        </is>
      </c>
      <c r="B3595" s="31" t="n">
        <v>64.98</v>
      </c>
    </row>
    <row r="3596">
      <c r="A3596" s="4" t="inlineStr">
        <is>
          <t>14/01/2019</t>
        </is>
      </c>
      <c r="B3596" s="31" t="n">
        <v>64.84</v>
      </c>
    </row>
    <row r="3597">
      <c r="A3597" s="4" t="inlineStr">
        <is>
          <t>15/01/2019</t>
        </is>
      </c>
      <c r="B3597" s="31" t="n">
        <v>64.09999999999999</v>
      </c>
    </row>
    <row r="3598">
      <c r="A3598" s="4" t="inlineStr">
        <is>
          <t>16/01/2019</t>
        </is>
      </c>
      <c r="B3598" s="31" t="n">
        <v>64.05</v>
      </c>
    </row>
    <row r="3599">
      <c r="A3599" s="4" t="inlineStr">
        <is>
          <t>17/01/2019</t>
        </is>
      </c>
      <c r="B3599" s="31" t="n">
        <v>63.42</v>
      </c>
    </row>
    <row r="3600">
      <c r="A3600" s="4" t="inlineStr">
        <is>
          <t>18/01/2019</t>
        </is>
      </c>
      <c r="B3600" s="31" t="n">
        <v>64.19</v>
      </c>
    </row>
    <row r="3601">
      <c r="A3601" s="4" t="inlineStr">
        <is>
          <t>21/01/2019</t>
        </is>
      </c>
      <c r="B3601" s="31" t="n">
        <v>65.16</v>
      </c>
    </row>
    <row r="3602">
      <c r="A3602" s="4" t="inlineStr">
        <is>
          <t>22/01/2019</t>
        </is>
      </c>
      <c r="B3602" s="31" t="n">
        <v>64.93000000000001</v>
      </c>
    </row>
    <row r="3603">
      <c r="A3603" s="4" t="inlineStr">
        <is>
          <t>23/01/2019</t>
        </is>
      </c>
      <c r="B3603" s="31" t="n">
        <v>64.62</v>
      </c>
    </row>
    <row r="3604">
      <c r="A3604" s="4" t="inlineStr">
        <is>
          <t>24/01/2019</t>
        </is>
      </c>
      <c r="B3604" s="31" t="n">
        <v>65.11</v>
      </c>
    </row>
    <row r="3605">
      <c r="A3605" s="4" t="inlineStr">
        <is>
          <t>25/01/2019</t>
        </is>
      </c>
      <c r="B3605" s="31" t="n">
        <v>65.14</v>
      </c>
    </row>
    <row r="3606">
      <c r="A3606" s="4" t="inlineStr">
        <is>
          <t>28/01/2019</t>
        </is>
      </c>
      <c r="B3606" s="31" t="n">
        <v>66.42</v>
      </c>
    </row>
    <row r="3607">
      <c r="A3607" s="4" t="inlineStr">
        <is>
          <t>29/01/2019</t>
        </is>
      </c>
      <c r="B3607" s="31" t="n">
        <v>66.43000000000001</v>
      </c>
    </row>
    <row r="3608">
      <c r="A3608" s="4" t="inlineStr">
        <is>
          <t>30/01/2019</t>
        </is>
      </c>
      <c r="B3608" s="31" t="n">
        <v>66.25</v>
      </c>
    </row>
    <row r="3609">
      <c r="A3609" s="4" t="inlineStr">
        <is>
          <t>31/01/2019</t>
        </is>
      </c>
      <c r="B3609" s="31" t="n">
        <v>65.90000000000001</v>
      </c>
    </row>
    <row r="3610">
      <c r="A3610" s="4" t="inlineStr">
        <is>
          <t>01/02/2019</t>
        </is>
      </c>
      <c r="B3610" s="31" t="n">
        <v>65.79000000000001</v>
      </c>
    </row>
    <row r="3611">
      <c r="A3611" s="4" t="inlineStr">
        <is>
          <t>04/02/2019</t>
        </is>
      </c>
      <c r="B3611" s="31" t="n">
        <v>65.89</v>
      </c>
    </row>
    <row r="3612">
      <c r="A3612" s="4" t="inlineStr">
        <is>
          <t>05/02/2019</t>
        </is>
      </c>
      <c r="B3612" s="31" t="n">
        <v>65.69</v>
      </c>
    </row>
    <row r="3613">
      <c r="A3613" s="4" t="inlineStr">
        <is>
          <t>06/02/2019</t>
        </is>
      </c>
      <c r="B3613" s="31" t="n">
        <v>66.31999999999999</v>
      </c>
    </row>
    <row r="3614">
      <c r="A3614" s="4" t="inlineStr">
        <is>
          <t>07/02/2019</t>
        </is>
      </c>
      <c r="B3614" s="31" t="n">
        <v>65.7</v>
      </c>
    </row>
    <row r="3615">
      <c r="A3615" s="4" t="inlineStr">
        <is>
          <t>08/02/2019</t>
        </is>
      </c>
      <c r="B3615" s="31" t="n">
        <v>66.42</v>
      </c>
    </row>
    <row r="3616">
      <c r="A3616" s="4" t="inlineStr">
        <is>
          <t>11/02/2019</t>
        </is>
      </c>
      <c r="B3616" s="31" t="n">
        <v>66.73</v>
      </c>
    </row>
    <row r="3617">
      <c r="A3617" s="4" t="inlineStr">
        <is>
          <t>12/02/2019</t>
        </is>
      </c>
      <c r="B3617" s="31" t="n">
        <v>67.68000000000001</v>
      </c>
    </row>
    <row r="3618">
      <c r="A3618" s="4" t="inlineStr">
        <is>
          <t>13/02/2019</t>
        </is>
      </c>
      <c r="B3618" s="31" t="n">
        <v>67.83</v>
      </c>
    </row>
    <row r="3619">
      <c r="A3619" s="4" t="inlineStr">
        <is>
          <t>14/02/2019</t>
        </is>
      </c>
      <c r="B3619" s="31" t="n">
        <v>67.8</v>
      </c>
    </row>
    <row r="3620">
      <c r="A3620" s="4" t="inlineStr">
        <is>
          <t>15/02/2019</t>
        </is>
      </c>
      <c r="B3620" s="31" t="n">
        <v>68.26000000000001</v>
      </c>
    </row>
    <row r="3621">
      <c r="A3621" s="4" t="inlineStr">
        <is>
          <t>18/02/2019</t>
        </is>
      </c>
      <c r="B3621" s="31" t="n">
        <v>68.18000000000001</v>
      </c>
    </row>
    <row r="3622">
      <c r="A3622" s="4" t="inlineStr">
        <is>
          <t>19/02/2019</t>
        </is>
      </c>
      <c r="B3622" s="31" t="n">
        <v>69.16</v>
      </c>
    </row>
    <row r="3623">
      <c r="A3623" s="4" t="inlineStr">
        <is>
          <t>20/02/2019</t>
        </is>
      </c>
      <c r="B3623" s="31" t="n">
        <v>68.81</v>
      </c>
    </row>
    <row r="3624">
      <c r="A3624" s="4" t="inlineStr">
        <is>
          <t>21/02/2019</t>
        </is>
      </c>
      <c r="B3624" s="31" t="n">
        <v>68.98</v>
      </c>
    </row>
    <row r="3625">
      <c r="A3625" s="4" t="inlineStr">
        <is>
          <t>22/02/2019</t>
        </is>
      </c>
      <c r="B3625" s="31" t="n">
        <v>69.18000000000001</v>
      </c>
    </row>
    <row r="3626">
      <c r="A3626" s="4" t="inlineStr">
        <is>
          <t>25/02/2019</t>
        </is>
      </c>
      <c r="B3626" s="31" t="n">
        <v>70.31</v>
      </c>
    </row>
    <row r="3627">
      <c r="A3627" s="4" t="inlineStr">
        <is>
          <t>26/02/2019</t>
        </is>
      </c>
      <c r="B3627" s="31" t="n">
        <v>69.86</v>
      </c>
    </row>
    <row r="3628">
      <c r="A3628" s="4" t="inlineStr">
        <is>
          <t>27/02/2019</t>
        </is>
      </c>
      <c r="B3628" s="31" t="n">
        <v>69.51000000000001</v>
      </c>
    </row>
    <row r="3629">
      <c r="A3629" s="4" t="inlineStr">
        <is>
          <t>28/02/2019</t>
        </is>
      </c>
      <c r="B3629" s="31" t="n">
        <v>70.31</v>
      </c>
    </row>
    <row r="3630">
      <c r="A3630" s="4" t="inlineStr">
        <is>
          <t>01/03/2019</t>
        </is>
      </c>
      <c r="B3630" s="31" t="n">
        <v>68.23</v>
      </c>
    </row>
    <row r="3631">
      <c r="A3631" s="4" t="inlineStr">
        <is>
          <t>06/03/2019</t>
        </is>
      </c>
      <c r="B3631" s="31" t="n">
        <v>68.63</v>
      </c>
    </row>
    <row r="3632">
      <c r="A3632" s="4" t="inlineStr">
        <is>
          <t>07/03/2019</t>
        </is>
      </c>
      <c r="B3632" s="31" t="n">
        <v>69.06999999999999</v>
      </c>
    </row>
    <row r="3633">
      <c r="A3633" s="4" t="inlineStr">
        <is>
          <t>08/03/2019</t>
        </is>
      </c>
      <c r="B3633" s="31" t="n">
        <v>69.09999999999999</v>
      </c>
    </row>
    <row r="3634">
      <c r="A3634" s="4" t="inlineStr">
        <is>
          <t>11/03/2019</t>
        </is>
      </c>
      <c r="B3634" s="31" t="n">
        <v>68.92</v>
      </c>
    </row>
    <row r="3635">
      <c r="A3635" s="4" t="inlineStr">
        <is>
          <t>12/03/2019</t>
        </is>
      </c>
      <c r="B3635" s="31" t="n">
        <v>67.48999999999999</v>
      </c>
    </row>
    <row r="3636">
      <c r="A3636" s="4" t="inlineStr">
        <is>
          <t>13/03/2019</t>
        </is>
      </c>
      <c r="B3636" s="31" t="n">
        <v>66.17</v>
      </c>
    </row>
    <row r="3637">
      <c r="A3637" s="4" t="inlineStr">
        <is>
          <t>14/03/2019</t>
        </is>
      </c>
      <c r="B3637" s="31" t="n">
        <v>65.67</v>
      </c>
    </row>
    <row r="3638">
      <c r="A3638" s="4" t="inlineStr">
        <is>
          <t>15/03/2019</t>
        </is>
      </c>
      <c r="B3638" s="31" t="n">
        <v>64.97</v>
      </c>
    </row>
    <row r="3639">
      <c r="A3639" s="4" t="inlineStr">
        <is>
          <t>18/03/2019</t>
        </is>
      </c>
      <c r="B3639" s="31" t="n">
        <v>64.89</v>
      </c>
    </row>
    <row r="3640">
      <c r="A3640" s="4" t="inlineStr">
        <is>
          <t>19/03/2019</t>
        </is>
      </c>
      <c r="B3640" s="31" t="n">
        <v>63.61</v>
      </c>
    </row>
    <row r="3641">
      <c r="A3641" s="4" t="inlineStr">
        <is>
          <t>20/03/2019</t>
        </is>
      </c>
      <c r="B3641" s="31" t="n">
        <v>62.57</v>
      </c>
    </row>
    <row r="3642">
      <c r="A3642" s="4" t="inlineStr">
        <is>
          <t>21/03/2019</t>
        </is>
      </c>
      <c r="B3642" s="31" t="n">
        <v>62.49</v>
      </c>
    </row>
    <row r="3643">
      <c r="A3643" s="4" t="inlineStr">
        <is>
          <t>22/03/2019</t>
        </is>
      </c>
      <c r="B3643" s="31" t="n">
        <v>63</v>
      </c>
    </row>
    <row r="3644">
      <c r="A3644" s="4" t="inlineStr">
        <is>
          <t>25/03/2019</t>
        </is>
      </c>
      <c r="B3644" s="31" t="n">
        <v>63.71</v>
      </c>
    </row>
    <row r="3645">
      <c r="A3645" s="4" t="inlineStr">
        <is>
          <t>26/03/2019</t>
        </is>
      </c>
      <c r="B3645" s="31" t="n">
        <v>63.15</v>
      </c>
    </row>
    <row r="3646">
      <c r="A3646" s="4" t="inlineStr">
        <is>
          <t>27/03/2019</t>
        </is>
      </c>
      <c r="B3646" s="31" t="n">
        <v>63.02</v>
      </c>
    </row>
    <row r="3647">
      <c r="A3647" s="4" t="inlineStr">
        <is>
          <t>28/03/2019</t>
        </is>
      </c>
      <c r="B3647" s="31" t="n">
        <v>63.33</v>
      </c>
    </row>
    <row r="3648">
      <c r="A3648" s="4" t="inlineStr">
        <is>
          <t>29/03/2019</t>
        </is>
      </c>
      <c r="B3648" s="31" t="n">
        <v>63.03</v>
      </c>
    </row>
    <row r="3649">
      <c r="A3649" s="4" t="inlineStr">
        <is>
          <t>01/04/2019</t>
        </is>
      </c>
      <c r="B3649" s="31" t="n">
        <v>61.42</v>
      </c>
    </row>
    <row r="3650">
      <c r="A3650" s="4" t="inlineStr">
        <is>
          <t>02/04/2019</t>
        </is>
      </c>
      <c r="B3650" s="31" t="n">
        <v>62.17</v>
      </c>
    </row>
    <row r="3651">
      <c r="A3651" s="4" t="inlineStr">
        <is>
          <t>03/04/2019</t>
        </is>
      </c>
      <c r="B3651" s="31" t="n">
        <v>62.74</v>
      </c>
    </row>
    <row r="3652">
      <c r="A3652" s="4" t="inlineStr">
        <is>
          <t>04/04/2019</t>
        </is>
      </c>
      <c r="B3652" s="31" t="n">
        <v>62.28</v>
      </c>
    </row>
    <row r="3653">
      <c r="A3653" s="4" t="inlineStr">
        <is>
          <t>05/04/2019</t>
        </is>
      </c>
      <c r="B3653" s="31" t="n">
        <v>61.89</v>
      </c>
    </row>
    <row r="3654">
      <c r="A3654" s="4" t="inlineStr">
        <is>
          <t>08/04/2019</t>
        </is>
      </c>
      <c r="B3654" s="31" t="n">
        <v>60.77</v>
      </c>
    </row>
    <row r="3655">
      <c r="A3655" s="4" t="inlineStr">
        <is>
          <t>09/04/2019</t>
        </is>
      </c>
      <c r="B3655" s="31" t="n">
        <v>60.3</v>
      </c>
    </row>
    <row r="3656">
      <c r="A3656" s="4" t="inlineStr">
        <is>
          <t>10/04/2019</t>
        </is>
      </c>
      <c r="B3656" s="31" t="n">
        <v>60.15</v>
      </c>
    </row>
    <row r="3657">
      <c r="A3657" s="4" t="inlineStr">
        <is>
          <t>11/04/2019</t>
        </is>
      </c>
      <c r="B3657" s="31" t="n">
        <v>60.43</v>
      </c>
    </row>
    <row r="3658">
      <c r="A3658" s="4" t="inlineStr">
        <is>
          <t>12/04/2019</t>
        </is>
      </c>
      <c r="B3658" s="31" t="n">
        <v>59.63</v>
      </c>
    </row>
    <row r="3659">
      <c r="A3659" s="4" t="inlineStr">
        <is>
          <t>15/04/2019</t>
        </is>
      </c>
      <c r="B3659" s="31" t="n">
        <v>59.66</v>
      </c>
    </row>
    <row r="3660">
      <c r="A3660" s="4" t="inlineStr">
        <is>
          <t>16/04/2019</t>
        </is>
      </c>
      <c r="B3660" s="31" t="n">
        <v>59.73</v>
      </c>
    </row>
    <row r="3661">
      <c r="A3661" s="4" t="inlineStr">
        <is>
          <t>17/04/2019</t>
        </is>
      </c>
      <c r="B3661" s="31" t="n">
        <v>58.82</v>
      </c>
    </row>
    <row r="3662">
      <c r="A3662" s="4" t="inlineStr">
        <is>
          <t>18/04/2019</t>
        </is>
      </c>
      <c r="B3662" s="31" t="n">
        <v>58.25</v>
      </c>
    </row>
    <row r="3663">
      <c r="A3663" s="4" t="inlineStr">
        <is>
          <t>22/04/2019</t>
        </is>
      </c>
      <c r="B3663" s="31" t="n">
        <v>58.38</v>
      </c>
    </row>
    <row r="3664">
      <c r="A3664" s="4" t="inlineStr">
        <is>
          <t>23/04/2019</t>
        </is>
      </c>
      <c r="B3664" s="31" t="n">
        <v>57.99</v>
      </c>
    </row>
    <row r="3665">
      <c r="A3665" s="4" t="inlineStr">
        <is>
          <t>24/04/2019</t>
        </is>
      </c>
      <c r="B3665" s="31" t="n">
        <v>56.77</v>
      </c>
    </row>
    <row r="3666">
      <c r="A3666" s="4" t="inlineStr">
        <is>
          <t>25/04/2019</t>
        </is>
      </c>
      <c r="B3666" s="31" t="n">
        <v>56.43</v>
      </c>
    </row>
    <row r="3667">
      <c r="A3667" s="4" t="inlineStr">
        <is>
          <t>26/04/2019</t>
        </is>
      </c>
      <c r="B3667" s="31" t="n">
        <v>55.73</v>
      </c>
    </row>
    <row r="3668">
      <c r="A3668" s="4" t="inlineStr">
        <is>
          <t>29/04/2019</t>
        </is>
      </c>
      <c r="B3668" s="31" t="n">
        <v>54.93</v>
      </c>
    </row>
    <row r="3669">
      <c r="A3669" s="4" t="inlineStr">
        <is>
          <t>30/04/2019</t>
        </is>
      </c>
      <c r="B3669" s="31" t="n">
        <v>54.66</v>
      </c>
    </row>
    <row r="3670">
      <c r="A3670" s="4" t="inlineStr">
        <is>
          <t>02/05/2019</t>
        </is>
      </c>
      <c r="B3670" s="31" t="n">
        <v>54.66</v>
      </c>
    </row>
    <row r="3671">
      <c r="A3671" s="4" t="inlineStr">
        <is>
          <t>03/05/2019</t>
        </is>
      </c>
      <c r="B3671" s="31" t="n">
        <v>53.73</v>
      </c>
    </row>
    <row r="3672">
      <c r="A3672" s="4" t="inlineStr">
        <is>
          <t>06/05/2019</t>
        </is>
      </c>
      <c r="B3672" s="31" t="n">
        <v>53.2</v>
      </c>
    </row>
    <row r="3673">
      <c r="A3673" s="4" t="inlineStr">
        <is>
          <t>07/05/2019</t>
        </is>
      </c>
      <c r="B3673" s="31" t="n">
        <v>53.1</v>
      </c>
    </row>
    <row r="3674">
      <c r="A3674" s="4" t="inlineStr">
        <is>
          <t>08/05/2019</t>
        </is>
      </c>
      <c r="B3674" s="31" t="n">
        <v>53.23</v>
      </c>
    </row>
    <row r="3675">
      <c r="A3675" s="4" t="inlineStr">
        <is>
          <t>09/05/2019</t>
        </is>
      </c>
      <c r="B3675" s="31" t="n">
        <v>53.43</v>
      </c>
    </row>
    <row r="3676">
      <c r="A3676" s="4" t="inlineStr">
        <is>
          <t>10/05/2019</t>
        </is>
      </c>
      <c r="B3676" s="31" t="n">
        <v>53.28</v>
      </c>
    </row>
    <row r="3677">
      <c r="A3677" s="4" t="inlineStr">
        <is>
          <t>13/05/2019</t>
        </is>
      </c>
      <c r="B3677" s="31" t="n">
        <v>53.67</v>
      </c>
    </row>
    <row r="3678">
      <c r="A3678" s="4" t="inlineStr">
        <is>
          <t>14/05/2019</t>
        </is>
      </c>
      <c r="B3678" s="31" t="n">
        <v>53.89</v>
      </c>
    </row>
    <row r="3679">
      <c r="A3679" s="4" t="inlineStr">
        <is>
          <t>15/05/2019</t>
        </is>
      </c>
      <c r="B3679" s="31" t="n">
        <v>54.43</v>
      </c>
    </row>
    <row r="3680">
      <c r="A3680" s="4" t="inlineStr">
        <is>
          <t>16/05/2019</t>
        </is>
      </c>
      <c r="B3680" s="31" t="n">
        <v>55.42</v>
      </c>
    </row>
    <row r="3681">
      <c r="A3681" s="4" t="inlineStr">
        <is>
          <t>17/05/2019</t>
        </is>
      </c>
      <c r="B3681" s="31" t="n">
        <v>56.13</v>
      </c>
    </row>
    <row r="3682">
      <c r="A3682" s="4" t="inlineStr">
        <is>
          <t>20/05/2019</t>
        </is>
      </c>
      <c r="B3682" s="31" t="n">
        <v>57.07</v>
      </c>
    </row>
    <row r="3683">
      <c r="A3683" s="4" t="inlineStr">
        <is>
          <t>21/05/2019</t>
        </is>
      </c>
      <c r="B3683" s="31" t="n">
        <v>57.62</v>
      </c>
    </row>
    <row r="3684">
      <c r="A3684" s="4" t="inlineStr">
        <is>
          <t>22/05/2019</t>
        </is>
      </c>
      <c r="B3684" s="31" t="n">
        <v>57.75</v>
      </c>
    </row>
    <row r="3685">
      <c r="A3685" s="4" t="inlineStr">
        <is>
          <t>23/05/2019</t>
        </is>
      </c>
      <c r="B3685" s="31" t="n">
        <v>57.7</v>
      </c>
    </row>
    <row r="3686">
      <c r="A3686" s="4" t="inlineStr">
        <is>
          <t>24/05/2019</t>
        </is>
      </c>
      <c r="B3686" s="31" t="n">
        <v>57.78</v>
      </c>
    </row>
    <row r="3687">
      <c r="A3687" s="4" t="inlineStr">
        <is>
          <t>27/05/2019</t>
        </is>
      </c>
      <c r="B3687" s="31" t="n">
        <v>57.96</v>
      </c>
    </row>
    <row r="3688">
      <c r="A3688" s="4" t="inlineStr">
        <is>
          <t>28/05/2019</t>
        </is>
      </c>
      <c r="B3688" s="31" t="n">
        <v>60.4</v>
      </c>
    </row>
    <row r="3689">
      <c r="A3689" s="4" t="inlineStr">
        <is>
          <t>29/05/2019</t>
        </is>
      </c>
      <c r="B3689" s="31" t="n">
        <v>61.16</v>
      </c>
    </row>
    <row r="3690">
      <c r="A3690" s="4" t="inlineStr">
        <is>
          <t>30/05/2019</t>
        </is>
      </c>
      <c r="B3690" s="31" t="n">
        <v>62.08</v>
      </c>
    </row>
    <row r="3691">
      <c r="A3691" s="4" t="inlineStr">
        <is>
          <t>31/05/2019</t>
        </is>
      </c>
      <c r="B3691" s="31" t="n">
        <v>62.39</v>
      </c>
    </row>
    <row r="3692">
      <c r="A3692" s="4" t="inlineStr">
        <is>
          <t>03/06/2019</t>
        </is>
      </c>
      <c r="B3692" s="31" t="n">
        <v>60.63</v>
      </c>
    </row>
    <row r="3693">
      <c r="A3693" s="4" t="inlineStr">
        <is>
          <t>04/06/2019</t>
        </is>
      </c>
      <c r="B3693" s="31" t="n">
        <v>61.16</v>
      </c>
    </row>
    <row r="3694">
      <c r="A3694" s="4" t="inlineStr">
        <is>
          <t>05/06/2019</t>
        </is>
      </c>
      <c r="B3694" s="31" t="n">
        <v>60.66</v>
      </c>
    </row>
    <row r="3695">
      <c r="A3695" s="4" t="inlineStr">
        <is>
          <t>06/06/2019</t>
        </is>
      </c>
      <c r="B3695" s="31" t="n">
        <v>60</v>
      </c>
    </row>
    <row r="3696">
      <c r="A3696" s="4" t="inlineStr">
        <is>
          <t>07/06/2019</t>
        </is>
      </c>
      <c r="B3696" s="31" t="n">
        <v>59.7</v>
      </c>
    </row>
    <row r="3697">
      <c r="A3697" s="4" t="inlineStr">
        <is>
          <t>10/06/2019</t>
        </is>
      </c>
      <c r="B3697" s="31" t="n">
        <v>58.92</v>
      </c>
    </row>
    <row r="3698">
      <c r="A3698" s="4" t="inlineStr">
        <is>
          <t>11/06/2019</t>
        </is>
      </c>
      <c r="B3698" s="31" t="n">
        <v>58.09</v>
      </c>
    </row>
    <row r="3699">
      <c r="A3699" s="4" t="inlineStr">
        <is>
          <t>12/06/2019</t>
        </is>
      </c>
      <c r="B3699" s="31" t="n">
        <v>59.53</v>
      </c>
    </row>
    <row r="3700">
      <c r="A3700" s="4" t="inlineStr">
        <is>
          <t>13/06/2019</t>
        </is>
      </c>
      <c r="B3700" s="31" t="n">
        <v>59.86</v>
      </c>
    </row>
    <row r="3701">
      <c r="A3701" s="4" t="inlineStr">
        <is>
          <t>14/06/2019</t>
        </is>
      </c>
      <c r="B3701" s="31" t="n">
        <v>61.48</v>
      </c>
    </row>
    <row r="3702">
      <c r="A3702" s="4" t="inlineStr">
        <is>
          <t>17/06/2019</t>
        </is>
      </c>
      <c r="B3702" s="31" t="n">
        <v>61.93</v>
      </c>
    </row>
    <row r="3703">
      <c r="A3703" s="4" t="inlineStr">
        <is>
          <t>18/06/2019</t>
        </is>
      </c>
      <c r="B3703" s="31" t="n">
        <v>62.73</v>
      </c>
    </row>
    <row r="3704">
      <c r="A3704" s="4" t="inlineStr">
        <is>
          <t>19/06/2019</t>
        </is>
      </c>
      <c r="B3704" s="31" t="n">
        <v>62.13</v>
      </c>
    </row>
    <row r="3705">
      <c r="A3705" s="4" t="inlineStr">
        <is>
          <t>21/06/2019</t>
        </is>
      </c>
      <c r="B3705" s="31" t="n">
        <v>61.93</v>
      </c>
    </row>
    <row r="3706">
      <c r="A3706" s="4" t="inlineStr">
        <is>
          <t>24/06/2019</t>
        </is>
      </c>
      <c r="B3706" s="31" t="n">
        <v>61.88</v>
      </c>
    </row>
    <row r="3707">
      <c r="A3707" s="4" t="inlineStr">
        <is>
          <t>25/06/2019</t>
        </is>
      </c>
      <c r="B3707" s="31" t="n">
        <v>62.39</v>
      </c>
    </row>
    <row r="3708">
      <c r="A3708" s="4" t="inlineStr">
        <is>
          <t>26/06/2019</t>
        </is>
      </c>
      <c r="B3708" s="31" t="n">
        <v>62.44</v>
      </c>
    </row>
    <row r="3709">
      <c r="A3709" s="4" t="inlineStr">
        <is>
          <t>27/06/2019</t>
        </is>
      </c>
      <c r="B3709" s="31" t="n">
        <v>62.22</v>
      </c>
    </row>
    <row r="3710">
      <c r="A3710" s="4" t="inlineStr">
        <is>
          <t>28/06/2019</t>
        </is>
      </c>
      <c r="B3710" s="31" t="n">
        <v>62.36</v>
      </c>
    </row>
    <row r="3711">
      <c r="A3711" s="4" t="inlineStr">
        <is>
          <t>01/07/2019</t>
        </is>
      </c>
      <c r="B3711" s="31" t="n">
        <v>61.2</v>
      </c>
    </row>
    <row r="3712">
      <c r="A3712" s="4" t="inlineStr">
        <is>
          <t>02/07/2019</t>
        </is>
      </c>
      <c r="B3712" s="31" t="n">
        <v>60.67</v>
      </c>
    </row>
    <row r="3713">
      <c r="A3713" s="4" t="inlineStr">
        <is>
          <t>03/07/2019</t>
        </is>
      </c>
      <c r="B3713" s="31" t="n">
        <v>60.35</v>
      </c>
    </row>
    <row r="3714">
      <c r="A3714" s="4" t="inlineStr">
        <is>
          <t>04/07/2019</t>
        </is>
      </c>
      <c r="B3714" s="31" t="n">
        <v>60.48</v>
      </c>
    </row>
    <row r="3715">
      <c r="A3715" s="4" t="inlineStr">
        <is>
          <t>05/07/2019</t>
        </is>
      </c>
      <c r="B3715" s="31" t="n">
        <v>59.62</v>
      </c>
    </row>
    <row r="3716">
      <c r="A3716" s="4" t="inlineStr">
        <is>
          <t>08/07/2019</t>
        </is>
      </c>
      <c r="B3716" s="31" t="n">
        <v>59.84</v>
      </c>
    </row>
    <row r="3717">
      <c r="A3717" s="4" t="inlineStr">
        <is>
          <t>09/07/2019</t>
        </is>
      </c>
      <c r="B3717" s="31" t="n">
        <v>60.18</v>
      </c>
    </row>
    <row r="3718">
      <c r="A3718" s="4" t="inlineStr">
        <is>
          <t>10/07/2019</t>
        </is>
      </c>
      <c r="B3718" s="31" t="n">
        <v>59.81</v>
      </c>
    </row>
    <row r="3719">
      <c r="A3719" s="4" t="inlineStr">
        <is>
          <t>11/07/2019</t>
        </is>
      </c>
      <c r="B3719" s="31" t="n">
        <v>59.06</v>
      </c>
    </row>
    <row r="3720">
      <c r="A3720" s="4" t="inlineStr">
        <is>
          <t>12/07/2019</t>
        </is>
      </c>
      <c r="B3720" s="31" t="n">
        <v>59.49</v>
      </c>
    </row>
    <row r="3721">
      <c r="A3721" s="4" t="inlineStr">
        <is>
          <t>15/07/2019</t>
        </is>
      </c>
      <c r="B3721" s="31" t="n">
        <v>59.47</v>
      </c>
    </row>
    <row r="3722">
      <c r="A3722" s="4" t="inlineStr">
        <is>
          <t>16/07/2019</t>
        </is>
      </c>
      <c r="B3722" s="31" t="n">
        <v>60.1</v>
      </c>
    </row>
    <row r="3723">
      <c r="A3723" s="4" t="inlineStr">
        <is>
          <t>17/07/2019</t>
        </is>
      </c>
      <c r="B3723" s="31" t="n">
        <v>59.67</v>
      </c>
    </row>
    <row r="3724">
      <c r="A3724" s="4" t="inlineStr">
        <is>
          <t>18/07/2019</t>
        </is>
      </c>
      <c r="B3724" s="31" t="n">
        <v>59.12</v>
      </c>
    </row>
    <row r="3725">
      <c r="A3725" s="4" t="inlineStr">
        <is>
          <t>19/07/2019</t>
        </is>
      </c>
      <c r="B3725" s="31" t="n">
        <v>58.96</v>
      </c>
    </row>
    <row r="3726">
      <c r="A3726" s="4" t="inlineStr">
        <is>
          <t>22/07/2019</t>
        </is>
      </c>
      <c r="B3726" s="31" t="n">
        <v>58.74</v>
      </c>
    </row>
    <row r="3727">
      <c r="A3727" s="4" t="inlineStr">
        <is>
          <t>23/07/2019</t>
        </is>
      </c>
      <c r="B3727" s="31" t="n">
        <v>58.31</v>
      </c>
    </row>
    <row r="3728">
      <c r="A3728" s="4" t="inlineStr">
        <is>
          <t>24/07/2019</t>
        </is>
      </c>
      <c r="B3728" s="31" t="n">
        <v>58.56</v>
      </c>
    </row>
    <row r="3729">
      <c r="A3729" s="4" t="inlineStr">
        <is>
          <t>25/07/2019</t>
        </is>
      </c>
      <c r="B3729" s="31" t="n">
        <v>58.16</v>
      </c>
    </row>
    <row r="3730">
      <c r="A3730" s="4" t="inlineStr">
        <is>
          <t>26/07/2019</t>
        </is>
      </c>
      <c r="B3730" s="31" t="n">
        <v>58.13</v>
      </c>
    </row>
    <row r="3731">
      <c r="A3731" s="4" t="inlineStr">
        <is>
          <t>29/07/2019</t>
        </is>
      </c>
      <c r="B3731" s="31" t="n">
        <v>58.37</v>
      </c>
    </row>
    <row r="3732">
      <c r="A3732" s="4" t="inlineStr">
        <is>
          <t>30/07/2019</t>
        </is>
      </c>
      <c r="B3732" s="31" t="n">
        <v>58.07</v>
      </c>
    </row>
    <row r="3733">
      <c r="A3733" s="4" t="inlineStr">
        <is>
          <t>31/07/2019</t>
        </is>
      </c>
      <c r="B3733" s="31" t="n">
        <v>57.7</v>
      </c>
    </row>
    <row r="3734">
      <c r="A3734" s="4" t="inlineStr">
        <is>
          <t>01/08/2019</t>
        </is>
      </c>
      <c r="B3734" s="31" t="n">
        <v>57.86</v>
      </c>
    </row>
    <row r="3735">
      <c r="A3735" s="4" t="inlineStr">
        <is>
          <t>02/08/2019</t>
        </is>
      </c>
      <c r="B3735" s="31" t="n">
        <v>57.7</v>
      </c>
    </row>
    <row r="3736">
      <c r="A3736" s="4" t="inlineStr">
        <is>
          <t>05/08/2019</t>
        </is>
      </c>
      <c r="B3736" s="31" t="n">
        <v>57.7</v>
      </c>
    </row>
    <row r="3737">
      <c r="A3737" s="4" t="inlineStr">
        <is>
          <t>06/08/2019</t>
        </is>
      </c>
      <c r="B3737" s="31" t="n">
        <v>58.25</v>
      </c>
    </row>
    <row r="3738">
      <c r="A3738" s="4" t="inlineStr">
        <is>
          <t>07/08/2019</t>
        </is>
      </c>
      <c r="B3738" s="31" t="n">
        <v>58.38</v>
      </c>
    </row>
    <row r="3739">
      <c r="A3739" s="4" t="inlineStr">
        <is>
          <t>08/08/2019</t>
        </is>
      </c>
      <c r="B3739" s="31" t="n">
        <v>58.81</v>
      </c>
    </row>
    <row r="3740">
      <c r="A3740" s="4" t="inlineStr">
        <is>
          <t>09/08/2019</t>
        </is>
      </c>
      <c r="B3740" s="31" t="n">
        <v>58.92</v>
      </c>
    </row>
    <row r="3741">
      <c r="A3741" s="4" t="inlineStr">
        <is>
          <t>12/08/2019</t>
        </is>
      </c>
      <c r="B3741" s="31" t="n">
        <v>58.84</v>
      </c>
    </row>
    <row r="3742">
      <c r="A3742" s="4" t="inlineStr">
        <is>
          <t>13/08/2019</t>
        </is>
      </c>
      <c r="B3742" s="31" t="n">
        <v>58.75</v>
      </c>
    </row>
    <row r="3743">
      <c r="A3743" s="4" t="inlineStr">
        <is>
          <t>14/08/2019</t>
        </is>
      </c>
      <c r="B3743" s="31" t="n">
        <v>57.86</v>
      </c>
    </row>
    <row r="3744">
      <c r="A3744" s="4" t="inlineStr">
        <is>
          <t>15/08/2019</t>
        </is>
      </c>
      <c r="B3744" s="31" t="n">
        <v>58.3</v>
      </c>
    </row>
    <row r="3745">
      <c r="A3745" s="4" t="inlineStr">
        <is>
          <t>16/08/2019</t>
        </is>
      </c>
      <c r="B3745" s="31" t="n">
        <v>58.17</v>
      </c>
    </row>
    <row r="3746">
      <c r="A3746" s="4" t="inlineStr">
        <is>
          <t>19/08/2019</t>
        </is>
      </c>
      <c r="B3746" s="31" t="n">
        <v>58.39</v>
      </c>
    </row>
    <row r="3747">
      <c r="A3747" s="4" t="inlineStr">
        <is>
          <t>20/08/2019</t>
        </is>
      </c>
      <c r="B3747" s="31" t="n">
        <v>58.59</v>
      </c>
    </row>
    <row r="3748">
      <c r="A3748" s="4" t="inlineStr">
        <is>
          <t>21/08/2019</t>
        </is>
      </c>
      <c r="B3748" s="31" t="n">
        <v>58.76</v>
      </c>
    </row>
    <row r="3749">
      <c r="A3749" s="4" t="inlineStr">
        <is>
          <t>22/08/2019</t>
        </is>
      </c>
      <c r="B3749" s="31" t="n">
        <v>58.81</v>
      </c>
    </row>
    <row r="3750">
      <c r="A3750" s="4" t="inlineStr">
        <is>
          <t>23/08/2019</t>
        </is>
      </c>
      <c r="B3750" s="31" t="n">
        <v>58.91</v>
      </c>
    </row>
    <row r="3751">
      <c r="A3751" s="4" t="inlineStr">
        <is>
          <t>26/08/2019</t>
        </is>
      </c>
      <c r="B3751" s="31" t="n">
        <v>59.18</v>
      </c>
    </row>
    <row r="3752">
      <c r="A3752" s="4" t="inlineStr">
        <is>
          <t>27/08/2019</t>
        </is>
      </c>
      <c r="B3752" s="31" t="n">
        <v>58.94</v>
      </c>
    </row>
    <row r="3753">
      <c r="A3753" s="4" t="inlineStr">
        <is>
          <t>28/08/2019</t>
        </is>
      </c>
      <c r="B3753" s="31" t="n">
        <v>59.28</v>
      </c>
    </row>
    <row r="3754">
      <c r="A3754" s="4" t="inlineStr">
        <is>
          <t>29/08/2019</t>
        </is>
      </c>
      <c r="B3754" s="31" t="n">
        <v>59.84</v>
      </c>
    </row>
    <row r="3755">
      <c r="A3755" s="4" t="inlineStr">
        <is>
          <t>30/08/2019</t>
        </is>
      </c>
      <c r="B3755" s="31" t="n">
        <v>59.1</v>
      </c>
    </row>
    <row r="3756">
      <c r="A3756" s="4" t="inlineStr">
        <is>
          <t>02/09/2019</t>
        </is>
      </c>
      <c r="B3756" s="31" t="n">
        <v>59.93</v>
      </c>
    </row>
    <row r="3757">
      <c r="A3757" s="4" t="inlineStr">
        <is>
          <t>03/09/2019</t>
        </is>
      </c>
      <c r="B3757" s="31" t="n">
        <v>59.48</v>
      </c>
    </row>
    <row r="3758">
      <c r="A3758" s="4" t="inlineStr">
        <is>
          <t>04/09/2019</t>
        </is>
      </c>
      <c r="B3758" s="31" t="n">
        <v>58.96</v>
      </c>
    </row>
    <row r="3759">
      <c r="A3759" s="4" t="inlineStr">
        <is>
          <t>05/09/2019</t>
        </is>
      </c>
      <c r="B3759" s="31" t="n">
        <v>59</v>
      </c>
    </row>
    <row r="3760">
      <c r="A3760" s="4" t="inlineStr">
        <is>
          <t>06/09/2019</t>
        </is>
      </c>
      <c r="B3760" s="31" t="n">
        <v>59.3</v>
      </c>
    </row>
    <row r="3761">
      <c r="A3761" s="4" t="inlineStr">
        <is>
          <t>09/09/2019</t>
        </is>
      </c>
      <c r="B3761" s="31" t="n">
        <v>59.12</v>
      </c>
    </row>
    <row r="3762">
      <c r="A3762" s="4" t="inlineStr">
        <is>
          <t>10/09/2019</t>
        </is>
      </c>
      <c r="B3762" s="31" t="n">
        <v>59.74</v>
      </c>
    </row>
    <row r="3763">
      <c r="A3763" s="4" t="inlineStr">
        <is>
          <t>11/09/2019</t>
        </is>
      </c>
      <c r="B3763" s="31" t="n">
        <v>59.99</v>
      </c>
    </row>
    <row r="3764">
      <c r="A3764" s="4" t="inlineStr">
        <is>
          <t>12/09/2019</t>
        </is>
      </c>
      <c r="B3764" s="31" t="n">
        <v>60.28</v>
      </c>
    </row>
    <row r="3765">
      <c r="A3765" s="4" t="inlineStr">
        <is>
          <t>13/09/2019</t>
        </is>
      </c>
      <c r="B3765" s="31" t="n">
        <v>60.49</v>
      </c>
    </row>
    <row r="3766">
      <c r="A3766" s="4" t="inlineStr">
        <is>
          <t>16/09/2019</t>
        </is>
      </c>
      <c r="B3766" s="31" t="n">
        <v>60.54</v>
      </c>
    </row>
    <row r="3767">
      <c r="A3767" s="4" t="inlineStr">
        <is>
          <t>17/09/2019</t>
        </is>
      </c>
      <c r="B3767" s="31" t="n">
        <v>60.69</v>
      </c>
    </row>
    <row r="3768">
      <c r="A3768" s="4" t="inlineStr">
        <is>
          <t>18/09/2019</t>
        </is>
      </c>
      <c r="B3768" s="31" t="n">
        <v>60.72</v>
      </c>
    </row>
    <row r="3769">
      <c r="A3769" s="4" t="inlineStr">
        <is>
          <t>19/09/2019</t>
        </is>
      </c>
      <c r="B3769" s="31" t="n">
        <v>60.99</v>
      </c>
    </row>
    <row r="3770">
      <c r="A3770" s="4" t="inlineStr">
        <is>
          <t>20/09/2019</t>
        </is>
      </c>
      <c r="B3770" s="31" t="n">
        <v>60.98</v>
      </c>
    </row>
    <row r="3771">
      <c r="A3771" s="4" t="inlineStr">
        <is>
          <t>23/09/2019</t>
        </is>
      </c>
      <c r="B3771" s="31" t="n">
        <v>61.28</v>
      </c>
    </row>
    <row r="3772">
      <c r="A3772" s="4" t="inlineStr">
        <is>
          <t>24/09/2019</t>
        </is>
      </c>
      <c r="B3772" s="31" t="n">
        <v>61.18</v>
      </c>
    </row>
    <row r="3773">
      <c r="A3773" s="4" t="inlineStr">
        <is>
          <t>25/09/2019</t>
        </is>
      </c>
      <c r="B3773" s="31" t="n">
        <v>62.44</v>
      </c>
    </row>
    <row r="3774">
      <c r="A3774" s="4" t="inlineStr">
        <is>
          <t>26/09/2019</t>
        </is>
      </c>
      <c r="B3774" s="31" t="n">
        <v>62.54</v>
      </c>
    </row>
    <row r="3775">
      <c r="A3775" s="4" t="inlineStr">
        <is>
          <t>27/09/2019</t>
        </is>
      </c>
      <c r="B3775" s="31" t="n">
        <v>62.58</v>
      </c>
    </row>
    <row r="3776">
      <c r="A3776" s="4" t="inlineStr">
        <is>
          <t>30/09/2019</t>
        </is>
      </c>
      <c r="B3776" s="31" t="n">
        <v>62.29</v>
      </c>
    </row>
    <row r="3777">
      <c r="A3777" s="4" t="inlineStr">
        <is>
          <t>01/10/2019</t>
        </is>
      </c>
      <c r="B3777" s="31" t="n">
        <v>62.48</v>
      </c>
    </row>
    <row r="3778">
      <c r="A3778" s="4" t="inlineStr">
        <is>
          <t>02/10/2019</t>
        </is>
      </c>
      <c r="B3778" s="31" t="n">
        <v>63.28</v>
      </c>
    </row>
    <row r="3779">
      <c r="A3779" s="4" t="inlineStr">
        <is>
          <t>03/10/2019</t>
        </is>
      </c>
      <c r="B3779" s="31" t="n">
        <v>63.52</v>
      </c>
    </row>
    <row r="3780">
      <c r="A3780" s="4" t="inlineStr">
        <is>
          <t>04/10/2019</t>
        </is>
      </c>
      <c r="B3780" s="31" t="n">
        <v>63.9</v>
      </c>
    </row>
    <row r="3781">
      <c r="A3781" s="4" t="inlineStr">
        <is>
          <t>07/10/2019</t>
        </is>
      </c>
      <c r="B3781" s="31" t="n">
        <v>63.7</v>
      </c>
    </row>
    <row r="3782">
      <c r="A3782" s="4" t="inlineStr">
        <is>
          <t>08/10/2019</t>
        </is>
      </c>
      <c r="B3782" s="31" t="n">
        <v>63.66</v>
      </c>
    </row>
    <row r="3783">
      <c r="A3783" s="4" t="inlineStr">
        <is>
          <t>09/10/2019</t>
        </is>
      </c>
      <c r="B3783" s="31" t="n">
        <v>64.8</v>
      </c>
    </row>
    <row r="3784">
      <c r="A3784" s="4" t="inlineStr">
        <is>
          <t>10/10/2019</t>
        </is>
      </c>
      <c r="B3784" s="31" t="n">
        <v>64.48</v>
      </c>
    </row>
    <row r="3785">
      <c r="A3785" s="4" t="inlineStr">
        <is>
          <t>11/10/2019</t>
        </is>
      </c>
      <c r="B3785" s="31" t="n">
        <v>64.61</v>
      </c>
    </row>
    <row r="3786">
      <c r="A3786" s="4" t="inlineStr">
        <is>
          <t>14/10/2019</t>
        </is>
      </c>
      <c r="B3786" s="31" t="n">
        <v>64.88</v>
      </c>
    </row>
    <row r="3787">
      <c r="A3787" s="4" t="inlineStr">
        <is>
          <t>15/10/2019</t>
        </is>
      </c>
      <c r="B3787" s="31" t="n">
        <v>66.26000000000001</v>
      </c>
    </row>
    <row r="3788">
      <c r="A3788" s="4" t="inlineStr">
        <is>
          <t>16/10/2019</t>
        </is>
      </c>
      <c r="B3788" s="31" t="n">
        <v>66.88</v>
      </c>
    </row>
    <row r="3789">
      <c r="A3789" s="4" t="inlineStr">
        <is>
          <t>17/10/2019</t>
        </is>
      </c>
      <c r="B3789" s="31" t="n">
        <v>67.39</v>
      </c>
    </row>
    <row r="3790">
      <c r="A3790" s="4" t="inlineStr">
        <is>
          <t>18/10/2019</t>
        </is>
      </c>
      <c r="B3790" s="31" t="n">
        <v>68.81</v>
      </c>
    </row>
    <row r="3791">
      <c r="A3791" s="4" t="inlineStr">
        <is>
          <t>21/10/2019</t>
        </is>
      </c>
      <c r="B3791" s="31" t="n">
        <v>69.5</v>
      </c>
    </row>
    <row r="3792">
      <c r="A3792" s="4" t="inlineStr">
        <is>
          <t>22/10/2019</t>
        </is>
      </c>
      <c r="B3792" s="31" t="n">
        <v>69.58</v>
      </c>
    </row>
    <row r="3793">
      <c r="A3793" s="4" t="inlineStr">
        <is>
          <t>23/10/2019</t>
        </is>
      </c>
      <c r="B3793" s="31" t="n">
        <v>69.68000000000001</v>
      </c>
    </row>
    <row r="3794">
      <c r="A3794" s="4" t="inlineStr">
        <is>
          <t>24/10/2019</t>
        </is>
      </c>
      <c r="B3794" s="31" t="n">
        <v>68.77</v>
      </c>
    </row>
    <row r="3795">
      <c r="A3795" s="4" t="inlineStr">
        <is>
          <t>25/10/2019</t>
        </is>
      </c>
      <c r="B3795" s="31" t="n">
        <v>68.45</v>
      </c>
    </row>
    <row r="3796">
      <c r="A3796" s="4" t="inlineStr">
        <is>
          <t>28/10/2019</t>
        </is>
      </c>
      <c r="B3796" s="31" t="n">
        <v>68.33</v>
      </c>
    </row>
    <row r="3797">
      <c r="A3797" s="4" t="inlineStr">
        <is>
          <t>29/10/2019</t>
        </is>
      </c>
      <c r="B3797" s="31" t="n">
        <v>68.03</v>
      </c>
    </row>
    <row r="3798">
      <c r="A3798" s="4" t="inlineStr">
        <is>
          <t>30/10/2019</t>
        </is>
      </c>
      <c r="B3798" s="31" t="n">
        <v>68.29000000000001</v>
      </c>
    </row>
    <row r="3799">
      <c r="A3799" s="4" t="inlineStr">
        <is>
          <t>31/10/2019</t>
        </is>
      </c>
      <c r="B3799" s="31" t="n">
        <v>67.09999999999999</v>
      </c>
    </row>
    <row r="3800">
      <c r="A3800" s="4" t="inlineStr">
        <is>
          <t>01/11/2019</t>
        </is>
      </c>
      <c r="B3800" s="31" t="n">
        <v>66.23</v>
      </c>
    </row>
    <row r="3801">
      <c r="A3801" s="4" t="inlineStr">
        <is>
          <t>04/11/2019</t>
        </is>
      </c>
      <c r="B3801" s="31" t="n">
        <v>66.48999999999999</v>
      </c>
    </row>
    <row r="3802">
      <c r="A3802" s="4" t="inlineStr">
        <is>
          <t>05/11/2019</t>
        </is>
      </c>
      <c r="B3802" s="31" t="n">
        <v>66.28</v>
      </c>
    </row>
    <row r="3803">
      <c r="A3803" s="4" t="inlineStr">
        <is>
          <t>06/11/2019</t>
        </is>
      </c>
      <c r="B3803" s="31" t="n">
        <v>67.22</v>
      </c>
    </row>
    <row r="3804">
      <c r="A3804" s="4" t="inlineStr">
        <is>
          <t>07/11/2019</t>
        </is>
      </c>
      <c r="B3804" s="31" t="n">
        <v>67.70999999999999</v>
      </c>
    </row>
    <row r="3805">
      <c r="A3805" s="4" t="inlineStr">
        <is>
          <t>08/11/2019</t>
        </is>
      </c>
      <c r="B3805" s="31" t="n">
        <v>68.45</v>
      </c>
    </row>
    <row r="3806">
      <c r="A3806" s="4" t="inlineStr">
        <is>
          <t>11/11/2019</t>
        </is>
      </c>
      <c r="B3806" s="31" t="n">
        <v>69.45</v>
      </c>
    </row>
    <row r="3807">
      <c r="A3807" s="4" t="inlineStr">
        <is>
          <t>12/11/2019</t>
        </is>
      </c>
      <c r="B3807" s="31" t="n">
        <v>69.68000000000001</v>
      </c>
    </row>
    <row r="3808">
      <c r="A3808" s="4" t="inlineStr">
        <is>
          <t>13/11/2019</t>
        </is>
      </c>
      <c r="B3808" s="31" t="n">
        <v>70.56999999999999</v>
      </c>
    </row>
    <row r="3809">
      <c r="A3809" s="4" t="inlineStr">
        <is>
          <t>14/11/2019</t>
        </is>
      </c>
      <c r="B3809" s="31" t="n">
        <v>70.28</v>
      </c>
    </row>
    <row r="3810">
      <c r="A3810" s="4" t="inlineStr">
        <is>
          <t>18/11/2019</t>
        </is>
      </c>
      <c r="B3810" s="31" t="n">
        <v>69.73999999999999</v>
      </c>
    </row>
    <row r="3811">
      <c r="A3811" s="4" t="inlineStr">
        <is>
          <t>19/11/2019</t>
        </is>
      </c>
      <c r="B3811" s="31" t="n">
        <v>70.22</v>
      </c>
    </row>
    <row r="3812">
      <c r="A3812" s="4" t="inlineStr">
        <is>
          <t>20/11/2019</t>
        </is>
      </c>
      <c r="B3812" s="31" t="n">
        <v>70.31</v>
      </c>
    </row>
    <row r="3813">
      <c r="A3813" s="4" t="inlineStr">
        <is>
          <t>21/11/2019</t>
        </is>
      </c>
      <c r="B3813" s="31" t="n">
        <v>72.81999999999999</v>
      </c>
    </row>
    <row r="3814">
      <c r="A3814" s="4" t="inlineStr">
        <is>
          <t>22/11/2019</t>
        </is>
      </c>
      <c r="B3814" s="31" t="n">
        <v>74</v>
      </c>
    </row>
    <row r="3815">
      <c r="A3815" s="4" t="inlineStr">
        <is>
          <t>25/11/2019</t>
        </is>
      </c>
      <c r="B3815" s="31" t="n">
        <v>75.78</v>
      </c>
    </row>
    <row r="3816">
      <c r="A3816" s="4" t="inlineStr">
        <is>
          <t>26/11/2019</t>
        </is>
      </c>
      <c r="B3816" s="31" t="n">
        <v>75.51000000000001</v>
      </c>
    </row>
    <row r="3817">
      <c r="A3817" s="4" t="inlineStr">
        <is>
          <t>27/11/2019</t>
        </is>
      </c>
      <c r="B3817" s="31" t="n">
        <v>76.42</v>
      </c>
    </row>
    <row r="3818">
      <c r="A3818" s="4" t="inlineStr">
        <is>
          <t>28/11/2019</t>
        </is>
      </c>
      <c r="B3818" s="31" t="n">
        <v>76.56</v>
      </c>
    </row>
    <row r="3819">
      <c r="A3819" s="4" t="inlineStr">
        <is>
          <t>29/11/2019</t>
        </is>
      </c>
      <c r="B3819" s="31" t="n">
        <v>76.31999999999999</v>
      </c>
    </row>
    <row r="3820">
      <c r="A3820" s="4" t="inlineStr">
        <is>
          <t>02/12/2019</t>
        </is>
      </c>
      <c r="B3820" s="31" t="n">
        <v>74.48999999999999</v>
      </c>
    </row>
    <row r="3821">
      <c r="A3821" s="4" t="inlineStr">
        <is>
          <t>03/12/2019</t>
        </is>
      </c>
      <c r="B3821" s="31" t="n">
        <v>75.53</v>
      </c>
    </row>
    <row r="3822">
      <c r="A3822" s="4" t="inlineStr">
        <is>
          <t>04/12/2019</t>
        </is>
      </c>
      <c r="B3822" s="31" t="n">
        <v>75.65000000000001</v>
      </c>
    </row>
    <row r="3823">
      <c r="A3823" s="4" t="inlineStr">
        <is>
          <t>05/12/2019</t>
        </is>
      </c>
      <c r="B3823" s="31" t="n">
        <v>75.09999999999999</v>
      </c>
    </row>
    <row r="3824">
      <c r="A3824" s="4" t="inlineStr">
        <is>
          <t>06/12/2019</t>
        </is>
      </c>
      <c r="B3824" s="31" t="n">
        <v>75.15000000000001</v>
      </c>
    </row>
    <row r="3825">
      <c r="A3825" s="4" t="inlineStr">
        <is>
          <t>09/12/2019</t>
        </is>
      </c>
      <c r="B3825" s="31" t="n">
        <v>75.18000000000001</v>
      </c>
    </row>
    <row r="3826">
      <c r="A3826" s="4" t="inlineStr">
        <is>
          <t>10/12/2019</t>
        </is>
      </c>
      <c r="B3826" s="31" t="n">
        <v>74.90000000000001</v>
      </c>
    </row>
    <row r="3827">
      <c r="A3827" s="4" t="inlineStr">
        <is>
          <t>11/12/2019</t>
        </is>
      </c>
      <c r="B3827" s="31" t="n">
        <v>75.18000000000001</v>
      </c>
    </row>
    <row r="3828">
      <c r="A3828" s="4" t="inlineStr">
        <is>
          <t>12/12/2019</t>
        </is>
      </c>
      <c r="B3828" s="31" t="n">
        <v>74.93000000000001</v>
      </c>
    </row>
    <row r="3829">
      <c r="A3829" s="4" t="inlineStr">
        <is>
          <t>13/12/2019</t>
        </is>
      </c>
      <c r="B3829" s="31" t="n">
        <v>75.53</v>
      </c>
    </row>
    <row r="3830">
      <c r="A3830" s="4" t="inlineStr">
        <is>
          <t>16/12/2019</t>
        </is>
      </c>
      <c r="B3830" s="31" t="n">
        <v>74.84999999999999</v>
      </c>
    </row>
    <row r="3831">
      <c r="A3831" s="4" t="inlineStr">
        <is>
          <t>17/12/2019</t>
        </is>
      </c>
      <c r="B3831" s="31" t="n">
        <v>74.54000000000001</v>
      </c>
    </row>
    <row r="3832">
      <c r="A3832" s="4" t="inlineStr">
        <is>
          <t>18/12/2019</t>
        </is>
      </c>
      <c r="B3832" s="31" t="n">
        <v>75.17</v>
      </c>
    </row>
    <row r="3833">
      <c r="A3833" s="4" t="inlineStr">
        <is>
          <t>19/12/2019</t>
        </is>
      </c>
      <c r="B3833" s="31" t="n">
        <v>75.03</v>
      </c>
    </row>
    <row r="3834">
      <c r="A3834" s="4" t="inlineStr">
        <is>
          <t>20/12/2019</t>
        </is>
      </c>
      <c r="B3834" s="31" t="n">
        <v>75.04000000000001</v>
      </c>
    </row>
    <row r="3835">
      <c r="A3835" s="4" t="inlineStr">
        <is>
          <t>23/12/2019</t>
        </is>
      </c>
      <c r="B3835" s="31" t="n">
        <v>75.34</v>
      </c>
    </row>
    <row r="3836">
      <c r="A3836" s="4" t="inlineStr">
        <is>
          <t>26/12/2019</t>
        </is>
      </c>
      <c r="B3836" s="31" t="n">
        <v>75.56</v>
      </c>
    </row>
    <row r="3837">
      <c r="A3837" s="4" t="inlineStr">
        <is>
          <t>27/12/2019</t>
        </is>
      </c>
      <c r="B3837" s="31" t="n">
        <v>75.65000000000001</v>
      </c>
    </row>
    <row r="3838">
      <c r="A3838" s="4" t="inlineStr">
        <is>
          <t>30/12/2019</t>
        </is>
      </c>
      <c r="B3838" s="31" t="n">
        <v>75.92</v>
      </c>
    </row>
    <row r="3839">
      <c r="A3839" s="4" t="inlineStr">
        <is>
          <t>02/01/2020</t>
        </is>
      </c>
      <c r="B3839" s="31" t="n">
        <v>75.26000000000001</v>
      </c>
    </row>
    <row r="3840">
      <c r="A3840" s="4" t="inlineStr">
        <is>
          <t>03/01/2020</t>
        </is>
      </c>
      <c r="B3840" s="31" t="n">
        <v>76</v>
      </c>
    </row>
    <row r="3841">
      <c r="A3841" s="4" t="inlineStr">
        <is>
          <t>06/01/2020</t>
        </is>
      </c>
      <c r="B3841" s="31" t="n">
        <v>76.13</v>
      </c>
    </row>
    <row r="3842">
      <c r="A3842" s="4" t="inlineStr">
        <is>
          <t>07/01/2020</t>
        </is>
      </c>
      <c r="B3842" s="31" t="n">
        <v>76.62</v>
      </c>
    </row>
    <row r="3843">
      <c r="A3843" s="4" t="inlineStr">
        <is>
          <t>08/01/2020</t>
        </is>
      </c>
      <c r="B3843" s="31" t="n">
        <v>78.09999999999999</v>
      </c>
    </row>
    <row r="3844">
      <c r="A3844" s="4" t="inlineStr">
        <is>
          <t>09/01/2020</t>
        </is>
      </c>
      <c r="B3844" s="31" t="n">
        <v>80.03</v>
      </c>
    </row>
    <row r="3845">
      <c r="A3845" s="4" t="inlineStr">
        <is>
          <t>10/01/2020</t>
        </is>
      </c>
      <c r="B3845" s="31" t="n">
        <v>80.12</v>
      </c>
    </row>
    <row r="3846">
      <c r="A3846" s="4" t="inlineStr">
        <is>
          <t>13/01/2020</t>
        </is>
      </c>
      <c r="B3846" s="31" t="n">
        <v>80</v>
      </c>
    </row>
    <row r="3847">
      <c r="A3847" s="4" t="inlineStr">
        <is>
          <t>14/01/2020</t>
        </is>
      </c>
      <c r="B3847" s="31" t="n">
        <v>80.34</v>
      </c>
    </row>
    <row r="3848">
      <c r="A3848" s="4" t="inlineStr">
        <is>
          <t>15/01/2020</t>
        </is>
      </c>
      <c r="B3848" s="31" t="n">
        <v>81.12</v>
      </c>
    </row>
    <row r="3849">
      <c r="A3849" s="4" t="inlineStr">
        <is>
          <t>16/01/2020</t>
        </is>
      </c>
      <c r="B3849" s="31" t="n">
        <v>80.79000000000001</v>
      </c>
    </row>
    <row r="3850">
      <c r="A3850" s="4" t="inlineStr">
        <is>
          <t>17/01/2020</t>
        </is>
      </c>
      <c r="B3850" s="31" t="n">
        <v>80.45</v>
      </c>
    </row>
    <row r="3851">
      <c r="A3851" s="4" t="inlineStr">
        <is>
          <t>20/01/2020</t>
        </is>
      </c>
      <c r="B3851" s="31" t="n">
        <v>80.14</v>
      </c>
    </row>
    <row r="3852">
      <c r="A3852" s="4" t="inlineStr">
        <is>
          <t>21/01/2020</t>
        </is>
      </c>
      <c r="B3852" s="31" t="n">
        <v>80.28</v>
      </c>
    </row>
    <row r="3853">
      <c r="A3853" s="4" t="inlineStr">
        <is>
          <t>22/01/2020</t>
        </is>
      </c>
      <c r="B3853" s="31" t="n">
        <v>80.40000000000001</v>
      </c>
    </row>
    <row r="3854">
      <c r="A3854" s="4" t="inlineStr">
        <is>
          <t>23/01/2020</t>
        </is>
      </c>
      <c r="B3854" s="31" t="n">
        <v>80.01000000000001</v>
      </c>
    </row>
    <row r="3855">
      <c r="A3855" s="4" t="inlineStr">
        <is>
          <t>24/01/2020</t>
        </is>
      </c>
      <c r="B3855" s="31" t="n">
        <v>79.90000000000001</v>
      </c>
    </row>
    <row r="3856">
      <c r="A3856" s="4" t="inlineStr">
        <is>
          <t>27/01/2020</t>
        </is>
      </c>
      <c r="B3856" s="31" t="n">
        <v>80.45</v>
      </c>
    </row>
    <row r="3857">
      <c r="A3857" s="4" t="inlineStr">
        <is>
          <t>28/01/2020</t>
        </is>
      </c>
      <c r="B3857" s="31" t="n">
        <v>80.67</v>
      </c>
    </row>
    <row r="3858">
      <c r="A3858" s="4" t="inlineStr">
        <is>
          <t>29/01/2020</t>
        </is>
      </c>
      <c r="B3858" s="31" t="n">
        <v>80.09</v>
      </c>
    </row>
    <row r="3859">
      <c r="A3859" s="4" t="inlineStr">
        <is>
          <t>30/01/2020</t>
        </is>
      </c>
      <c r="B3859" s="31" t="n">
        <v>79.69</v>
      </c>
    </row>
    <row r="3860">
      <c r="A3860" s="4" t="inlineStr">
        <is>
          <t>31/01/2020</t>
        </is>
      </c>
      <c r="B3860" s="31" t="n">
        <v>79.5</v>
      </c>
    </row>
    <row r="3861">
      <c r="A3861" s="4" t="inlineStr">
        <is>
          <t>03/02/2020</t>
        </is>
      </c>
      <c r="B3861" s="31" t="n">
        <v>79.06999999999999</v>
      </c>
    </row>
    <row r="3862">
      <c r="A3862" s="4" t="inlineStr">
        <is>
          <t>04/02/2020</t>
        </is>
      </c>
      <c r="B3862" s="31" t="n">
        <v>77.84</v>
      </c>
    </row>
    <row r="3863">
      <c r="A3863" s="4" t="inlineStr">
        <is>
          <t>05/02/2020</t>
        </is>
      </c>
      <c r="B3863" s="31" t="n">
        <v>77.98999999999999</v>
      </c>
    </row>
    <row r="3864">
      <c r="A3864" s="4" t="inlineStr">
        <is>
          <t>06/02/2020</t>
        </is>
      </c>
      <c r="B3864" s="31" t="n">
        <v>77.93000000000001</v>
      </c>
    </row>
    <row r="3865">
      <c r="A3865" s="4" t="inlineStr">
        <is>
          <t>07/02/2020</t>
        </is>
      </c>
      <c r="B3865" s="31" t="n">
        <v>78.83</v>
      </c>
    </row>
    <row r="3866">
      <c r="A3866" s="4" t="inlineStr">
        <is>
          <t>10/02/2020</t>
        </is>
      </c>
      <c r="B3866" s="31" t="n">
        <v>79.09999999999999</v>
      </c>
    </row>
    <row r="3867">
      <c r="A3867" s="4" t="inlineStr">
        <is>
          <t>11/02/2020</t>
        </is>
      </c>
      <c r="B3867" s="31" t="n">
        <v>79.45</v>
      </c>
    </row>
    <row r="3868">
      <c r="A3868" s="4" t="inlineStr">
        <is>
          <t>12/02/2020</t>
        </is>
      </c>
      <c r="B3868" s="31" t="n">
        <v>80.26000000000001</v>
      </c>
    </row>
    <row r="3869">
      <c r="A3869" s="4" t="inlineStr">
        <is>
          <t>13/02/2020</t>
        </is>
      </c>
      <c r="B3869" s="31" t="n">
        <v>80.53</v>
      </c>
    </row>
    <row r="3870">
      <c r="A3870" s="4" t="inlineStr">
        <is>
          <t>14/02/2020</t>
        </is>
      </c>
      <c r="B3870" s="31" t="n">
        <v>81.04000000000001</v>
      </c>
    </row>
    <row r="3871">
      <c r="A3871" s="4" t="inlineStr">
        <is>
          <t>17/02/2020</t>
        </is>
      </c>
      <c r="B3871" s="31" t="n">
        <v>81.26000000000001</v>
      </c>
    </row>
    <row r="3872">
      <c r="A3872" s="4" t="inlineStr">
        <is>
          <t>18/02/2020</t>
        </is>
      </c>
      <c r="B3872" s="31" t="n">
        <v>81.23</v>
      </c>
    </row>
    <row r="3873">
      <c r="A3873" s="4" t="inlineStr">
        <is>
          <t>19/02/2020</t>
        </is>
      </c>
      <c r="B3873" s="31" t="n">
        <v>81.48999999999999</v>
      </c>
    </row>
    <row r="3874">
      <c r="A3874" s="4" t="inlineStr">
        <is>
          <t>20/02/2020</t>
        </is>
      </c>
      <c r="B3874" s="31" t="n">
        <v>81.26000000000001</v>
      </c>
    </row>
    <row r="3875">
      <c r="A3875" s="4" t="inlineStr">
        <is>
          <t>21/02/2020</t>
        </is>
      </c>
      <c r="B3875" s="31" t="n">
        <v>81.33</v>
      </c>
    </row>
    <row r="3876">
      <c r="A3876" s="4" t="inlineStr">
        <is>
          <t>26/02/2020</t>
        </is>
      </c>
      <c r="B3876" s="31" t="n">
        <v>82.19</v>
      </c>
    </row>
    <row r="3877">
      <c r="A3877" s="4" t="inlineStr">
        <is>
          <t>27/02/2020</t>
        </is>
      </c>
      <c r="B3877" s="31" t="n">
        <v>82.86</v>
      </c>
    </row>
    <row r="3878">
      <c r="A3878" s="4" t="inlineStr">
        <is>
          <t>28/02/2020</t>
        </is>
      </c>
      <c r="B3878" s="31" t="n">
        <v>82.78</v>
      </c>
    </row>
    <row r="3879">
      <c r="A3879" s="4" t="inlineStr">
        <is>
          <t>02/03/2020</t>
        </is>
      </c>
      <c r="B3879" s="31" t="n">
        <v>82.23</v>
      </c>
    </row>
    <row r="3880">
      <c r="A3880" s="4" t="inlineStr">
        <is>
          <t>03/03/2020</t>
        </is>
      </c>
      <c r="B3880" s="31" t="n">
        <v>82.63</v>
      </c>
    </row>
    <row r="3881">
      <c r="A3881" s="4" t="inlineStr">
        <is>
          <t>04/03/2020</t>
        </is>
      </c>
      <c r="B3881" s="31" t="n">
        <v>83.19</v>
      </c>
    </row>
    <row r="3882">
      <c r="A3882" s="4" t="inlineStr">
        <is>
          <t>05/03/2020</t>
        </is>
      </c>
      <c r="B3882" s="31" t="n">
        <v>83.98</v>
      </c>
    </row>
    <row r="3883">
      <c r="A3883" s="4" t="inlineStr">
        <is>
          <t>06/03/2020</t>
        </is>
      </c>
      <c r="B3883" s="31" t="n">
        <v>84.91</v>
      </c>
    </row>
    <row r="3884">
      <c r="A3884" s="4" t="inlineStr">
        <is>
          <t>09/03/2020</t>
        </is>
      </c>
      <c r="B3884" s="31" t="n">
        <v>85.3</v>
      </c>
    </row>
    <row r="3885">
      <c r="A3885" s="4" t="inlineStr">
        <is>
          <t>10/03/2020</t>
        </is>
      </c>
      <c r="B3885" s="31" t="n">
        <v>85.73</v>
      </c>
    </row>
    <row r="3886">
      <c r="A3886" s="4" t="inlineStr">
        <is>
          <t>11/03/2020</t>
        </is>
      </c>
      <c r="B3886" s="31" t="n">
        <v>87.17</v>
      </c>
    </row>
    <row r="3887">
      <c r="A3887" s="4" t="inlineStr">
        <is>
          <t>12/03/2020</t>
        </is>
      </c>
      <c r="B3887" s="31" t="n">
        <v>88.43000000000001</v>
      </c>
    </row>
    <row r="3888">
      <c r="A3888" s="4" t="inlineStr">
        <is>
          <t>13/03/2020</t>
        </is>
      </c>
      <c r="B3888" s="31" t="n">
        <v>88.42</v>
      </c>
    </row>
    <row r="3889">
      <c r="A3889" s="4" t="inlineStr">
        <is>
          <t>16/03/2020</t>
        </is>
      </c>
      <c r="B3889" s="31" t="n">
        <v>89.31</v>
      </c>
    </row>
    <row r="3890">
      <c r="A3890" s="4" t="inlineStr">
        <is>
          <t>17/03/2020</t>
        </is>
      </c>
      <c r="B3890" s="31" t="n">
        <v>89.69</v>
      </c>
    </row>
    <row r="3891">
      <c r="A3891" s="4" t="inlineStr">
        <is>
          <t>18/03/2020</t>
        </is>
      </c>
      <c r="B3891" s="31" t="n">
        <v>88.68000000000001</v>
      </c>
    </row>
    <row r="3892">
      <c r="A3892" s="4" t="inlineStr">
        <is>
          <t>19/03/2020</t>
        </is>
      </c>
      <c r="B3892" s="31" t="n">
        <v>89.48</v>
      </c>
    </row>
    <row r="3893">
      <c r="A3893" s="4" t="inlineStr">
        <is>
          <t>20/03/2020</t>
        </is>
      </c>
      <c r="B3893" s="31" t="n">
        <v>90.66</v>
      </c>
    </row>
    <row r="3894">
      <c r="A3894" s="4" t="inlineStr">
        <is>
          <t>23/03/2020</t>
        </is>
      </c>
      <c r="B3894" s="31" t="n">
        <v>90.01000000000001</v>
      </c>
    </row>
    <row r="3895">
      <c r="A3895" s="4" t="inlineStr">
        <is>
          <t>24/03/2020</t>
        </is>
      </c>
      <c r="B3895" s="31" t="n">
        <v>91.44</v>
      </c>
    </row>
    <row r="3896">
      <c r="A3896" s="4" t="inlineStr">
        <is>
          <t>25/03/2020</t>
        </is>
      </c>
      <c r="B3896" s="31" t="n">
        <v>91.34999999999999</v>
      </c>
    </row>
    <row r="3897">
      <c r="A3897" s="4" t="inlineStr">
        <is>
          <t>26/03/2020</t>
        </is>
      </c>
      <c r="B3897" s="31" t="n">
        <v>90.92</v>
      </c>
    </row>
    <row r="3898">
      <c r="A3898" s="4" t="inlineStr">
        <is>
          <t>27/03/2020</t>
        </is>
      </c>
      <c r="B3898" s="31" t="n">
        <v>91.36</v>
      </c>
    </row>
    <row r="3899">
      <c r="A3899" s="4" t="inlineStr">
        <is>
          <t>30/03/2020</t>
        </is>
      </c>
      <c r="B3899" s="31" t="n">
        <v>92.25</v>
      </c>
    </row>
    <row r="3900">
      <c r="A3900" s="4" t="inlineStr">
        <is>
          <t>31/03/2020</t>
        </is>
      </c>
      <c r="B3900" s="31" t="n">
        <v>92.34999999999999</v>
      </c>
    </row>
    <row r="3901">
      <c r="A3901" s="4" t="inlineStr">
        <is>
          <t>01/04/2020</t>
        </is>
      </c>
      <c r="B3901" s="31" t="n">
        <v>90.38</v>
      </c>
    </row>
    <row r="3902">
      <c r="A3902" s="4" t="inlineStr">
        <is>
          <t>02/04/2020</t>
        </is>
      </c>
      <c r="B3902" s="31" t="n">
        <v>89.68000000000001</v>
      </c>
    </row>
    <row r="3903">
      <c r="A3903" s="4" t="inlineStr">
        <is>
          <t>03/04/2020</t>
        </is>
      </c>
      <c r="B3903" s="31" t="n">
        <v>89.09999999999999</v>
      </c>
    </row>
    <row r="3904">
      <c r="A3904" s="4" t="inlineStr">
        <is>
          <t>06/04/2020</t>
        </is>
      </c>
      <c r="B3904" s="31" t="n">
        <v>88.09</v>
      </c>
    </row>
    <row r="3905">
      <c r="A3905" s="4" t="inlineStr">
        <is>
          <t>07/04/2020</t>
        </is>
      </c>
      <c r="B3905" s="31" t="n">
        <v>87.55</v>
      </c>
    </row>
    <row r="3906">
      <c r="A3906" s="4" t="inlineStr">
        <is>
          <t>08/04/2020</t>
        </is>
      </c>
      <c r="B3906" s="31" t="n">
        <v>86.01000000000001</v>
      </c>
    </row>
    <row r="3907">
      <c r="A3907" s="4" t="inlineStr">
        <is>
          <t>09/04/2020</t>
        </is>
      </c>
      <c r="B3907" s="31" t="n">
        <v>85.93000000000001</v>
      </c>
    </row>
    <row r="3908">
      <c r="A3908" s="4" t="inlineStr">
        <is>
          <t>13/04/2020</t>
        </is>
      </c>
      <c r="B3908" s="31" t="n">
        <v>85.59999999999999</v>
      </c>
    </row>
    <row r="3909">
      <c r="A3909" s="4" t="inlineStr">
        <is>
          <t>14/04/2020</t>
        </is>
      </c>
      <c r="B3909" s="31" t="n">
        <v>81.94</v>
      </c>
    </row>
    <row r="3910">
      <c r="A3910" s="4" t="inlineStr">
        <is>
          <t>15/04/2020</t>
        </is>
      </c>
      <c r="B3910" s="31" t="n">
        <v>79.52</v>
      </c>
    </row>
    <row r="3911">
      <c r="A3911" s="4" t="inlineStr">
        <is>
          <t>16/04/2020</t>
        </is>
      </c>
      <c r="B3911" s="31" t="n">
        <v>79.23999999999999</v>
      </c>
    </row>
    <row r="3912">
      <c r="A3912" s="4" t="inlineStr">
        <is>
          <t>17/04/2020</t>
        </is>
      </c>
      <c r="B3912" s="31" t="n">
        <v>78.53</v>
      </c>
    </row>
    <row r="3913">
      <c r="A3913" s="4" t="inlineStr">
        <is>
          <t>20/04/2020</t>
        </is>
      </c>
      <c r="B3913" s="31" t="n">
        <v>77.29000000000001</v>
      </c>
    </row>
    <row r="3914">
      <c r="A3914" s="4" t="inlineStr">
        <is>
          <t>22/04/2020</t>
        </is>
      </c>
      <c r="B3914" s="31" t="n">
        <v>74.11</v>
      </c>
    </row>
    <row r="3915">
      <c r="A3915" s="4" t="inlineStr">
        <is>
          <t>23/04/2020</t>
        </is>
      </c>
      <c r="B3915" s="31" t="n">
        <v>73.39</v>
      </c>
    </row>
    <row r="3916">
      <c r="A3916" s="4" t="inlineStr">
        <is>
          <t>24/04/2020</t>
        </is>
      </c>
      <c r="B3916" s="31" t="n">
        <v>72.51000000000001</v>
      </c>
    </row>
    <row r="3917">
      <c r="A3917" s="4" t="inlineStr">
        <is>
          <t>27/04/2020</t>
        </is>
      </c>
      <c r="B3917" s="31" t="n">
        <v>73.06</v>
      </c>
    </row>
    <row r="3918">
      <c r="A3918" s="4" t="inlineStr">
        <is>
          <t>28/04/2020</t>
        </is>
      </c>
      <c r="B3918" s="31" t="n">
        <v>73.03</v>
      </c>
    </row>
    <row r="3919">
      <c r="A3919" s="4" t="inlineStr">
        <is>
          <t>29/04/2020</t>
        </is>
      </c>
      <c r="B3919" s="31" t="n">
        <v>73.7</v>
      </c>
    </row>
    <row r="3920">
      <c r="A3920" s="4" t="inlineStr">
        <is>
          <t>30/04/2020</t>
        </is>
      </c>
      <c r="B3920" s="31" t="n">
        <v>73.65000000000001</v>
      </c>
    </row>
    <row r="3921">
      <c r="A3921" s="4" t="inlineStr">
        <is>
          <t>04/05/2020</t>
        </is>
      </c>
      <c r="B3921" s="31" t="n">
        <v>74.18000000000001</v>
      </c>
    </row>
    <row r="3922">
      <c r="A3922" s="4" t="inlineStr">
        <is>
          <t>05/05/2020</t>
        </is>
      </c>
      <c r="B3922" s="31" t="n">
        <v>74.09999999999999</v>
      </c>
    </row>
    <row r="3923">
      <c r="A3923" s="4" t="inlineStr">
        <is>
          <t>06/05/2020</t>
        </is>
      </c>
      <c r="B3923" s="31" t="n">
        <v>74.81</v>
      </c>
    </row>
    <row r="3924">
      <c r="A3924" s="4" t="inlineStr">
        <is>
          <t>07/05/2020</t>
        </is>
      </c>
      <c r="B3924" s="31" t="n">
        <v>75.81999999999999</v>
      </c>
    </row>
    <row r="3925">
      <c r="A3925" s="4" t="inlineStr">
        <is>
          <t>08/05/2020</t>
        </is>
      </c>
      <c r="B3925" s="31" t="n">
        <v>75.59</v>
      </c>
    </row>
    <row r="3926">
      <c r="A3926" s="4" t="inlineStr">
        <is>
          <t>11/05/2020</t>
        </is>
      </c>
      <c r="B3926" s="31" t="n">
        <v>75.97</v>
      </c>
    </row>
    <row r="3927">
      <c r="A3927" s="4" t="inlineStr">
        <is>
          <t>12/05/2020</t>
        </is>
      </c>
      <c r="B3927" s="31" t="n">
        <v>76.12</v>
      </c>
    </row>
    <row r="3928">
      <c r="A3928" s="4" t="inlineStr">
        <is>
          <t>13/05/2020</t>
        </is>
      </c>
      <c r="B3928" s="31" t="n">
        <v>77.34</v>
      </c>
    </row>
    <row r="3929">
      <c r="A3929" s="4" t="inlineStr">
        <is>
          <t>14/05/2020</t>
        </is>
      </c>
      <c r="B3929" s="31" t="n">
        <v>76.88</v>
      </c>
    </row>
    <row r="3930">
      <c r="A3930" s="4" t="inlineStr">
        <is>
          <t>15/05/2020</t>
        </is>
      </c>
      <c r="B3930" s="31" t="n">
        <v>76.81999999999999</v>
      </c>
    </row>
    <row r="3931">
      <c r="A3931" s="4" t="inlineStr">
        <is>
          <t>18/05/2020</t>
        </is>
      </c>
      <c r="B3931" s="31" t="n">
        <v>76.3</v>
      </c>
    </row>
    <row r="3932">
      <c r="A3932" s="4" t="inlineStr">
        <is>
          <t>19/05/2020</t>
        </is>
      </c>
      <c r="B3932" s="31" t="n">
        <v>76.05</v>
      </c>
    </row>
    <row r="3933">
      <c r="A3933" s="4" t="inlineStr">
        <is>
          <t>20/05/2020</t>
        </is>
      </c>
      <c r="B3933" s="31" t="n">
        <v>76.08</v>
      </c>
    </row>
    <row r="3934">
      <c r="A3934" s="4" t="inlineStr">
        <is>
          <t>21/05/2020</t>
        </is>
      </c>
      <c r="B3934" s="31" t="n">
        <v>76.73</v>
      </c>
    </row>
    <row r="3935">
      <c r="A3935" s="4" t="inlineStr">
        <is>
          <t>22/05/2020</t>
        </is>
      </c>
      <c r="B3935" s="31" t="n">
        <v>76.7</v>
      </c>
    </row>
    <row r="3936">
      <c r="A3936" s="4" t="inlineStr">
        <is>
          <t>25/05/2020</t>
        </is>
      </c>
      <c r="B3936" s="31" t="n">
        <v>77.69</v>
      </c>
    </row>
    <row r="3937">
      <c r="A3937" s="4" t="inlineStr">
        <is>
          <t>26/05/2020</t>
        </is>
      </c>
      <c r="B3937" s="31" t="n">
        <v>76.39</v>
      </c>
    </row>
    <row r="3938">
      <c r="A3938" s="4" t="inlineStr">
        <is>
          <t>27/05/2020</t>
        </is>
      </c>
      <c r="B3938" s="31" t="n">
        <v>76.77</v>
      </c>
    </row>
    <row r="3939">
      <c r="A3939" s="4" t="inlineStr">
        <is>
          <t>28/05/2020</t>
        </is>
      </c>
      <c r="B3939" s="31" t="n">
        <v>76.05</v>
      </c>
    </row>
    <row r="3940">
      <c r="A3940" s="4" t="inlineStr">
        <is>
          <t>29/05/2020</t>
        </is>
      </c>
      <c r="B3940" s="31" t="n">
        <v>76.23999999999999</v>
      </c>
    </row>
    <row r="3941">
      <c r="A3941" s="4" t="inlineStr">
        <is>
          <t>01/06/2020</t>
        </is>
      </c>
      <c r="B3941" s="31" t="n">
        <v>74.40000000000001</v>
      </c>
    </row>
    <row r="3942">
      <c r="A3942" s="4" t="inlineStr">
        <is>
          <t>02/06/2020</t>
        </is>
      </c>
      <c r="B3942" s="31" t="n">
        <v>74.19</v>
      </c>
    </row>
    <row r="3943">
      <c r="A3943" s="4" t="inlineStr">
        <is>
          <t>03/06/2020</t>
        </is>
      </c>
      <c r="B3943" s="31" t="n">
        <v>73.2</v>
      </c>
    </row>
    <row r="3944">
      <c r="A3944" s="4" t="inlineStr">
        <is>
          <t>04/06/2020</t>
        </is>
      </c>
      <c r="B3944" s="31" t="n">
        <v>72.78</v>
      </c>
    </row>
    <row r="3945">
      <c r="A3945" s="4" t="inlineStr">
        <is>
          <t>05/06/2020</t>
        </is>
      </c>
      <c r="B3945" s="31" t="n">
        <v>72.09999999999999</v>
      </c>
    </row>
    <row r="3946">
      <c r="A3946" s="4" t="inlineStr">
        <is>
          <t>08/06/2020</t>
        </is>
      </c>
      <c r="B3946" s="31" t="n">
        <v>71.09</v>
      </c>
    </row>
    <row r="3947">
      <c r="A3947" s="4" t="inlineStr">
        <is>
          <t>09/06/2020</t>
        </is>
      </c>
      <c r="B3947" s="31" t="n">
        <v>70.81</v>
      </c>
    </row>
    <row r="3948">
      <c r="A3948" s="4" t="inlineStr">
        <is>
          <t>10/06/2020</t>
        </is>
      </c>
      <c r="B3948" s="31" t="n">
        <v>70.02</v>
      </c>
    </row>
    <row r="3949">
      <c r="A3949" s="4" t="inlineStr">
        <is>
          <t>12/06/2020</t>
        </is>
      </c>
      <c r="B3949" s="31" t="n">
        <v>70.18000000000001</v>
      </c>
    </row>
    <row r="3950">
      <c r="A3950" s="4" t="inlineStr">
        <is>
          <t>15/06/2020</t>
        </is>
      </c>
      <c r="B3950" s="31" t="n">
        <v>70.23999999999999</v>
      </c>
    </row>
    <row r="3951">
      <c r="A3951" s="4" t="inlineStr">
        <is>
          <t>16/06/2020</t>
        </is>
      </c>
      <c r="B3951" s="31" t="n">
        <v>70.11</v>
      </c>
    </row>
    <row r="3952">
      <c r="A3952" s="4" t="inlineStr">
        <is>
          <t>17/06/2020</t>
        </is>
      </c>
      <c r="B3952" s="31" t="n">
        <v>70.08</v>
      </c>
    </row>
    <row r="3953">
      <c r="A3953" s="4" t="inlineStr">
        <is>
          <t>18/06/2020</t>
        </is>
      </c>
      <c r="B3953" s="31" t="n">
        <v>70.48999999999999</v>
      </c>
    </row>
    <row r="3954">
      <c r="A3954" s="4" t="inlineStr">
        <is>
          <t>19/06/2020</t>
        </is>
      </c>
      <c r="B3954" s="31" t="n">
        <v>70.52</v>
      </c>
    </row>
    <row r="3955">
      <c r="A3955" s="4" t="inlineStr">
        <is>
          <t>22/06/2020</t>
        </is>
      </c>
      <c r="B3955" s="31" t="n">
        <v>71.14</v>
      </c>
    </row>
    <row r="3956">
      <c r="A3956" s="4" t="inlineStr">
        <is>
          <t>23/06/2020</t>
        </is>
      </c>
      <c r="B3956" s="31" t="n">
        <v>70.26000000000001</v>
      </c>
    </row>
    <row r="3957">
      <c r="A3957" s="4" t="inlineStr">
        <is>
          <t>24/06/2020</t>
        </is>
      </c>
      <c r="B3957" s="31" t="n">
        <v>70.56999999999999</v>
      </c>
    </row>
    <row r="3958">
      <c r="A3958" s="4" t="inlineStr">
        <is>
          <t>25/06/2020</t>
        </is>
      </c>
      <c r="B3958" s="31" t="n">
        <v>71.03</v>
      </c>
    </row>
    <row r="3959">
      <c r="A3959" s="4" t="inlineStr">
        <is>
          <t>26/06/2020</t>
        </is>
      </c>
      <c r="B3959" s="31" t="n">
        <v>72.02</v>
      </c>
    </row>
    <row r="3960">
      <c r="A3960" s="4" t="inlineStr">
        <is>
          <t>29/06/2020</t>
        </is>
      </c>
      <c r="B3960" s="31" t="n">
        <v>72.20999999999999</v>
      </c>
    </row>
    <row r="3961">
      <c r="A3961" s="4" t="inlineStr">
        <is>
          <t>30/06/2020</t>
        </is>
      </c>
      <c r="B3961" s="31" t="n">
        <v>72.59</v>
      </c>
    </row>
    <row r="3962">
      <c r="A3962" s="4" t="inlineStr">
        <is>
          <t>01/07/2020</t>
        </is>
      </c>
      <c r="B3962" s="31" t="n">
        <v>72.44</v>
      </c>
    </row>
    <row r="3963">
      <c r="A3963" s="4" t="inlineStr">
        <is>
          <t>02/07/2020</t>
        </is>
      </c>
      <c r="B3963" s="31" t="n">
        <v>72.84999999999999</v>
      </c>
    </row>
    <row r="3964">
      <c r="A3964" s="4" t="inlineStr">
        <is>
          <t>03/07/2020</t>
        </is>
      </c>
      <c r="B3964" s="31" t="n">
        <v>72.64</v>
      </c>
    </row>
    <row r="3965">
      <c r="A3965" s="4" t="inlineStr">
        <is>
          <t>06/07/2020</t>
        </is>
      </c>
      <c r="B3965" s="31" t="n">
        <v>73.05</v>
      </c>
    </row>
    <row r="3966">
      <c r="A3966" s="4" t="inlineStr">
        <is>
          <t>07/07/2020</t>
        </is>
      </c>
      <c r="B3966" s="31" t="n">
        <v>73.06999999999999</v>
      </c>
    </row>
    <row r="3967">
      <c r="A3967" s="4" t="inlineStr">
        <is>
          <t>08/07/2020</t>
        </is>
      </c>
      <c r="B3967" s="31" t="n">
        <v>73.7</v>
      </c>
    </row>
    <row r="3968">
      <c r="A3968" s="4" t="inlineStr">
        <is>
          <t>09/07/2020</t>
        </is>
      </c>
      <c r="B3968" s="31" t="n">
        <v>73.61</v>
      </c>
    </row>
    <row r="3969">
      <c r="A3969" s="4" t="inlineStr">
        <is>
          <t>10/07/2020</t>
        </is>
      </c>
      <c r="B3969" s="31" t="n">
        <v>73.48999999999999</v>
      </c>
    </row>
    <row r="3970">
      <c r="A3970" s="4" t="inlineStr">
        <is>
          <t>13/07/2020</t>
        </is>
      </c>
      <c r="B3970" s="31" t="n">
        <v>72.83</v>
      </c>
    </row>
    <row r="3971">
      <c r="A3971" s="4" t="inlineStr">
        <is>
          <t>14/07/2020</t>
        </is>
      </c>
      <c r="B3971" s="31" t="n">
        <v>72.91</v>
      </c>
    </row>
    <row r="3972">
      <c r="A3972" s="4" t="inlineStr">
        <is>
          <t>15/07/2020</t>
        </is>
      </c>
      <c r="B3972" s="31" t="n">
        <v>72.28</v>
      </c>
    </row>
    <row r="3973">
      <c r="A3973" s="4" t="inlineStr">
        <is>
          <t>16/07/2020</t>
        </is>
      </c>
      <c r="B3973" s="31" t="n">
        <v>71.70999999999999</v>
      </c>
    </row>
    <row r="3974">
      <c r="A3974" s="4" t="inlineStr">
        <is>
          <t>17/07/2020</t>
        </is>
      </c>
      <c r="B3974" s="31" t="n">
        <v>72.31999999999999</v>
      </c>
    </row>
    <row r="3975">
      <c r="A3975" s="4" t="inlineStr">
        <is>
          <t>20/07/2020</t>
        </is>
      </c>
      <c r="B3975" s="31" t="n">
        <v>72.42</v>
      </c>
    </row>
    <row r="3976">
      <c r="A3976" s="4" t="inlineStr">
        <is>
          <t>21/07/2020</t>
        </is>
      </c>
      <c r="B3976" s="31" t="n">
        <v>72.59999999999999</v>
      </c>
    </row>
    <row r="3977">
      <c r="A3977" s="4" t="inlineStr">
        <is>
          <t>22/07/2020</t>
        </is>
      </c>
      <c r="B3977" s="31" t="n">
        <v>71.02</v>
      </c>
    </row>
    <row r="3978">
      <c r="A3978" s="4" t="inlineStr">
        <is>
          <t>23/07/2020</t>
        </is>
      </c>
      <c r="B3978" s="31" t="n">
        <v>71.44</v>
      </c>
    </row>
    <row r="3979">
      <c r="A3979" s="4" t="inlineStr">
        <is>
          <t>24/07/2020</t>
        </is>
      </c>
      <c r="B3979" s="31" t="n">
        <v>72.06</v>
      </c>
    </row>
    <row r="3980">
      <c r="A3980" s="4" t="inlineStr">
        <is>
          <t>27/07/2020</t>
        </is>
      </c>
      <c r="B3980" s="31" t="n">
        <v>72.76000000000001</v>
      </c>
    </row>
    <row r="3981">
      <c r="A3981" s="4" t="inlineStr">
        <is>
          <t>28/07/2020</t>
        </is>
      </c>
      <c r="B3981" s="31" t="n">
        <v>72.28</v>
      </c>
    </row>
    <row r="3982">
      <c r="A3982" s="4" t="inlineStr">
        <is>
          <t>29/07/2020</t>
        </is>
      </c>
      <c r="B3982" s="31" t="n">
        <v>72.84999999999999</v>
      </c>
    </row>
    <row r="3983">
      <c r="A3983" s="4" t="inlineStr">
        <is>
          <t>30/07/2020</t>
        </is>
      </c>
      <c r="B3983" s="31" t="n">
        <v>73.84</v>
      </c>
    </row>
    <row r="3984">
      <c r="A3984" s="4" t="inlineStr">
        <is>
          <t>31/07/2020</t>
        </is>
      </c>
      <c r="B3984" s="31" t="n">
        <v>74.31</v>
      </c>
    </row>
    <row r="3985">
      <c r="A3985" s="4" t="inlineStr">
        <is>
          <t>03/08/2020</t>
        </is>
      </c>
      <c r="B3985" s="31" t="n">
        <v>73.04000000000001</v>
      </c>
    </row>
    <row r="3986">
      <c r="A3986" s="4" t="inlineStr">
        <is>
          <t>04/08/2020</t>
        </is>
      </c>
      <c r="B3986" s="31" t="n">
        <v>74.01000000000001</v>
      </c>
    </row>
    <row r="3987">
      <c r="A3987" s="4" t="inlineStr">
        <is>
          <t>05/08/2020</t>
        </is>
      </c>
      <c r="B3987" s="31" t="n">
        <v>74.25</v>
      </c>
    </row>
    <row r="3988">
      <c r="A3988" s="4" t="inlineStr">
        <is>
          <t>06/08/2020</t>
        </is>
      </c>
      <c r="B3988" s="31" t="n">
        <v>74.89</v>
      </c>
    </row>
    <row r="3989">
      <c r="A3989" s="4" t="inlineStr">
        <is>
          <t>07/08/2020</t>
        </is>
      </c>
      <c r="B3989" s="31" t="n">
        <v>75.08</v>
      </c>
    </row>
    <row r="3990">
      <c r="A3990" s="4" t="inlineStr">
        <is>
          <t>10/08/2020</t>
        </is>
      </c>
      <c r="B3990" s="31" t="n">
        <v>76.31999999999999</v>
      </c>
    </row>
    <row r="3991">
      <c r="A3991" s="4" t="inlineStr">
        <is>
          <t>11/08/2020</t>
        </is>
      </c>
      <c r="B3991" s="31" t="n">
        <v>77.3</v>
      </c>
    </row>
    <row r="3992">
      <c r="A3992" s="4" t="inlineStr">
        <is>
          <t>12/08/2020</t>
        </is>
      </c>
      <c r="B3992" s="31" t="n">
        <v>78.01000000000001</v>
      </c>
    </row>
    <row r="3993">
      <c r="A3993" s="4" t="inlineStr">
        <is>
          <t>13/08/2020</t>
        </is>
      </c>
      <c r="B3993" s="31" t="n">
        <v>78.55</v>
      </c>
    </row>
    <row r="3994">
      <c r="A3994" s="4" t="inlineStr">
        <is>
          <t>14/08/2020</t>
        </is>
      </c>
      <c r="B3994" s="31" t="n">
        <v>79.05</v>
      </c>
    </row>
    <row r="3995">
      <c r="A3995" s="4" t="inlineStr">
        <is>
          <t>17/08/2020</t>
        </is>
      </c>
      <c r="B3995" s="31" t="n">
        <v>79.73999999999999</v>
      </c>
    </row>
    <row r="3996">
      <c r="A3996" s="4" t="inlineStr">
        <is>
          <t>18/08/2020</t>
        </is>
      </c>
      <c r="B3996" s="31" t="n">
        <v>82.06999999999999</v>
      </c>
    </row>
    <row r="3997">
      <c r="A3997" s="4" t="inlineStr">
        <is>
          <t>19/08/2020</t>
        </is>
      </c>
      <c r="B3997" s="31" t="n">
        <v>83.51000000000001</v>
      </c>
    </row>
    <row r="3998">
      <c r="A3998" s="4" t="inlineStr">
        <is>
          <t>20/08/2020</t>
        </is>
      </c>
      <c r="B3998" s="31" t="n">
        <v>84.04000000000001</v>
      </c>
    </row>
    <row r="3999">
      <c r="A3999" s="4" t="inlineStr">
        <is>
          <t>21/08/2020</t>
        </is>
      </c>
      <c r="B3999" s="31" t="n">
        <v>84.88</v>
      </c>
    </row>
    <row r="4000">
      <c r="A4000" s="4" t="inlineStr">
        <is>
          <t>24/08/2020</t>
        </is>
      </c>
      <c r="B4000" s="31" t="n">
        <v>85.34999999999999</v>
      </c>
    </row>
    <row r="4001">
      <c r="A4001" s="4" t="inlineStr">
        <is>
          <t>25/08/2020</t>
        </is>
      </c>
      <c r="B4001" s="31" t="n">
        <v>86.03</v>
      </c>
    </row>
    <row r="4002">
      <c r="A4002" s="4" t="inlineStr">
        <is>
          <t>26/08/2020</t>
        </is>
      </c>
      <c r="B4002" s="31" t="n">
        <v>86.44</v>
      </c>
    </row>
    <row r="4003">
      <c r="A4003" s="4" t="inlineStr">
        <is>
          <t>27/08/2020</t>
        </is>
      </c>
      <c r="B4003" s="31" t="n">
        <v>86.69</v>
      </c>
    </row>
    <row r="4004">
      <c r="A4004" s="4" t="inlineStr">
        <is>
          <t>28/08/2020</t>
        </is>
      </c>
      <c r="B4004" s="31" t="n">
        <v>86.83</v>
      </c>
    </row>
    <row r="4005">
      <c r="A4005" s="4" t="inlineStr">
        <is>
          <t>31/08/2020</t>
        </is>
      </c>
      <c r="B4005" s="31" t="n">
        <v>87.23</v>
      </c>
    </row>
    <row r="4006">
      <c r="A4006" s="4" t="inlineStr">
        <is>
          <t>01/09/2020</t>
        </is>
      </c>
      <c r="B4006" s="31" t="n">
        <v>83.15000000000001</v>
      </c>
    </row>
    <row r="4007">
      <c r="A4007" s="4" t="inlineStr">
        <is>
          <t>02/09/2020</t>
        </is>
      </c>
      <c r="B4007" s="31" t="n">
        <v>82.38</v>
      </c>
    </row>
    <row r="4008">
      <c r="A4008" s="4" t="inlineStr">
        <is>
          <t>03/09/2020</t>
        </is>
      </c>
      <c r="B4008" s="31" t="n">
        <v>80.68000000000001</v>
      </c>
    </row>
    <row r="4009">
      <c r="A4009" s="4" t="inlineStr">
        <is>
          <t>04/09/2020</t>
        </is>
      </c>
      <c r="B4009" s="31" t="n">
        <v>80.61</v>
      </c>
    </row>
    <row r="4010">
      <c r="A4010" s="4" t="inlineStr">
        <is>
          <t>08/09/2020</t>
        </is>
      </c>
      <c r="B4010" s="31" t="n">
        <v>80.04000000000001</v>
      </c>
    </row>
    <row r="4011">
      <c r="A4011" s="4" t="inlineStr">
        <is>
          <t>09/09/2020</t>
        </is>
      </c>
      <c r="B4011" s="31" t="n">
        <v>79.37</v>
      </c>
    </row>
    <row r="4012">
      <c r="A4012" s="4" t="inlineStr">
        <is>
          <t>10/09/2020</t>
        </is>
      </c>
      <c r="B4012" s="31" t="n">
        <v>79.68000000000001</v>
      </c>
    </row>
    <row r="4013">
      <c r="A4013" s="4" t="inlineStr">
        <is>
          <t>11/09/2020</t>
        </is>
      </c>
      <c r="B4013" s="31" t="n">
        <v>80.51000000000001</v>
      </c>
    </row>
    <row r="4014">
      <c r="A4014" s="4" t="inlineStr">
        <is>
          <t>14/09/2020</t>
        </is>
      </c>
      <c r="B4014" s="31" t="n">
        <v>81.48</v>
      </c>
    </row>
    <row r="4015">
      <c r="A4015" s="4" t="inlineStr">
        <is>
          <t>15/09/2020</t>
        </is>
      </c>
      <c r="B4015" s="31" t="n">
        <v>80.48999999999999</v>
      </c>
    </row>
    <row r="4016">
      <c r="A4016" s="4" t="inlineStr">
        <is>
          <t>16/09/2020</t>
        </is>
      </c>
      <c r="B4016" s="31" t="n">
        <v>80.36</v>
      </c>
    </row>
    <row r="4017">
      <c r="A4017" s="4" t="inlineStr">
        <is>
          <t>17/09/2020</t>
        </is>
      </c>
      <c r="B4017" s="31" t="n">
        <v>79.81999999999999</v>
      </c>
    </row>
    <row r="4018">
      <c r="A4018" s="4" t="inlineStr">
        <is>
          <t>18/09/2020</t>
        </is>
      </c>
      <c r="B4018" s="31" t="n">
        <v>79.81999999999999</v>
      </c>
    </row>
    <row r="4019">
      <c r="A4019" s="4" t="inlineStr">
        <is>
          <t>21/09/2020</t>
        </is>
      </c>
      <c r="B4019" s="31" t="n">
        <v>80.79000000000001</v>
      </c>
    </row>
    <row r="4020">
      <c r="A4020" s="4" t="inlineStr">
        <is>
          <t>22/09/2020</t>
        </is>
      </c>
      <c r="B4020" s="31" t="n">
        <v>81.77</v>
      </c>
    </row>
    <row r="4021">
      <c r="A4021" s="4" t="inlineStr">
        <is>
          <t>23/09/2020</t>
        </is>
      </c>
      <c r="B4021" s="31" t="n">
        <v>83.19</v>
      </c>
    </row>
    <row r="4022">
      <c r="A4022" s="4" t="inlineStr">
        <is>
          <t>24/09/2020</t>
        </is>
      </c>
      <c r="B4022" s="31" t="n">
        <v>83.64</v>
      </c>
    </row>
    <row r="4023">
      <c r="A4023" s="4" t="inlineStr">
        <is>
          <t>25/09/2020</t>
        </is>
      </c>
      <c r="B4023" s="31" t="n">
        <v>85.23999999999999</v>
      </c>
    </row>
    <row r="4024">
      <c r="A4024" s="4" t="inlineStr">
        <is>
          <t>28/09/2020</t>
        </is>
      </c>
      <c r="B4024" s="31" t="n">
        <v>85.2</v>
      </c>
    </row>
    <row r="4025">
      <c r="A4025" s="4" t="inlineStr">
        <is>
          <t>29/09/2020</t>
        </is>
      </c>
      <c r="B4025" s="31" t="n">
        <v>86.37</v>
      </c>
    </row>
    <row r="4026">
      <c r="A4026" s="4" t="inlineStr">
        <is>
          <t>30/09/2020</t>
        </is>
      </c>
      <c r="B4026" s="31" t="n">
        <v>86.84999999999999</v>
      </c>
    </row>
    <row r="4027">
      <c r="A4027" s="4" t="inlineStr">
        <is>
          <t>01/10/2020</t>
        </is>
      </c>
      <c r="B4027" s="31" t="n">
        <v>84.91</v>
      </c>
    </row>
    <row r="4028">
      <c r="A4028" s="4" t="inlineStr">
        <is>
          <t>02/10/2020</t>
        </is>
      </c>
      <c r="B4028" s="31" t="n">
        <v>85.61</v>
      </c>
    </row>
    <row r="4029">
      <c r="A4029" s="4" t="inlineStr">
        <is>
          <t>05/10/2020</t>
        </is>
      </c>
      <c r="B4029" s="31" t="n">
        <v>86.42</v>
      </c>
    </row>
    <row r="4030">
      <c r="A4030" s="4" t="inlineStr">
        <is>
          <t>06/10/2020</t>
        </is>
      </c>
      <c r="B4030" s="31" t="n">
        <v>86.58</v>
      </c>
    </row>
    <row r="4031">
      <c r="A4031" s="4" t="inlineStr">
        <is>
          <t>07/10/2020</t>
        </is>
      </c>
      <c r="B4031" s="31" t="n">
        <v>88.93000000000001</v>
      </c>
    </row>
    <row r="4032">
      <c r="A4032" s="4" t="inlineStr">
        <is>
          <t>08/10/2020</t>
        </is>
      </c>
      <c r="B4032" s="31" t="n">
        <v>89.31</v>
      </c>
    </row>
    <row r="4033">
      <c r="A4033" s="4" t="inlineStr">
        <is>
          <t>09/10/2020</t>
        </is>
      </c>
      <c r="B4033" s="31" t="n">
        <v>90.06999999999999</v>
      </c>
    </row>
    <row r="4034">
      <c r="A4034" s="4" t="inlineStr">
        <is>
          <t>13/10/2020</t>
        </is>
      </c>
      <c r="B4034" s="31" t="n">
        <v>91.34999999999999</v>
      </c>
    </row>
    <row r="4035">
      <c r="A4035" s="4" t="inlineStr">
        <is>
          <t>14/10/2020</t>
        </is>
      </c>
      <c r="B4035" s="31" t="n">
        <v>91.93000000000001</v>
      </c>
    </row>
    <row r="4036">
      <c r="A4036" s="4" t="inlineStr">
        <is>
          <t>15/10/2020</t>
        </is>
      </c>
      <c r="B4036" s="31" t="n">
        <v>92.95</v>
      </c>
    </row>
    <row r="4037">
      <c r="A4037" s="4" t="inlineStr">
        <is>
          <t>16/10/2020</t>
        </is>
      </c>
      <c r="B4037" s="31" t="n">
        <v>93.5</v>
      </c>
    </row>
    <row r="4038">
      <c r="A4038" s="4" t="inlineStr">
        <is>
          <t>19/10/2020</t>
        </is>
      </c>
      <c r="B4038" s="31" t="n">
        <v>94.52</v>
      </c>
    </row>
    <row r="4039">
      <c r="A4039" s="4" t="inlineStr">
        <is>
          <t>20/10/2020</t>
        </is>
      </c>
      <c r="B4039" s="31" t="n">
        <v>96.95</v>
      </c>
    </row>
    <row r="4040">
      <c r="A4040" s="4" t="inlineStr">
        <is>
          <t>21/10/2020</t>
        </is>
      </c>
      <c r="B4040" s="31" t="n">
        <v>99.68000000000001</v>
      </c>
    </row>
    <row r="4041">
      <c r="A4041" s="4" t="inlineStr">
        <is>
          <t>22/10/2020</t>
        </is>
      </c>
      <c r="B4041" s="31" t="n">
        <v>102.24</v>
      </c>
    </row>
    <row r="4042">
      <c r="A4042" s="4" t="inlineStr">
        <is>
          <t>23/10/2020</t>
        </is>
      </c>
      <c r="B4042" s="31" t="n">
        <v>104.21</v>
      </c>
    </row>
    <row r="4043">
      <c r="A4043" s="4" t="inlineStr">
        <is>
          <t>26/10/2020</t>
        </is>
      </c>
      <c r="B4043" s="31" t="n">
        <v>105.34</v>
      </c>
    </row>
    <row r="4044">
      <c r="A4044" s="4" t="inlineStr">
        <is>
          <t>27/10/2020</t>
        </is>
      </c>
      <c r="B4044" s="31" t="n">
        <v>107.73</v>
      </c>
    </row>
    <row r="4045">
      <c r="A4045" s="4" t="inlineStr">
        <is>
          <t>28/10/2020</t>
        </is>
      </c>
      <c r="B4045" s="31" t="n">
        <v>109.3</v>
      </c>
    </row>
    <row r="4046">
      <c r="A4046" s="4" t="inlineStr">
        <is>
          <t>29/10/2020</t>
        </is>
      </c>
      <c r="B4046" s="31" t="n">
        <v>109.14</v>
      </c>
    </row>
    <row r="4047">
      <c r="A4047" s="4" t="inlineStr">
        <is>
          <t>30/10/2020</t>
        </is>
      </c>
      <c r="B4047" s="31" t="n">
        <v>108.27</v>
      </c>
    </row>
    <row r="4048">
      <c r="A4048" s="4" t="inlineStr">
        <is>
          <t>03/11/2020</t>
        </is>
      </c>
      <c r="B4048" s="31" t="n">
        <v>103.4</v>
      </c>
    </row>
    <row r="4049">
      <c r="A4049" s="4" t="inlineStr">
        <is>
          <t>04/11/2020</t>
        </is>
      </c>
      <c r="B4049" s="31" t="n">
        <v>104.22</v>
      </c>
    </row>
    <row r="4050">
      <c r="A4050" s="4" t="inlineStr">
        <is>
          <t>05/11/2020</t>
        </is>
      </c>
      <c r="B4050" s="31" t="n">
        <v>104.04</v>
      </c>
    </row>
    <row r="4051">
      <c r="A4051" s="4" t="inlineStr">
        <is>
          <t>06/11/2020</t>
        </is>
      </c>
      <c r="B4051" s="31" t="n">
        <v>104.1</v>
      </c>
    </row>
    <row r="4052">
      <c r="A4052" s="4" t="inlineStr">
        <is>
          <t>09/11/2020</t>
        </is>
      </c>
      <c r="B4052" s="31" t="n">
        <v>103.58</v>
      </c>
    </row>
    <row r="4053">
      <c r="A4053" s="4" t="inlineStr">
        <is>
          <t>10/11/2020</t>
        </is>
      </c>
      <c r="B4053" s="31" t="n">
        <v>102.66</v>
      </c>
    </row>
    <row r="4054">
      <c r="A4054" s="4" t="inlineStr">
        <is>
          <t>11/11/2020</t>
        </is>
      </c>
      <c r="B4054" s="31" t="n">
        <v>103.16</v>
      </c>
    </row>
    <row r="4055">
      <c r="A4055" s="4" t="inlineStr">
        <is>
          <t>12/11/2020</t>
        </is>
      </c>
      <c r="B4055" s="31" t="n">
        <v>103.12</v>
      </c>
    </row>
    <row r="4056">
      <c r="A4056" s="4" t="inlineStr">
        <is>
          <t>13/11/2020</t>
        </is>
      </c>
      <c r="B4056" s="31" t="n">
        <v>103.36</v>
      </c>
    </row>
    <row r="4057">
      <c r="A4057" s="4" t="inlineStr">
        <is>
          <t>16/11/2020</t>
        </is>
      </c>
      <c r="B4057" s="31" t="n">
        <v>103.11</v>
      </c>
    </row>
    <row r="4058">
      <c r="A4058" s="4" t="inlineStr">
        <is>
          <t>17/11/2020</t>
        </is>
      </c>
      <c r="B4058" s="31" t="n">
        <v>103.59</v>
      </c>
    </row>
    <row r="4059">
      <c r="A4059" s="4" t="inlineStr">
        <is>
          <t>18/11/2020</t>
        </is>
      </c>
      <c r="B4059" s="31" t="n">
        <v>102.98</v>
      </c>
    </row>
    <row r="4060">
      <c r="A4060" s="4" t="inlineStr">
        <is>
          <t>19/11/2020</t>
        </is>
      </c>
      <c r="B4060" s="31" t="n">
        <v>102.44</v>
      </c>
    </row>
    <row r="4061">
      <c r="A4061" s="4" t="inlineStr">
        <is>
          <t>20/11/2020</t>
        </is>
      </c>
      <c r="B4061" s="31" t="n">
        <v>102.68</v>
      </c>
    </row>
    <row r="4062">
      <c r="A4062" s="4" t="inlineStr">
        <is>
          <t>23/11/2020</t>
        </is>
      </c>
      <c r="B4062" s="31" t="n">
        <v>102.49</v>
      </c>
    </row>
    <row r="4063">
      <c r="A4063" s="4" t="inlineStr">
        <is>
          <t>24/11/2020</t>
        </is>
      </c>
      <c r="B4063" s="31" t="n">
        <v>101.99</v>
      </c>
    </row>
    <row r="4064">
      <c r="A4064" s="4" t="inlineStr">
        <is>
          <t>25/11/2020</t>
        </is>
      </c>
      <c r="B4064" s="31" t="n">
        <v>102.12</v>
      </c>
    </row>
    <row r="4065">
      <c r="A4065" s="4" t="inlineStr">
        <is>
          <t>26/11/2020</t>
        </is>
      </c>
      <c r="B4065" s="31" t="n">
        <v>101.53</v>
      </c>
    </row>
    <row r="4066">
      <c r="A4066" s="4" t="inlineStr">
        <is>
          <t>27/11/2020</t>
        </is>
      </c>
      <c r="B4066" s="31" t="n">
        <v>101.48</v>
      </c>
    </row>
    <row r="4067">
      <c r="A4067" s="4" t="inlineStr">
        <is>
          <t>30/11/2020</t>
        </is>
      </c>
      <c r="B4067" s="31" t="n">
        <v>100.25</v>
      </c>
    </row>
    <row r="4068">
      <c r="A4068" s="4" t="inlineStr">
        <is>
          <t>01/12/2020</t>
        </is>
      </c>
      <c r="B4068" s="31" t="n">
        <v>97.84999999999999</v>
      </c>
    </row>
    <row r="4069">
      <c r="A4069" s="4" t="inlineStr">
        <is>
          <t>02/12/2020</t>
        </is>
      </c>
      <c r="B4069" s="31" t="n">
        <v>96.93000000000001</v>
      </c>
    </row>
    <row r="4070">
      <c r="A4070" s="4" t="inlineStr">
        <is>
          <t>03/12/2020</t>
        </is>
      </c>
      <c r="B4070" s="31" t="n">
        <v>95.7</v>
      </c>
    </row>
    <row r="4071">
      <c r="A4071" s="4" t="inlineStr">
        <is>
          <t>04/12/2020</t>
        </is>
      </c>
      <c r="B4071" s="31" t="n">
        <v>94.70999999999999</v>
      </c>
    </row>
    <row r="4072">
      <c r="A4072" s="4" t="inlineStr">
        <is>
          <t>07/12/2020</t>
        </is>
      </c>
      <c r="B4072" s="31" t="n">
        <v>93.63</v>
      </c>
    </row>
    <row r="4073">
      <c r="A4073" s="4" t="inlineStr">
        <is>
          <t>08/12/2020</t>
        </is>
      </c>
      <c r="B4073" s="31" t="n">
        <v>93.09999999999999</v>
      </c>
    </row>
    <row r="4074">
      <c r="A4074" s="4" t="inlineStr">
        <is>
          <t>09/12/2020</t>
        </is>
      </c>
      <c r="B4074" s="31" t="n">
        <v>93.34</v>
      </c>
    </row>
    <row r="4075">
      <c r="A4075" s="4" t="inlineStr">
        <is>
          <t>10/12/2020</t>
        </is>
      </c>
      <c r="B4075" s="31" t="n">
        <v>93.15000000000001</v>
      </c>
    </row>
    <row r="4076">
      <c r="A4076" s="4" t="inlineStr">
        <is>
          <t>11/12/2020</t>
        </is>
      </c>
      <c r="B4076" s="31" t="n">
        <v>92.69</v>
      </c>
    </row>
    <row r="4077">
      <c r="A4077" s="4" t="inlineStr">
        <is>
          <t>14/12/2020</t>
        </is>
      </c>
      <c r="B4077" s="31" t="n">
        <v>92.95999999999999</v>
      </c>
    </row>
    <row r="4078">
      <c r="A4078" s="4" t="inlineStr">
        <is>
          <t>15/12/2020</t>
        </is>
      </c>
      <c r="B4078" s="31" t="n">
        <v>93.63</v>
      </c>
    </row>
    <row r="4079">
      <c r="A4079" s="4" t="inlineStr">
        <is>
          <t>16/12/2020</t>
        </is>
      </c>
      <c r="B4079" s="31" t="n">
        <v>94.91</v>
      </c>
    </row>
    <row r="4080">
      <c r="A4080" s="4" t="inlineStr">
        <is>
          <t>17/12/2020</t>
        </is>
      </c>
      <c r="B4080" s="31" t="n">
        <v>93.97</v>
      </c>
    </row>
    <row r="4081">
      <c r="A4081" s="4" t="inlineStr">
        <is>
          <t>18/12/2020</t>
        </is>
      </c>
      <c r="B4081" s="31" t="n">
        <v>94.11</v>
      </c>
    </row>
    <row r="4082">
      <c r="A4082" s="4" t="inlineStr">
        <is>
          <t>21/12/2020</t>
        </is>
      </c>
      <c r="B4082" s="31" t="n">
        <v>95.23</v>
      </c>
    </row>
    <row r="4083">
      <c r="A4083" s="4" t="inlineStr">
        <is>
          <t>22/12/2020</t>
        </is>
      </c>
      <c r="B4083" s="31" t="n">
        <v>98.06999999999999</v>
      </c>
    </row>
    <row r="4084">
      <c r="A4084" s="4" t="inlineStr">
        <is>
          <t>23/12/2020</t>
        </is>
      </c>
      <c r="B4084" s="31" t="n">
        <v>98.40000000000001</v>
      </c>
    </row>
    <row r="4085">
      <c r="A4085" s="4" t="inlineStr">
        <is>
          <t>28/12/2020</t>
        </is>
      </c>
      <c r="B4085" s="31" t="n">
        <v>98.93000000000001</v>
      </c>
    </row>
    <row r="4086">
      <c r="A4086" s="4" t="inlineStr">
        <is>
          <t>29/12/2020</t>
        </is>
      </c>
      <c r="B4086" s="31" t="n">
        <v>99.47</v>
      </c>
    </row>
    <row r="4087">
      <c r="A4087" s="4" t="inlineStr">
        <is>
          <t>30/12/2020</t>
        </is>
      </c>
      <c r="B4087" s="31" t="n">
        <v>99.73</v>
      </c>
    </row>
    <row r="4088">
      <c r="A4088" s="4" t="inlineStr">
        <is>
          <t>04/01/2021</t>
        </is>
      </c>
      <c r="B4088" s="31" t="n">
        <v>101.1</v>
      </c>
    </row>
    <row r="4089">
      <c r="A4089" s="4" t="inlineStr">
        <is>
          <t>05/01/2021</t>
        </is>
      </c>
      <c r="B4089" s="31" t="n">
        <v>100.89</v>
      </c>
    </row>
    <row r="4090">
      <c r="A4090" s="4" t="inlineStr">
        <is>
          <t>06/01/2021</t>
        </is>
      </c>
      <c r="B4090" s="31" t="n">
        <v>101.74</v>
      </c>
    </row>
    <row r="4091">
      <c r="A4091" s="4" t="inlineStr">
        <is>
          <t>07/01/2021</t>
        </is>
      </c>
      <c r="B4091" s="31" t="n">
        <v>102.16</v>
      </c>
    </row>
    <row r="4092">
      <c r="A4092" s="4" t="inlineStr">
        <is>
          <t>08/01/2021</t>
        </is>
      </c>
      <c r="B4092" s="31" t="n">
        <v>102.1</v>
      </c>
    </row>
    <row r="4093">
      <c r="A4093" s="4" t="inlineStr">
        <is>
          <t>11/01/2021</t>
        </is>
      </c>
      <c r="B4093" s="31" t="n">
        <v>102.15</v>
      </c>
    </row>
    <row r="4094">
      <c r="A4094" s="4" t="inlineStr">
        <is>
          <t>12/01/2021</t>
        </is>
      </c>
      <c r="B4094" s="31" t="n">
        <v>102.99</v>
      </c>
    </row>
    <row r="4095">
      <c r="A4095" s="4" t="inlineStr">
        <is>
          <t>13/01/2021</t>
        </is>
      </c>
      <c r="B4095" s="31" t="n">
        <v>103.67</v>
      </c>
    </row>
    <row r="4096">
      <c r="A4096" s="4" t="inlineStr">
        <is>
          <t>14/01/2021</t>
        </is>
      </c>
      <c r="B4096" s="31" t="n">
        <v>104.18</v>
      </c>
    </row>
    <row r="4097">
      <c r="A4097" s="4" t="inlineStr">
        <is>
          <t>15/01/2021</t>
        </is>
      </c>
      <c r="B4097" s="31" t="n">
        <v>104.48</v>
      </c>
    </row>
    <row r="4098">
      <c r="A4098" s="4" t="inlineStr">
        <is>
          <t>18/01/2021</t>
        </is>
      </c>
      <c r="B4098" s="31" t="n">
        <v>105.02</v>
      </c>
    </row>
    <row r="4099">
      <c r="A4099" s="4" t="inlineStr">
        <is>
          <t>19/01/2021</t>
        </is>
      </c>
      <c r="B4099" s="31" t="n">
        <v>105.34</v>
      </c>
    </row>
    <row r="4100">
      <c r="A4100" s="4" t="inlineStr">
        <is>
          <t>20/01/2021</t>
        </is>
      </c>
      <c r="B4100" s="31" t="n">
        <v>105.61</v>
      </c>
    </row>
    <row r="4101">
      <c r="A4101" s="4" t="inlineStr">
        <is>
          <t>21/01/2021</t>
        </is>
      </c>
      <c r="B4101" s="31" t="n">
        <v>105.11</v>
      </c>
    </row>
    <row r="4102">
      <c r="A4102" s="4" t="inlineStr">
        <is>
          <t>22/01/2021</t>
        </is>
      </c>
      <c r="B4102" s="31" t="n">
        <v>104.36</v>
      </c>
    </row>
    <row r="4103">
      <c r="A4103" s="4" t="inlineStr">
        <is>
          <t>25/01/2021</t>
        </is>
      </c>
      <c r="B4103" s="31" t="n">
        <v>103.67</v>
      </c>
    </row>
    <row r="4104">
      <c r="A4104" s="4" t="inlineStr">
        <is>
          <t>26/01/2021</t>
        </is>
      </c>
      <c r="B4104" s="31" t="n">
        <v>103.8</v>
      </c>
    </row>
    <row r="4105">
      <c r="A4105" s="4" t="inlineStr">
        <is>
          <t>27/01/2021</t>
        </is>
      </c>
      <c r="B4105" s="31" t="n">
        <v>103.62</v>
      </c>
    </row>
    <row r="4106">
      <c r="A4106" s="4" t="inlineStr">
        <is>
          <t>28/01/2021</t>
        </is>
      </c>
      <c r="B4106" s="31" t="n">
        <v>102.91</v>
      </c>
    </row>
    <row r="4107">
      <c r="A4107" s="4" t="inlineStr">
        <is>
          <t>29/01/2021</t>
        </is>
      </c>
      <c r="B4107" s="31" t="n">
        <v>103.02</v>
      </c>
    </row>
    <row r="4108">
      <c r="A4108" s="4" t="inlineStr">
        <is>
          <t>01/02/2021</t>
        </is>
      </c>
      <c r="B4108" s="31" t="n">
        <v>101.21</v>
      </c>
    </row>
    <row r="4109">
      <c r="A4109" s="4" t="inlineStr">
        <is>
          <t>02/02/2021</t>
        </is>
      </c>
      <c r="B4109" s="31" t="n">
        <v>100.1</v>
      </c>
    </row>
    <row r="4110">
      <c r="A4110" s="4" t="inlineStr">
        <is>
          <t>03/02/2021</t>
        </is>
      </c>
      <c r="B4110" s="31" t="n">
        <v>100.17</v>
      </c>
    </row>
    <row r="4111">
      <c r="A4111" s="4" t="inlineStr">
        <is>
          <t>04/02/2021</t>
        </is>
      </c>
      <c r="B4111" s="31" t="n">
        <v>100.09</v>
      </c>
    </row>
    <row r="4112">
      <c r="A4112" s="4" t="inlineStr">
        <is>
          <t>05/02/2021</t>
        </is>
      </c>
      <c r="B4112" s="31" t="n">
        <v>99.8</v>
      </c>
    </row>
    <row r="4113">
      <c r="A4113" s="4" t="inlineStr">
        <is>
          <t>08/02/2021</t>
        </is>
      </c>
      <c r="B4113" s="31" t="n">
        <v>99.69</v>
      </c>
    </row>
    <row r="4114">
      <c r="A4114" s="4" t="inlineStr">
        <is>
          <t>09/02/2021</t>
        </is>
      </c>
      <c r="B4114" s="31" t="n">
        <v>100.54</v>
      </c>
    </row>
    <row r="4115">
      <c r="A4115" s="4" t="inlineStr">
        <is>
          <t>10/02/2021</t>
        </is>
      </c>
      <c r="B4115" s="31" t="n">
        <v>100.26</v>
      </c>
    </row>
    <row r="4116">
      <c r="A4116" s="4" t="inlineStr">
        <is>
          <t>11/02/2021</t>
        </is>
      </c>
      <c r="B4116" s="31" t="n">
        <v>100.29</v>
      </c>
    </row>
    <row r="4117">
      <c r="A4117" s="4" t="inlineStr">
        <is>
          <t>12/02/2021</t>
        </is>
      </c>
      <c r="B4117" s="31" t="n">
        <v>100.55</v>
      </c>
    </row>
    <row r="4118">
      <c r="A4118" s="4" t="inlineStr">
        <is>
          <t>17/02/2021</t>
        </is>
      </c>
      <c r="B4118" s="31" t="n">
        <v>101.03</v>
      </c>
    </row>
    <row r="4119">
      <c r="A4119" s="4" t="inlineStr">
        <is>
          <t>18/02/2021</t>
        </is>
      </c>
      <c r="B4119" s="31" t="n">
        <v>101.34</v>
      </c>
    </row>
    <row r="4120">
      <c r="A4120" s="4" t="inlineStr">
        <is>
          <t>19/02/2021</t>
        </is>
      </c>
      <c r="B4120" s="31" t="n">
        <v>101.69</v>
      </c>
    </row>
    <row r="4121">
      <c r="A4121" s="4" t="inlineStr">
        <is>
          <t>22/02/2021</t>
        </is>
      </c>
      <c r="B4121" s="31" t="n">
        <v>102.34</v>
      </c>
    </row>
    <row r="4122">
      <c r="A4122" s="4" t="inlineStr">
        <is>
          <t>23/02/2021</t>
        </is>
      </c>
      <c r="B4122" s="31" t="n">
        <v>102.57</v>
      </c>
    </row>
    <row r="4123">
      <c r="A4123" s="4" t="inlineStr">
        <is>
          <t>24/02/2021</t>
        </is>
      </c>
      <c r="B4123" s="31" t="n">
        <v>102.71</v>
      </c>
    </row>
    <row r="4124">
      <c r="A4124" s="4" t="inlineStr">
        <is>
          <t>25/02/2021</t>
        </is>
      </c>
      <c r="B4124" s="31" t="n">
        <v>103.19</v>
      </c>
    </row>
    <row r="4125">
      <c r="A4125" s="4" t="inlineStr">
        <is>
          <t>26/02/2021</t>
        </is>
      </c>
      <c r="B4125" s="31" t="n">
        <v>102.97</v>
      </c>
    </row>
    <row r="4126">
      <c r="A4126" s="4" t="inlineStr">
        <is>
          <t>01/03/2021</t>
        </is>
      </c>
      <c r="B4126" s="31" t="n">
        <v>100.24</v>
      </c>
    </row>
    <row r="4127">
      <c r="A4127" s="4" t="inlineStr">
        <is>
          <t>02/03/2021</t>
        </is>
      </c>
      <c r="B4127" s="31" t="n">
        <v>100.85</v>
      </c>
    </row>
    <row r="4128">
      <c r="A4128" s="4" t="inlineStr">
        <is>
          <t>03/03/2021</t>
        </is>
      </c>
      <c r="B4128" s="31" t="n">
        <v>101.96</v>
      </c>
    </row>
    <row r="4129">
      <c r="A4129" s="4" t="inlineStr">
        <is>
          <t>04/03/2021</t>
        </is>
      </c>
      <c r="B4129" s="31" t="n">
        <v>103.75</v>
      </c>
    </row>
    <row r="4130">
      <c r="A4130" s="4" t="inlineStr">
        <is>
          <t>05/03/2021</t>
        </is>
      </c>
      <c r="B4130" s="31" t="n">
        <v>104.32</v>
      </c>
    </row>
    <row r="4131">
      <c r="A4131" s="4" t="inlineStr">
        <is>
          <t>08/03/2021</t>
        </is>
      </c>
      <c r="B4131" s="31" t="n">
        <v>104.97</v>
      </c>
    </row>
    <row r="4132">
      <c r="A4132" s="4" t="inlineStr">
        <is>
          <t>09/03/2021</t>
        </is>
      </c>
      <c r="B4132" s="31" t="n">
        <v>105.27</v>
      </c>
    </row>
    <row r="4133">
      <c r="A4133" s="4" t="inlineStr">
        <is>
          <t>10/03/2021</t>
        </is>
      </c>
      <c r="B4133" s="31" t="n">
        <v>107.27</v>
      </c>
    </row>
    <row r="4134">
      <c r="A4134" s="4" t="inlineStr">
        <is>
          <t>11/03/2021</t>
        </is>
      </c>
      <c r="B4134" s="31" t="n">
        <v>107.42</v>
      </c>
    </row>
    <row r="4135">
      <c r="A4135" s="4" t="inlineStr">
        <is>
          <t>12/03/2021</t>
        </is>
      </c>
      <c r="B4135" s="31" t="n">
        <v>107.43</v>
      </c>
    </row>
    <row r="4136">
      <c r="A4136" s="4" t="inlineStr">
        <is>
          <t>15/03/2021</t>
        </is>
      </c>
      <c r="B4136" s="31" t="n">
        <v>107.95</v>
      </c>
    </row>
    <row r="4137">
      <c r="A4137" s="4" t="inlineStr">
        <is>
          <t>16/03/2021</t>
        </is>
      </c>
      <c r="B4137" s="31" t="n">
        <v>109.17</v>
      </c>
    </row>
    <row r="4138">
      <c r="A4138" s="4" t="inlineStr">
        <is>
          <t>17/03/2021</t>
        </is>
      </c>
      <c r="B4138" s="31" t="n">
        <v>109.43</v>
      </c>
    </row>
    <row r="4139">
      <c r="A4139" s="4" t="inlineStr">
        <is>
          <t>18/03/2021</t>
        </is>
      </c>
      <c r="B4139" s="31" t="n">
        <v>109.27</v>
      </c>
    </row>
    <row r="4140">
      <c r="A4140" s="4" t="inlineStr">
        <is>
          <t>19/03/2021</t>
        </is>
      </c>
      <c r="B4140" s="31" t="n">
        <v>109.91</v>
      </c>
    </row>
    <row r="4141">
      <c r="A4141" s="4" t="inlineStr">
        <is>
          <t>22/03/2021</t>
        </is>
      </c>
      <c r="B4141" s="31" t="n">
        <v>109.24</v>
      </c>
    </row>
    <row r="4142">
      <c r="A4142" s="4" t="inlineStr">
        <is>
          <t>23/03/2021</t>
        </is>
      </c>
      <c r="B4142" s="31" t="n">
        <v>108.4</v>
      </c>
    </row>
    <row r="4143">
      <c r="A4143" s="4" t="inlineStr">
        <is>
          <t>24/03/2021</t>
        </is>
      </c>
      <c r="B4143" s="31" t="n">
        <v>108.95</v>
      </c>
    </row>
    <row r="4144">
      <c r="A4144" s="4" t="inlineStr">
        <is>
          <t>25/03/2021</t>
        </is>
      </c>
      <c r="B4144" s="31" t="n">
        <v>109.28</v>
      </c>
    </row>
    <row r="4145">
      <c r="A4145" s="4" t="inlineStr">
        <is>
          <t>26/03/2021</t>
        </is>
      </c>
      <c r="B4145" s="31" t="n">
        <v>109.39</v>
      </c>
    </row>
    <row r="4146">
      <c r="A4146" s="4" t="inlineStr">
        <is>
          <t>29/03/2021</t>
        </is>
      </c>
      <c r="B4146" s="31" t="n">
        <v>110.56</v>
      </c>
    </row>
    <row r="4147">
      <c r="A4147" s="4" t="inlineStr">
        <is>
          <t>30/03/2021</t>
        </is>
      </c>
      <c r="B4147" s="31" t="n">
        <v>110.35</v>
      </c>
    </row>
    <row r="4148">
      <c r="A4148" s="4" t="inlineStr">
        <is>
          <t>31/03/2021</t>
        </is>
      </c>
      <c r="B4148" s="31" t="n">
        <v>109.75</v>
      </c>
    </row>
    <row r="4149">
      <c r="A4149" s="4" t="inlineStr">
        <is>
          <t>01/04/2021</t>
        </is>
      </c>
      <c r="B4149" s="31" t="n">
        <v>108.34</v>
      </c>
    </row>
    <row r="4150">
      <c r="A4150" s="4" t="inlineStr">
        <is>
          <t>05/04/2021</t>
        </is>
      </c>
      <c r="B4150" s="31" t="n">
        <v>108.5</v>
      </c>
    </row>
    <row r="4151">
      <c r="A4151" s="4" t="inlineStr">
        <is>
          <t>06/04/2021</t>
        </is>
      </c>
      <c r="B4151" s="31" t="n">
        <v>109.26</v>
      </c>
    </row>
    <row r="4152">
      <c r="A4152" s="4" t="inlineStr">
        <is>
          <t>07/04/2021</t>
        </is>
      </c>
      <c r="B4152" s="31" t="n">
        <v>109.98</v>
      </c>
    </row>
    <row r="4153">
      <c r="A4153" s="4" t="inlineStr">
        <is>
          <t>08/04/2021</t>
        </is>
      </c>
      <c r="B4153" s="31" t="n">
        <v>110.17</v>
      </c>
    </row>
    <row r="4154">
      <c r="A4154" s="4" t="inlineStr">
        <is>
          <t>09/04/2021</t>
        </is>
      </c>
      <c r="B4154" s="31" t="n">
        <v>110.03</v>
      </c>
    </row>
    <row r="4155">
      <c r="A4155" s="4" t="inlineStr">
        <is>
          <t>12/04/2021</t>
        </is>
      </c>
      <c r="B4155" s="31" t="n">
        <v>110.68</v>
      </c>
    </row>
    <row r="4156">
      <c r="A4156" s="4" t="inlineStr">
        <is>
          <t>13/04/2021</t>
        </is>
      </c>
      <c r="B4156" s="31" t="n">
        <v>111.42</v>
      </c>
    </row>
    <row r="4157">
      <c r="A4157" s="4" t="inlineStr">
        <is>
          <t>14/04/2021</t>
        </is>
      </c>
      <c r="B4157" s="31" t="n">
        <v>111.82</v>
      </c>
    </row>
    <row r="4158">
      <c r="A4158" s="4" t="inlineStr">
        <is>
          <t>15/04/2021</t>
        </is>
      </c>
      <c r="B4158" s="31" t="n">
        <v>112.65</v>
      </c>
    </row>
    <row r="4159">
      <c r="A4159" s="4" t="inlineStr">
        <is>
          <t>16/04/2021</t>
        </is>
      </c>
      <c r="B4159" s="31" t="n">
        <v>112.93</v>
      </c>
    </row>
    <row r="4160">
      <c r="A4160" s="4" t="inlineStr">
        <is>
          <t>19/04/2021</t>
        </is>
      </c>
      <c r="B4160" s="31" t="n">
        <v>112.96</v>
      </c>
    </row>
    <row r="4161">
      <c r="A4161" s="4" t="inlineStr">
        <is>
          <t>20/04/2021</t>
        </is>
      </c>
      <c r="B4161" s="31" t="n">
        <v>112.81</v>
      </c>
    </row>
    <row r="4162">
      <c r="A4162" s="4" t="inlineStr">
        <is>
          <t>22/04/2021</t>
        </is>
      </c>
      <c r="B4162" s="31" t="n">
        <v>113.04</v>
      </c>
    </row>
    <row r="4163">
      <c r="A4163" s="4" t="inlineStr">
        <is>
          <t>23/04/2021</t>
        </is>
      </c>
      <c r="B4163" s="31" t="n">
        <v>113.88</v>
      </c>
    </row>
    <row r="4164">
      <c r="A4164" s="4" t="inlineStr">
        <is>
          <t>26/04/2021</t>
        </is>
      </c>
      <c r="B4164" s="31" t="n">
        <v>114.54</v>
      </c>
    </row>
    <row r="4165">
      <c r="A4165" s="4" t="inlineStr">
        <is>
          <t>27/04/2021</t>
        </is>
      </c>
      <c r="B4165" s="31" t="n">
        <v>114.08</v>
      </c>
    </row>
    <row r="4166">
      <c r="A4166" s="4" t="inlineStr">
        <is>
          <t>28/04/2021</t>
        </is>
      </c>
      <c r="B4166" s="31" t="n">
        <v>114.51</v>
      </c>
    </row>
    <row r="4167">
      <c r="A4167" s="4" t="inlineStr">
        <is>
          <t>29/04/2021</t>
        </is>
      </c>
      <c r="B4167" s="31" t="n">
        <v>115.12</v>
      </c>
    </row>
    <row r="4168">
      <c r="A4168" s="4" t="inlineStr">
        <is>
          <t>30/04/2021</t>
        </is>
      </c>
      <c r="B4168" s="31" t="n">
        <v>115.1</v>
      </c>
    </row>
    <row r="4169">
      <c r="A4169" s="4" t="inlineStr">
        <is>
          <t>03/05/2021</t>
        </is>
      </c>
      <c r="B4169" s="31" t="n">
        <v>110.65</v>
      </c>
    </row>
    <row r="4170">
      <c r="A4170" s="4" t="inlineStr">
        <is>
          <t>04/05/2021</t>
        </is>
      </c>
      <c r="B4170" s="31" t="n">
        <v>110.6</v>
      </c>
    </row>
    <row r="4171">
      <c r="A4171" s="4" t="inlineStr">
        <is>
          <t>05/05/2021</t>
        </is>
      </c>
      <c r="B4171" s="31" t="n">
        <v>111.1</v>
      </c>
    </row>
    <row r="4172">
      <c r="A4172" s="4" t="inlineStr">
        <is>
          <t>06/05/2021</t>
        </is>
      </c>
      <c r="B4172" s="31" t="n">
        <v>111.83</v>
      </c>
    </row>
    <row r="4173">
      <c r="A4173" s="4" t="inlineStr">
        <is>
          <t>07/05/2021</t>
        </is>
      </c>
      <c r="B4173" s="31" t="n">
        <v>112.56</v>
      </c>
    </row>
    <row r="4174">
      <c r="A4174" s="4" t="inlineStr">
        <is>
          <t>10/05/2021</t>
        </is>
      </c>
      <c r="B4174" s="31" t="n">
        <v>112.19</v>
      </c>
    </row>
    <row r="4175">
      <c r="A4175" s="4" t="inlineStr">
        <is>
          <t>11/05/2021</t>
        </is>
      </c>
      <c r="B4175" s="31" t="n">
        <v>112.38</v>
      </c>
    </row>
    <row r="4176">
      <c r="A4176" s="4" t="inlineStr">
        <is>
          <t>12/05/2021</t>
        </is>
      </c>
      <c r="B4176" s="31" t="n">
        <v>113.48</v>
      </c>
    </row>
    <row r="4177">
      <c r="A4177" s="4" t="inlineStr">
        <is>
          <t>13/05/2021</t>
        </is>
      </c>
      <c r="B4177" s="31" t="n">
        <v>112.81</v>
      </c>
    </row>
    <row r="4178">
      <c r="A4178" s="4" t="inlineStr">
        <is>
          <t>14/05/2021</t>
        </is>
      </c>
      <c r="B4178" s="31" t="n">
        <v>112.32</v>
      </c>
    </row>
    <row r="4179">
      <c r="A4179" s="4" t="inlineStr">
        <is>
          <t>17/05/2021</t>
        </is>
      </c>
      <c r="B4179" s="31" t="n">
        <v>112.03</v>
      </c>
    </row>
    <row r="4180">
      <c r="A4180" s="4" t="inlineStr">
        <is>
          <t>18/05/2021</t>
        </is>
      </c>
      <c r="B4180" s="31" t="n">
        <v>114.41</v>
      </c>
    </row>
    <row r="4181">
      <c r="A4181" s="4" t="inlineStr">
        <is>
          <t>19/05/2021</t>
        </is>
      </c>
      <c r="B4181" s="31" t="n">
        <v>113.85</v>
      </c>
    </row>
    <row r="4182">
      <c r="A4182" s="4" t="inlineStr">
        <is>
          <t>20/05/2021</t>
        </is>
      </c>
      <c r="B4182" s="31" t="n">
        <v>113.11</v>
      </c>
    </row>
    <row r="4183">
      <c r="A4183" s="4" t="inlineStr">
        <is>
          <t>21/05/2021</t>
        </is>
      </c>
      <c r="B4183" s="31" t="n">
        <v>112.97</v>
      </c>
    </row>
    <row r="4184">
      <c r="A4184" s="4" t="inlineStr">
        <is>
          <t>24/05/2021</t>
        </is>
      </c>
      <c r="B4184" s="31" t="n">
        <v>112.07</v>
      </c>
    </row>
    <row r="4185">
      <c r="A4185" s="4" t="inlineStr">
        <is>
          <t>25/05/2021</t>
        </is>
      </c>
      <c r="B4185" s="31" t="n">
        <v>109.35</v>
      </c>
    </row>
    <row r="4186">
      <c r="A4186" s="4" t="inlineStr">
        <is>
          <t>26/05/2021</t>
        </is>
      </c>
      <c r="B4186" s="31" t="n">
        <v>107.32</v>
      </c>
    </row>
    <row r="4187">
      <c r="A4187" s="4" t="inlineStr">
        <is>
          <t>27/05/2021</t>
        </is>
      </c>
      <c r="B4187" s="31" t="n">
        <v>108.27</v>
      </c>
    </row>
    <row r="4188">
      <c r="A4188" s="4" t="inlineStr">
        <is>
          <t>28/05/2021</t>
        </is>
      </c>
      <c r="B4188" s="31" t="n">
        <v>109.99</v>
      </c>
    </row>
    <row r="4189">
      <c r="A4189" s="4" t="inlineStr">
        <is>
          <t>31/05/2021</t>
        </is>
      </c>
      <c r="B4189" s="31" t="n">
        <v>110.91</v>
      </c>
    </row>
    <row r="4190">
      <c r="A4190" s="4" t="inlineStr">
        <is>
          <t>01/06/2021</t>
        </is>
      </c>
      <c r="B4190" s="31" t="n">
        <v>109.32</v>
      </c>
    </row>
    <row r="4191">
      <c r="A4191" s="4" t="inlineStr">
        <is>
          <t>02/06/2021</t>
        </is>
      </c>
      <c r="B4191" s="31" t="n">
        <v>108.7</v>
      </c>
    </row>
    <row r="4192">
      <c r="A4192" s="4" t="inlineStr">
        <is>
          <t>04/06/2021</t>
        </is>
      </c>
      <c r="B4192" s="31" t="n">
        <v>108.66</v>
      </c>
    </row>
    <row r="4193">
      <c r="A4193" s="4" t="inlineStr">
        <is>
          <t>07/06/2021</t>
        </is>
      </c>
      <c r="B4193" s="31" t="n">
        <v>106.91</v>
      </c>
    </row>
    <row r="4194">
      <c r="A4194" s="4" t="inlineStr">
        <is>
          <t>08/06/2021</t>
        </is>
      </c>
      <c r="B4194" s="31" t="n">
        <v>106.39</v>
      </c>
    </row>
    <row r="4195">
      <c r="A4195" s="4" t="inlineStr">
        <is>
          <t>09/06/2021</t>
        </is>
      </c>
      <c r="B4195" s="31" t="n">
        <v>105.45</v>
      </c>
    </row>
    <row r="4196">
      <c r="A4196" s="4" t="inlineStr">
        <is>
          <t>10/06/2021</t>
        </is>
      </c>
      <c r="B4196" s="31" t="n">
        <v>104.89</v>
      </c>
    </row>
    <row r="4197">
      <c r="A4197" s="4" t="inlineStr">
        <is>
          <t>11/06/2021</t>
        </is>
      </c>
      <c r="B4197" s="31" t="n">
        <v>104.53</v>
      </c>
    </row>
    <row r="4198">
      <c r="A4198" s="4" t="inlineStr">
        <is>
          <t>14/06/2021</t>
        </is>
      </c>
      <c r="B4198" s="31" t="n">
        <v>103.88</v>
      </c>
    </row>
    <row r="4199">
      <c r="A4199" s="4" t="inlineStr">
        <is>
          <t>15/06/2021</t>
        </is>
      </c>
      <c r="B4199" s="31" t="n">
        <v>102.76</v>
      </c>
    </row>
    <row r="4200">
      <c r="A4200" s="4" t="inlineStr">
        <is>
          <t>16/06/2021</t>
        </is>
      </c>
      <c r="B4200" s="31" t="n">
        <v>100.92</v>
      </c>
    </row>
    <row r="4201">
      <c r="A4201" s="4" t="inlineStr">
        <is>
          <t>17/06/2021</t>
        </is>
      </c>
      <c r="B4201" s="31" t="n">
        <v>98.67</v>
      </c>
    </row>
    <row r="4202">
      <c r="A4202" s="4" t="inlineStr">
        <is>
          <t>18/06/2021</t>
        </is>
      </c>
      <c r="B4202" s="31" t="n">
        <v>99.01000000000001</v>
      </c>
    </row>
    <row r="4203">
      <c r="A4203" s="4" t="inlineStr">
        <is>
          <t>21/06/2021</t>
        </is>
      </c>
      <c r="B4203" s="31" t="n">
        <v>97.52</v>
      </c>
    </row>
    <row r="4204">
      <c r="A4204" s="4" t="inlineStr">
        <is>
          <t>22/06/2021</t>
        </is>
      </c>
      <c r="B4204" s="31" t="n">
        <v>96.64</v>
      </c>
    </row>
    <row r="4205">
      <c r="A4205" s="4" t="inlineStr">
        <is>
          <t>23/06/2021</t>
        </is>
      </c>
      <c r="B4205" s="31" t="n">
        <v>96.15000000000001</v>
      </c>
    </row>
    <row r="4206">
      <c r="A4206" s="4" t="inlineStr">
        <is>
          <t>24/06/2021</t>
        </is>
      </c>
      <c r="B4206" s="31" t="n">
        <v>95.02</v>
      </c>
    </row>
    <row r="4207">
      <c r="A4207" s="4" t="inlineStr">
        <is>
          <t>25/06/2021</t>
        </is>
      </c>
      <c r="B4207" s="31" t="n">
        <v>95.04000000000001</v>
      </c>
    </row>
    <row r="4208">
      <c r="A4208" s="4" t="inlineStr">
        <is>
          <t>28/06/2021</t>
        </is>
      </c>
      <c r="B4208" s="31" t="n">
        <v>95.44</v>
      </c>
    </row>
    <row r="4209">
      <c r="A4209" s="4" t="inlineStr">
        <is>
          <t>29/06/2021</t>
        </is>
      </c>
      <c r="B4209" s="31" t="n">
        <v>96</v>
      </c>
    </row>
    <row r="4210">
      <c r="A4210" s="4" t="inlineStr">
        <is>
          <t>30/06/2021</t>
        </is>
      </c>
      <c r="B4210" s="31" t="n">
        <v>98.68000000000001</v>
      </c>
    </row>
    <row r="4211">
      <c r="A4211" s="4" t="inlineStr">
        <is>
          <t>01/07/2021</t>
        </is>
      </c>
      <c r="B4211" s="31" t="n">
        <v>99.75</v>
      </c>
    </row>
    <row r="4212">
      <c r="A4212" s="4" t="inlineStr">
        <is>
          <t>02/07/2021</t>
        </is>
      </c>
      <c r="B4212" s="31" t="n">
        <v>100.68</v>
      </c>
    </row>
    <row r="4213">
      <c r="A4213" s="4" t="inlineStr">
        <is>
          <t>05/07/2021</t>
        </is>
      </c>
      <c r="B4213" s="31" t="n">
        <v>102.32</v>
      </c>
    </row>
    <row r="4214">
      <c r="A4214" s="4" t="inlineStr">
        <is>
          <t>06/07/2021</t>
        </is>
      </c>
      <c r="B4214" s="31" t="n">
        <v>103.24</v>
      </c>
    </row>
    <row r="4215">
      <c r="A4215" s="4" t="inlineStr">
        <is>
          <t>07/07/2021</t>
        </is>
      </c>
      <c r="B4215" s="31" t="n">
        <v>104.04</v>
      </c>
    </row>
    <row r="4216">
      <c r="A4216" s="4" t="inlineStr">
        <is>
          <t>08/07/2021</t>
        </is>
      </c>
      <c r="B4216" s="31" t="n">
        <v>104.87</v>
      </c>
    </row>
    <row r="4217">
      <c r="A4217" s="4" t="inlineStr">
        <is>
          <t>09/07/2021</t>
        </is>
      </c>
      <c r="B4217" s="31" t="n">
        <v>105.17</v>
      </c>
    </row>
    <row r="4218">
      <c r="A4218" s="4" t="inlineStr">
        <is>
          <t>12/07/2021</t>
        </is>
      </c>
      <c r="B4218" s="31" t="n">
        <v>105.21</v>
      </c>
    </row>
    <row r="4219">
      <c r="A4219" s="4" t="inlineStr">
        <is>
          <t>13/07/2021</t>
        </is>
      </c>
      <c r="B4219" s="31" t="n">
        <v>105.41</v>
      </c>
    </row>
    <row r="4220">
      <c r="A4220" s="4" t="inlineStr">
        <is>
          <t>14/07/2021</t>
        </is>
      </c>
      <c r="B4220" s="31" t="n">
        <v>106.25</v>
      </c>
    </row>
    <row r="4221">
      <c r="A4221" s="4" t="inlineStr">
        <is>
          <t>15/07/2021</t>
        </is>
      </c>
      <c r="B4221" s="31" t="n">
        <v>107.14</v>
      </c>
    </row>
    <row r="4222">
      <c r="A4222" s="4" t="inlineStr">
        <is>
          <t>16/07/2021</t>
        </is>
      </c>
      <c r="B4222" s="31" t="n">
        <v>106.41</v>
      </c>
    </row>
    <row r="4223">
      <c r="A4223" s="4" t="inlineStr">
        <is>
          <t>19/07/2021</t>
        </is>
      </c>
      <c r="B4223" s="31" t="n">
        <v>106.56</v>
      </c>
    </row>
    <row r="4224">
      <c r="A4224" s="4" t="inlineStr">
        <is>
          <t>20/07/2021</t>
        </is>
      </c>
      <c r="B4224" s="31" t="n">
        <v>106.57</v>
      </c>
    </row>
    <row r="4225">
      <c r="A4225" s="4" t="inlineStr">
        <is>
          <t>21/07/2021</t>
        </is>
      </c>
      <c r="B4225" s="31" t="n">
        <v>107.72</v>
      </c>
    </row>
    <row r="4226">
      <c r="A4226" s="4" t="inlineStr">
        <is>
          <t>22/07/2021</t>
        </is>
      </c>
      <c r="B4226" s="31" t="n">
        <v>108.43</v>
      </c>
    </row>
    <row r="4227">
      <c r="A4227" s="4" t="inlineStr">
        <is>
          <t>23/07/2021</t>
        </is>
      </c>
      <c r="B4227" s="31" t="n">
        <v>109.31</v>
      </c>
    </row>
    <row r="4228">
      <c r="A4228" s="4" t="inlineStr">
        <is>
          <t>26/07/2021</t>
        </is>
      </c>
      <c r="B4228" s="31" t="n">
        <v>110.01</v>
      </c>
    </row>
    <row r="4229">
      <c r="A4229" s="4" t="inlineStr">
        <is>
          <t>27/07/2021</t>
        </is>
      </c>
      <c r="B4229" s="31" t="n">
        <v>111.07</v>
      </c>
    </row>
    <row r="4230">
      <c r="A4230" s="4" t="inlineStr">
        <is>
          <t>28/07/2021</t>
        </is>
      </c>
      <c r="B4230" s="31" t="n">
        <v>111.98</v>
      </c>
    </row>
    <row r="4231">
      <c r="A4231" s="4" t="inlineStr">
        <is>
          <t>29/07/2021</t>
        </is>
      </c>
      <c r="B4231" s="31" t="n">
        <v>111.43</v>
      </c>
    </row>
    <row r="4232">
      <c r="A4232" s="4" t="inlineStr">
        <is>
          <t>30/07/2021</t>
        </is>
      </c>
      <c r="B4232" s="31" t="n">
        <v>110.85</v>
      </c>
    </row>
    <row r="4233">
      <c r="A4233" s="4" t="inlineStr">
        <is>
          <t>02/08/2021</t>
        </is>
      </c>
      <c r="B4233" s="31" t="n">
        <v>110.2</v>
      </c>
    </row>
    <row r="4234">
      <c r="A4234" s="4" t="inlineStr">
        <is>
          <t>03/08/2021</t>
        </is>
      </c>
      <c r="B4234" s="31" t="n">
        <v>109.64</v>
      </c>
    </row>
    <row r="4235">
      <c r="A4235" s="4" t="inlineStr">
        <is>
          <t>04/08/2021</t>
        </is>
      </c>
      <c r="B4235" s="31" t="n">
        <v>108.83</v>
      </c>
    </row>
    <row r="4236">
      <c r="A4236" s="4" t="inlineStr">
        <is>
          <t>05/08/2021</t>
        </is>
      </c>
      <c r="B4236" s="31" t="n">
        <v>108.94</v>
      </c>
    </row>
    <row r="4237">
      <c r="A4237" s="4" t="inlineStr">
        <is>
          <t>06/08/2021</t>
        </is>
      </c>
      <c r="B4237" s="31" t="n">
        <v>107.62</v>
      </c>
    </row>
    <row r="4238">
      <c r="A4238" s="4" t="inlineStr">
        <is>
          <t>09/08/2021</t>
        </is>
      </c>
      <c r="B4238" s="31" t="n">
        <v>108</v>
      </c>
    </row>
    <row r="4239">
      <c r="A4239" s="4" t="inlineStr">
        <is>
          <t>10/08/2021</t>
        </is>
      </c>
      <c r="B4239" s="31" t="n">
        <v>106.6</v>
      </c>
    </row>
    <row r="4240">
      <c r="A4240" s="4" t="inlineStr">
        <is>
          <t>11/08/2021</t>
        </is>
      </c>
      <c r="B4240" s="31" t="n">
        <v>106.81</v>
      </c>
    </row>
    <row r="4241">
      <c r="A4241" s="4" t="inlineStr">
        <is>
          <t>12/08/2021</t>
        </is>
      </c>
      <c r="B4241" s="31" t="n">
        <v>107.48</v>
      </c>
    </row>
    <row r="4242">
      <c r="A4242" s="4" t="inlineStr">
        <is>
          <t>13/08/2021</t>
        </is>
      </c>
      <c r="B4242" s="31" t="n">
        <v>108.46</v>
      </c>
    </row>
    <row r="4243">
      <c r="A4243" s="4" t="inlineStr">
        <is>
          <t>16/08/2021</t>
        </is>
      </c>
      <c r="B4243" s="31" t="n">
        <v>108.48</v>
      </c>
    </row>
    <row r="4244">
      <c r="A4244" s="4" t="inlineStr">
        <is>
          <t>17/08/2021</t>
        </is>
      </c>
      <c r="B4244" s="31" t="n">
        <v>107.95</v>
      </c>
    </row>
    <row r="4245">
      <c r="A4245" s="4" t="inlineStr">
        <is>
          <t>18/08/2021</t>
        </is>
      </c>
      <c r="B4245" s="31" t="n">
        <v>107.86</v>
      </c>
    </row>
    <row r="4246">
      <c r="A4246" s="4" t="inlineStr">
        <is>
          <t>19/08/2021</t>
        </is>
      </c>
      <c r="B4246" s="31" t="n">
        <v>107.54</v>
      </c>
    </row>
    <row r="4247">
      <c r="A4247" s="4" t="inlineStr">
        <is>
          <t>20/08/2021</t>
        </is>
      </c>
      <c r="B4247" s="31" t="n">
        <v>107.29</v>
      </c>
    </row>
    <row r="4248">
      <c r="A4248" s="4" t="inlineStr">
        <is>
          <t>23/08/2021</t>
        </is>
      </c>
      <c r="B4248" s="31" t="n">
        <v>106.66</v>
      </c>
    </row>
    <row r="4249">
      <c r="A4249" s="4" t="inlineStr">
        <is>
          <t>24/08/2021</t>
        </is>
      </c>
      <c r="B4249" s="31" t="n">
        <v>105.98</v>
      </c>
    </row>
    <row r="4250">
      <c r="A4250" s="4" t="inlineStr">
        <is>
          <t>25/08/2021</t>
        </is>
      </c>
      <c r="B4250" s="31" t="n">
        <v>105.87</v>
      </c>
    </row>
    <row r="4251">
      <c r="A4251" s="4" t="inlineStr">
        <is>
          <t>26/08/2021</t>
        </is>
      </c>
      <c r="B4251" s="31" t="n">
        <v>105.41</v>
      </c>
    </row>
    <row r="4252">
      <c r="A4252" s="4" t="inlineStr">
        <is>
          <t>27/08/2021</t>
        </is>
      </c>
      <c r="B4252" s="31" t="n">
        <v>104.08</v>
      </c>
    </row>
    <row r="4253">
      <c r="A4253" s="4" t="inlineStr">
        <is>
          <t>30/08/2021</t>
        </is>
      </c>
      <c r="B4253" s="31" t="n">
        <v>104.06</v>
      </c>
    </row>
    <row r="4254">
      <c r="A4254" s="4" t="inlineStr">
        <is>
          <t>31/08/2021</t>
        </is>
      </c>
      <c r="B4254" s="31" t="n">
        <v>102.91</v>
      </c>
    </row>
    <row r="4255">
      <c r="A4255" s="4" t="inlineStr">
        <is>
          <t>01/09/2021</t>
        </is>
      </c>
      <c r="B4255" s="31" t="n">
        <v>102.44</v>
      </c>
    </row>
    <row r="4256">
      <c r="A4256" s="4" t="inlineStr">
        <is>
          <t>02/09/2021</t>
        </is>
      </c>
      <c r="B4256" s="31" t="n">
        <v>101.65</v>
      </c>
    </row>
    <row r="4257">
      <c r="A4257" s="4" t="inlineStr">
        <is>
          <t>03/09/2021</t>
        </is>
      </c>
      <c r="B4257" s="31" t="n">
        <v>100.84</v>
      </c>
    </row>
    <row r="4258">
      <c r="A4258" s="4" t="inlineStr">
        <is>
          <t>06/09/2021</t>
        </is>
      </c>
      <c r="B4258" s="31" t="n">
        <v>101.1</v>
      </c>
    </row>
    <row r="4259">
      <c r="A4259" s="4" t="inlineStr">
        <is>
          <t>08/09/2021</t>
        </is>
      </c>
      <c r="B4259" s="31" t="n">
        <v>100.91</v>
      </c>
    </row>
    <row r="4260">
      <c r="A4260" s="4" t="inlineStr">
        <is>
          <t>09/09/2021</t>
        </is>
      </c>
      <c r="B4260" s="31" t="n">
        <v>100.72</v>
      </c>
    </row>
    <row r="4261">
      <c r="A4261" s="4" t="inlineStr">
        <is>
          <t>10/09/2021</t>
        </is>
      </c>
      <c r="B4261" s="31" t="n">
        <v>102.23</v>
      </c>
    </row>
    <row r="4262">
      <c r="A4262" s="4" t="inlineStr">
        <is>
          <t>13/09/2021</t>
        </is>
      </c>
      <c r="B4262" s="31" t="n">
        <v>102.43</v>
      </c>
    </row>
    <row r="4263">
      <c r="A4263" s="4" t="inlineStr">
        <is>
          <t>14/09/2021</t>
        </is>
      </c>
      <c r="B4263" s="31" t="n">
        <v>102.3</v>
      </c>
    </row>
    <row r="4264">
      <c r="A4264" s="4" t="inlineStr">
        <is>
          <t>15/09/2021</t>
        </is>
      </c>
      <c r="B4264" s="31" t="n">
        <v>102.12</v>
      </c>
    </row>
    <row r="4265">
      <c r="A4265" s="4" t="inlineStr">
        <is>
          <t>16/09/2021</t>
        </is>
      </c>
      <c r="B4265" s="31" t="n">
        <v>102.43</v>
      </c>
    </row>
    <row r="4266">
      <c r="A4266" s="4" t="inlineStr">
        <is>
          <t>17/09/2021</t>
        </is>
      </c>
      <c r="B4266" s="31" t="n">
        <v>102.38</v>
      </c>
    </row>
    <row r="4267">
      <c r="A4267" s="4" t="inlineStr">
        <is>
          <t>20/09/2021</t>
        </is>
      </c>
      <c r="B4267" s="31" t="n">
        <v>101.44</v>
      </c>
    </row>
    <row r="4268">
      <c r="A4268" s="4" t="inlineStr">
        <is>
          <t>21/09/2021</t>
        </is>
      </c>
      <c r="B4268" s="31" t="n">
        <v>100.64</v>
      </c>
    </row>
    <row r="4269">
      <c r="A4269" s="4" t="inlineStr">
        <is>
          <t>22/09/2021</t>
        </is>
      </c>
      <c r="B4269" s="31" t="n">
        <v>100.11</v>
      </c>
    </row>
    <row r="4270">
      <c r="A4270" s="4" t="inlineStr">
        <is>
          <t>23/09/2021</t>
        </is>
      </c>
      <c r="B4270" s="31" t="n">
        <v>99.28</v>
      </c>
    </row>
    <row r="4271">
      <c r="A4271" s="4" t="inlineStr">
        <is>
          <t>24/09/2021</t>
        </is>
      </c>
      <c r="B4271" s="31" t="n">
        <v>98.88</v>
      </c>
    </row>
    <row r="4272">
      <c r="A4272" s="4" t="inlineStr">
        <is>
          <t>27/09/2021</t>
        </is>
      </c>
      <c r="B4272" s="31" t="n">
        <v>99.66</v>
      </c>
    </row>
    <row r="4273">
      <c r="A4273" s="4" t="inlineStr">
        <is>
          <t>28/09/2021</t>
        </is>
      </c>
      <c r="B4273" s="31" t="n">
        <v>99.92</v>
      </c>
    </row>
    <row r="4274">
      <c r="A4274" s="4" t="inlineStr">
        <is>
          <t>29/09/2021</t>
        </is>
      </c>
      <c r="B4274" s="31" t="n">
        <v>99.95999999999999</v>
      </c>
    </row>
    <row r="4275">
      <c r="A4275" s="4" t="inlineStr">
        <is>
          <t>30/09/2021</t>
        </is>
      </c>
      <c r="B4275" s="31" t="n">
        <v>100.37</v>
      </c>
    </row>
    <row r="4276">
      <c r="A4276" s="4" t="inlineStr">
        <is>
          <t>01/10/2021</t>
        </is>
      </c>
      <c r="B4276" s="31" t="n">
        <v>99.66</v>
      </c>
    </row>
    <row r="4277">
      <c r="A4277" s="4" t="inlineStr">
        <is>
          <t>04/10/2021</t>
        </is>
      </c>
      <c r="B4277" s="31" t="n">
        <v>99.95</v>
      </c>
    </row>
    <row r="4278">
      <c r="A4278" s="4" t="inlineStr">
        <is>
          <t>05/10/2021</t>
        </is>
      </c>
      <c r="B4278" s="31" t="n">
        <v>100.16</v>
      </c>
    </row>
    <row r="4279">
      <c r="A4279" s="4" t="inlineStr">
        <is>
          <t>06/10/2021</t>
        </is>
      </c>
      <c r="B4279" s="31" t="n">
        <v>99.89</v>
      </c>
    </row>
    <row r="4280">
      <c r="A4280" s="4" t="inlineStr">
        <is>
          <t>07/10/2021</t>
        </is>
      </c>
      <c r="B4280" s="31" t="n">
        <v>98.95999999999999</v>
      </c>
    </row>
    <row r="4281">
      <c r="A4281" s="4" t="inlineStr">
        <is>
          <t>08/10/2021</t>
        </is>
      </c>
      <c r="B4281" s="31" t="n">
        <v>98.86</v>
      </c>
    </row>
    <row r="4282">
      <c r="A4282" s="4" t="inlineStr">
        <is>
          <t>11/10/2021</t>
        </is>
      </c>
      <c r="B4282" s="31" t="n">
        <v>98.84999999999999</v>
      </c>
    </row>
    <row r="4283">
      <c r="A4283" s="4" t="inlineStr">
        <is>
          <t>13/10/2021</t>
        </is>
      </c>
      <c r="B4283" s="31" t="n">
        <v>98.17</v>
      </c>
    </row>
    <row r="4284">
      <c r="A4284" s="4" t="inlineStr">
        <is>
          <t>14/10/2021</t>
        </is>
      </c>
      <c r="B4284" s="31" t="n">
        <v>97.89</v>
      </c>
    </row>
    <row r="4285">
      <c r="A4285" s="4" t="inlineStr">
        <is>
          <t>15/10/2021</t>
        </is>
      </c>
      <c r="B4285" s="31" t="n">
        <v>97.94</v>
      </c>
    </row>
    <row r="4286">
      <c r="A4286" s="4" t="inlineStr">
        <is>
          <t>18/10/2021</t>
        </is>
      </c>
      <c r="B4286" s="31" t="n">
        <v>97.63</v>
      </c>
    </row>
    <row r="4287">
      <c r="A4287" s="4" t="inlineStr">
        <is>
          <t>19/10/2021</t>
        </is>
      </c>
      <c r="B4287" s="31" t="n">
        <v>97.97</v>
      </c>
    </row>
    <row r="4288">
      <c r="A4288" s="4" t="inlineStr">
        <is>
          <t>20/10/2021</t>
        </is>
      </c>
      <c r="B4288" s="31" t="n">
        <v>97.27</v>
      </c>
    </row>
    <row r="4289">
      <c r="A4289" s="4" t="inlineStr">
        <is>
          <t>21/10/2021</t>
        </is>
      </c>
      <c r="B4289" s="31" t="n">
        <v>96.65000000000001</v>
      </c>
    </row>
    <row r="4290">
      <c r="A4290" s="4" t="inlineStr">
        <is>
          <t>22/10/2021</t>
        </is>
      </c>
      <c r="B4290" s="31" t="n">
        <v>96.95</v>
      </c>
    </row>
    <row r="4291">
      <c r="A4291" s="4" t="inlineStr">
        <is>
          <t>25/10/2021</t>
        </is>
      </c>
      <c r="B4291" s="31" t="n">
        <v>96.84999999999999</v>
      </c>
    </row>
    <row r="4292">
      <c r="A4292" s="4" t="inlineStr">
        <is>
          <t>26/10/2021</t>
        </is>
      </c>
      <c r="B4292" s="31" t="n">
        <v>95.87</v>
      </c>
    </row>
    <row r="4293">
      <c r="A4293" s="4" t="inlineStr">
        <is>
          <t>27/10/2021</t>
        </is>
      </c>
      <c r="B4293" s="31" t="n">
        <v>95.03</v>
      </c>
    </row>
    <row r="4294">
      <c r="A4294" s="4" t="inlineStr">
        <is>
          <t>28/10/2021</t>
        </is>
      </c>
      <c r="B4294" s="31" t="n">
        <v>94.37</v>
      </c>
    </row>
    <row r="4295">
      <c r="A4295" s="4" t="inlineStr">
        <is>
          <t>29/10/2021</t>
        </is>
      </c>
      <c r="B4295" s="31" t="n">
        <v>94.31</v>
      </c>
    </row>
    <row r="4296">
      <c r="A4296" s="4" t="inlineStr">
        <is>
          <t>01/11/2021</t>
        </is>
      </c>
      <c r="B4296" s="31" t="n">
        <v>94.43000000000001</v>
      </c>
    </row>
    <row r="4297">
      <c r="A4297" s="4" t="inlineStr">
        <is>
          <t>03/11/2021</t>
        </is>
      </c>
      <c r="B4297" s="31" t="n">
        <v>94.64</v>
      </c>
    </row>
    <row r="4298">
      <c r="A4298" s="4" t="inlineStr">
        <is>
          <t>04/11/2021</t>
        </is>
      </c>
      <c r="B4298" s="31" t="n">
        <v>93.81999999999999</v>
      </c>
    </row>
    <row r="4299">
      <c r="A4299" s="4" t="inlineStr">
        <is>
          <t>05/11/2021</t>
        </is>
      </c>
      <c r="B4299" s="31" t="n">
        <v>94.04000000000001</v>
      </c>
    </row>
    <row r="4300">
      <c r="A4300" s="4" t="inlineStr">
        <is>
          <t>08/11/2021</t>
        </is>
      </c>
      <c r="B4300" s="31" t="n">
        <v>93.05</v>
      </c>
    </row>
    <row r="4301">
      <c r="A4301" s="4" t="inlineStr">
        <is>
          <t>09/11/2021</t>
        </is>
      </c>
      <c r="B4301" s="31" t="n">
        <v>92.22</v>
      </c>
    </row>
    <row r="4302">
      <c r="A4302" s="4" t="inlineStr">
        <is>
          <t>10/11/2021</t>
        </is>
      </c>
      <c r="B4302" s="31" t="n">
        <v>91.76000000000001</v>
      </c>
    </row>
    <row r="4303">
      <c r="A4303" s="4" t="inlineStr">
        <is>
          <t>11/11/2021</t>
        </is>
      </c>
      <c r="B4303" s="31" t="n">
        <v>90.76000000000001</v>
      </c>
    </row>
    <row r="4304">
      <c r="A4304" s="4" t="inlineStr">
        <is>
          <t>12/11/2021</t>
        </is>
      </c>
      <c r="B4304" s="31" t="n">
        <v>89.84999999999999</v>
      </c>
    </row>
    <row r="4305">
      <c r="A4305" s="4" t="inlineStr">
        <is>
          <t>16/11/2021</t>
        </is>
      </c>
      <c r="B4305" s="31" t="n">
        <v>89.84</v>
      </c>
    </row>
    <row r="4306">
      <c r="A4306" s="4" t="inlineStr">
        <is>
          <t>17/11/2021</t>
        </is>
      </c>
      <c r="B4306" s="31" t="n">
        <v>89.53</v>
      </c>
    </row>
    <row r="4307">
      <c r="A4307" s="4" t="inlineStr">
        <is>
          <t>18/11/2021</t>
        </is>
      </c>
      <c r="B4307" s="31" t="n">
        <v>89.41</v>
      </c>
    </row>
    <row r="4308">
      <c r="A4308" s="4" t="inlineStr">
        <is>
          <t>19/11/2021</t>
        </is>
      </c>
      <c r="B4308" s="31" t="n">
        <v>89.95</v>
      </c>
    </row>
    <row r="4309">
      <c r="A4309" s="4" t="inlineStr">
        <is>
          <t>22/11/2021</t>
        </is>
      </c>
      <c r="B4309" s="31" t="n">
        <v>89.92</v>
      </c>
    </row>
    <row r="4310">
      <c r="A4310" s="4" t="inlineStr">
        <is>
          <t>23/11/2021</t>
        </is>
      </c>
      <c r="B4310" s="31" t="n">
        <v>90.41</v>
      </c>
    </row>
    <row r="4311">
      <c r="A4311" s="4" t="inlineStr">
        <is>
          <t>24/11/2021</t>
        </is>
      </c>
      <c r="B4311" s="31" t="n">
        <v>90.76000000000001</v>
      </c>
    </row>
    <row r="4312">
      <c r="A4312" s="4" t="inlineStr">
        <is>
          <t>25/11/2021</t>
        </is>
      </c>
      <c r="B4312" s="31" t="n">
        <v>90.81</v>
      </c>
    </row>
    <row r="4313">
      <c r="A4313" s="4" t="inlineStr">
        <is>
          <t>26/11/2021</t>
        </is>
      </c>
      <c r="B4313" s="31" t="n">
        <v>90.91</v>
      </c>
    </row>
    <row r="4314">
      <c r="A4314" s="4" t="inlineStr">
        <is>
          <t>29/11/2021</t>
        </is>
      </c>
      <c r="B4314" s="31" t="n">
        <v>90.59999999999999</v>
      </c>
    </row>
    <row r="4315">
      <c r="A4315" s="4" t="inlineStr">
        <is>
          <t>30/11/2021</t>
        </is>
      </c>
      <c r="B4315" s="31" t="n">
        <v>91.70999999999999</v>
      </c>
    </row>
    <row r="4316">
      <c r="A4316" s="4" t="inlineStr">
        <is>
          <t>01/12/2021</t>
        </is>
      </c>
      <c r="B4316" s="31" t="n">
        <v>91.48</v>
      </c>
    </row>
    <row r="4317">
      <c r="A4317" s="4" t="inlineStr">
        <is>
          <t>02/12/2021</t>
        </is>
      </c>
      <c r="B4317" s="31" t="n">
        <v>92.81</v>
      </c>
    </row>
    <row r="4318">
      <c r="A4318" s="4" t="inlineStr">
        <is>
          <t>03/12/2021</t>
        </is>
      </c>
      <c r="B4318" s="31" t="n">
        <v>93.5</v>
      </c>
    </row>
    <row r="4319">
      <c r="A4319" s="4" t="inlineStr">
        <is>
          <t>06/12/2021</t>
        </is>
      </c>
      <c r="B4319" s="31" t="n">
        <v>92.70999999999999</v>
      </c>
    </row>
    <row r="4320">
      <c r="A4320" s="4" t="inlineStr">
        <is>
          <t>07/12/2021</t>
        </is>
      </c>
      <c r="B4320" s="31" t="n">
        <v>94.28</v>
      </c>
    </row>
    <row r="4321">
      <c r="A4321" s="4" t="inlineStr">
        <is>
          <t>08/12/2021</t>
        </is>
      </c>
      <c r="B4321" s="31" t="n">
        <v>94.23999999999999</v>
      </c>
    </row>
    <row r="4322">
      <c r="A4322" s="4" t="inlineStr">
        <is>
          <t>09/12/2021</t>
        </is>
      </c>
      <c r="B4322" s="31" t="n">
        <v>94.23</v>
      </c>
    </row>
    <row r="4323">
      <c r="A4323" s="4" t="inlineStr">
        <is>
          <t>10/12/2021</t>
        </is>
      </c>
      <c r="B4323" s="31" t="n">
        <v>94.79000000000001</v>
      </c>
    </row>
    <row r="4324">
      <c r="A4324" s="4" t="inlineStr">
        <is>
          <t>13/12/2021</t>
        </is>
      </c>
      <c r="B4324" s="31" t="n">
        <v>94.84</v>
      </c>
    </row>
    <row r="4325">
      <c r="A4325" s="4" t="inlineStr">
        <is>
          <t>14/12/2021</t>
        </is>
      </c>
      <c r="B4325" s="31" t="n">
        <v>94.45999999999999</v>
      </c>
    </row>
    <row r="4326">
      <c r="A4326" s="4" t="inlineStr">
        <is>
          <t>15/12/2021</t>
        </is>
      </c>
      <c r="B4326" s="31" t="n">
        <v>94.26000000000001</v>
      </c>
    </row>
    <row r="4327">
      <c r="A4327" s="4" t="inlineStr">
        <is>
          <t>16/12/2021</t>
        </is>
      </c>
      <c r="B4327" s="31" t="n">
        <v>94.06999999999999</v>
      </c>
    </row>
    <row r="4328">
      <c r="A4328" s="4" t="inlineStr">
        <is>
          <t>17/12/2021</t>
        </is>
      </c>
      <c r="B4328" s="31" t="n">
        <v>93.84999999999999</v>
      </c>
    </row>
    <row r="4329">
      <c r="A4329" s="4" t="inlineStr">
        <is>
          <t>20/12/2021</t>
        </is>
      </c>
      <c r="B4329" s="31" t="n">
        <v>94.27</v>
      </c>
    </row>
    <row r="4330">
      <c r="A4330" s="4" t="inlineStr">
        <is>
          <t>21/12/2021</t>
        </is>
      </c>
      <c r="B4330" s="31" t="n">
        <v>95.39</v>
      </c>
    </row>
    <row r="4331">
      <c r="A4331" s="4" t="inlineStr">
        <is>
          <t>22/12/2021</t>
        </is>
      </c>
      <c r="B4331" s="31" t="n">
        <v>95.47</v>
      </c>
    </row>
    <row r="4332">
      <c r="A4332" s="4" t="inlineStr">
        <is>
          <t>23/12/2021</t>
        </is>
      </c>
      <c r="B4332" s="31" t="n">
        <v>96.68000000000001</v>
      </c>
    </row>
    <row r="4333">
      <c r="A4333" s="4" t="inlineStr">
        <is>
          <t>27/12/2021</t>
        </is>
      </c>
      <c r="B4333" s="31" t="n">
        <v>96.87</v>
      </c>
    </row>
    <row r="4334">
      <c r="A4334" s="4" t="inlineStr">
        <is>
          <t>28/12/2021</t>
        </is>
      </c>
      <c r="B4334" s="31" t="n">
        <v>97.25</v>
      </c>
    </row>
    <row r="4335">
      <c r="A4335" s="4" t="inlineStr">
        <is>
          <t>29/12/2021</t>
        </is>
      </c>
      <c r="B4335" s="31" t="n">
        <v>97.28</v>
      </c>
    </row>
    <row r="4336">
      <c r="A4336" s="4" t="inlineStr">
        <is>
          <t>30/12/2021</t>
        </is>
      </c>
      <c r="B4336" s="31" t="n">
        <v>97.26000000000001</v>
      </c>
    </row>
    <row r="4337">
      <c r="A4337" s="4" t="inlineStr">
        <is>
          <t>03/01/2022</t>
        </is>
      </c>
      <c r="B4337" s="31" t="n">
        <v>97.28</v>
      </c>
    </row>
    <row r="4338">
      <c r="A4338" s="4" t="inlineStr">
        <is>
          <t>04/01/2022</t>
        </is>
      </c>
      <c r="B4338" s="31" t="n">
        <v>98.03</v>
      </c>
    </row>
    <row r="4339">
      <c r="A4339" s="4" t="inlineStr">
        <is>
          <t>05/01/2022</t>
        </is>
      </c>
      <c r="B4339" s="31" t="n">
        <v>98.12</v>
      </c>
    </row>
    <row r="4340">
      <c r="A4340" s="4" t="inlineStr">
        <is>
          <t>06/01/2022</t>
        </is>
      </c>
      <c r="B4340" s="31" t="n">
        <v>98.62</v>
      </c>
    </row>
    <row r="4341">
      <c r="A4341" s="4" t="inlineStr">
        <is>
          <t>07/01/2022</t>
        </is>
      </c>
      <c r="B4341" s="31" t="n">
        <v>98.87</v>
      </c>
    </row>
    <row r="4342">
      <c r="A4342" s="4" t="inlineStr">
        <is>
          <t>10/01/2022</t>
        </is>
      </c>
      <c r="B4342" s="31" t="n">
        <v>99.83</v>
      </c>
    </row>
    <row r="4343">
      <c r="A4343" s="4" t="inlineStr">
        <is>
          <t>11/01/2022</t>
        </is>
      </c>
      <c r="B4343" s="31" t="n">
        <v>100.57</v>
      </c>
    </row>
    <row r="4344">
      <c r="A4344" s="4" t="inlineStr">
        <is>
          <t>12/01/2022</t>
        </is>
      </c>
      <c r="B4344" s="31" t="n">
        <v>100.72</v>
      </c>
    </row>
    <row r="4345">
      <c r="A4345" s="4" t="inlineStr">
        <is>
          <t>13/01/2022</t>
        </is>
      </c>
      <c r="B4345" s="31" t="n">
        <v>102.02</v>
      </c>
    </row>
    <row r="4346">
      <c r="A4346" s="4" t="inlineStr">
        <is>
          <t>14/01/2022</t>
        </is>
      </c>
      <c r="B4346" s="31" t="n">
        <v>102.31</v>
      </c>
    </row>
    <row r="4347">
      <c r="A4347" s="4" t="inlineStr">
        <is>
          <t>17/01/2022</t>
        </is>
      </c>
      <c r="B4347" s="31" t="n">
        <v>102.72</v>
      </c>
    </row>
    <row r="4348">
      <c r="A4348" s="4" t="inlineStr">
        <is>
          <t>18/01/2022</t>
        </is>
      </c>
      <c r="B4348" s="31" t="n">
        <v>102.96</v>
      </c>
    </row>
    <row r="4349">
      <c r="A4349" s="4" t="inlineStr">
        <is>
          <t>19/01/2022</t>
        </is>
      </c>
      <c r="B4349" s="31" t="n">
        <v>103.29</v>
      </c>
    </row>
    <row r="4350">
      <c r="A4350" s="4" t="inlineStr">
        <is>
          <t>20/01/2022</t>
        </is>
      </c>
      <c r="B4350" s="31" t="n">
        <v>103.75</v>
      </c>
    </row>
    <row r="4351">
      <c r="A4351" s="4" t="inlineStr">
        <is>
          <t>21/01/2022</t>
        </is>
      </c>
      <c r="B4351" s="31" t="n">
        <v>103.96</v>
      </c>
    </row>
    <row r="4352">
      <c r="A4352" s="4" t="inlineStr">
        <is>
          <t>24/01/2022</t>
        </is>
      </c>
      <c r="B4352" s="31" t="n">
        <v>103.53</v>
      </c>
    </row>
    <row r="4353">
      <c r="A4353" s="4" t="inlineStr">
        <is>
          <t>25/01/2022</t>
        </is>
      </c>
      <c r="B4353" s="31" t="n">
        <v>103.35</v>
      </c>
    </row>
    <row r="4354">
      <c r="A4354" s="4" t="inlineStr">
        <is>
          <t>26/01/2022</t>
        </is>
      </c>
      <c r="B4354" s="31" t="n">
        <v>103.5</v>
      </c>
    </row>
    <row r="4355">
      <c r="A4355" s="4" t="inlineStr">
        <is>
          <t>27/01/2022</t>
        </is>
      </c>
      <c r="B4355" s="31" t="n">
        <v>102.94</v>
      </c>
    </row>
    <row r="4356">
      <c r="A4356" s="4" t="inlineStr">
        <is>
          <t>28/01/2022</t>
        </is>
      </c>
      <c r="B4356" s="31" t="n">
        <v>102.97</v>
      </c>
    </row>
    <row r="4357">
      <c r="A4357" s="4" t="inlineStr">
        <is>
          <t>31/01/2022</t>
        </is>
      </c>
      <c r="B4357" s="31" t="n">
        <v>103</v>
      </c>
    </row>
    <row r="4358">
      <c r="A4358" s="4" t="inlineStr">
        <is>
          <t>01/02/2022</t>
        </is>
      </c>
      <c r="B4358" s="31" t="n">
        <v>101.12</v>
      </c>
    </row>
    <row r="4359">
      <c r="A4359" s="4" t="inlineStr">
        <is>
          <t>02/02/2022</t>
        </is>
      </c>
      <c r="B4359" s="31" t="n">
        <v>100.85</v>
      </c>
    </row>
    <row r="4360">
      <c r="A4360" s="4" t="inlineStr">
        <is>
          <t>03/02/2022</t>
        </is>
      </c>
      <c r="B4360" s="31" t="n">
        <v>100.52</v>
      </c>
    </row>
    <row r="4361">
      <c r="A4361" s="4" t="inlineStr">
        <is>
          <t>04/02/2022</t>
        </is>
      </c>
      <c r="B4361" s="31" t="n">
        <v>100.84</v>
      </c>
    </row>
    <row r="4362">
      <c r="A4362" s="4" t="inlineStr">
        <is>
          <t>07/02/2022</t>
        </is>
      </c>
      <c r="B4362" s="31" t="n">
        <v>100.68</v>
      </c>
    </row>
    <row r="4363">
      <c r="A4363" s="4" t="inlineStr">
        <is>
          <t>08/02/2022</t>
        </is>
      </c>
      <c r="B4363" s="31" t="n">
        <v>100.85</v>
      </c>
    </row>
    <row r="4364">
      <c r="A4364" s="4" t="inlineStr">
        <is>
          <t>09/02/2022</t>
        </is>
      </c>
      <c r="B4364" s="31" t="n">
        <v>100.64</v>
      </c>
    </row>
    <row r="4365">
      <c r="A4365" s="4" t="inlineStr">
        <is>
          <t>10/02/2022</t>
        </is>
      </c>
      <c r="B4365" s="31" t="n">
        <v>100.79</v>
      </c>
    </row>
    <row r="4366">
      <c r="A4366" s="4" t="inlineStr">
        <is>
          <t>11/02/2022</t>
        </is>
      </c>
      <c r="B4366" s="31" t="n">
        <v>100.76</v>
      </c>
    </row>
    <row r="4367">
      <c r="A4367" s="4" t="inlineStr">
        <is>
          <t>14/02/2022</t>
        </is>
      </c>
      <c r="B4367" s="31" t="n">
        <v>99.65000000000001</v>
      </c>
    </row>
    <row r="4368">
      <c r="A4368" s="4" t="inlineStr">
        <is>
          <t>15/02/2022</t>
        </is>
      </c>
      <c r="B4368" s="31" t="n">
        <v>100.24</v>
      </c>
    </row>
    <row r="4369">
      <c r="A4369" s="4" t="inlineStr">
        <is>
          <t>16/02/2022</t>
        </is>
      </c>
      <c r="B4369" s="31" t="n">
        <v>100.22</v>
      </c>
    </row>
    <row r="4370">
      <c r="A4370" s="4" t="inlineStr">
        <is>
          <t>17/02/2022</t>
        </is>
      </c>
      <c r="B4370" s="31" t="n">
        <v>100.2</v>
      </c>
    </row>
    <row r="4371">
      <c r="A4371" s="4" t="inlineStr">
        <is>
          <t>18/02/2022</t>
        </is>
      </c>
      <c r="B4371" s="31" t="n">
        <v>100.18</v>
      </c>
    </row>
    <row r="4372">
      <c r="A4372" s="4" t="inlineStr">
        <is>
          <t>21/02/2022</t>
        </is>
      </c>
      <c r="B4372" s="31" t="n">
        <v>100.21</v>
      </c>
    </row>
    <row r="4373">
      <c r="A4373" s="4" t="inlineStr">
        <is>
          <t>22/02/2022</t>
        </is>
      </c>
      <c r="B4373" s="31" t="n">
        <v>100.5</v>
      </c>
    </row>
    <row r="4374">
      <c r="A4374" s="4" t="inlineStr">
        <is>
          <t>23/02/2022</t>
        </is>
      </c>
      <c r="B4374" s="31" t="n">
        <v>100.55</v>
      </c>
    </row>
    <row r="4375">
      <c r="A4375" s="4" t="inlineStr">
        <is>
          <t>24/02/2022</t>
        </is>
      </c>
      <c r="B4375" s="31" t="n">
        <v>100.59</v>
      </c>
    </row>
    <row r="4376">
      <c r="A4376" s="4" t="inlineStr">
        <is>
          <t>25/02/2022</t>
        </is>
      </c>
      <c r="B4376" s="31" t="n">
        <v>101.06</v>
      </c>
    </row>
    <row r="4377">
      <c r="A4377" s="4" t="inlineStr">
        <is>
          <t>02/03/2022</t>
        </is>
      </c>
      <c r="B4377" s="31" t="n">
        <v>99.19</v>
      </c>
    </row>
    <row r="4378">
      <c r="A4378" s="4" t="inlineStr">
        <is>
          <t>03/03/2022</t>
        </is>
      </c>
      <c r="B4378" s="31" t="n">
        <v>99.72</v>
      </c>
    </row>
    <row r="4379">
      <c r="A4379" s="4" t="inlineStr">
        <is>
          <t>04/03/2022</t>
        </is>
      </c>
      <c r="B4379" s="31" t="n">
        <v>100.16</v>
      </c>
    </row>
    <row r="4380">
      <c r="A4380" s="4" t="inlineStr">
        <is>
          <t>07/03/2022</t>
        </is>
      </c>
      <c r="B4380" s="31" t="n">
        <v>102.24</v>
      </c>
    </row>
    <row r="4381">
      <c r="A4381" s="4" t="inlineStr">
        <is>
          <t>08/03/2022</t>
        </is>
      </c>
      <c r="B4381" s="31" t="n">
        <v>103.43</v>
      </c>
    </row>
    <row r="4382">
      <c r="A4382" s="4" t="inlineStr">
        <is>
          <t>09/03/2022</t>
        </is>
      </c>
      <c r="B4382" s="31" t="n">
        <v>103.32</v>
      </c>
    </row>
    <row r="4383">
      <c r="A4383" s="4" t="inlineStr">
        <is>
          <t>10/03/2022</t>
        </is>
      </c>
      <c r="B4383" s="31" t="n">
        <v>103.5</v>
      </c>
    </row>
    <row r="4384">
      <c r="A4384" s="4" t="inlineStr">
        <is>
          <t>11/03/2022</t>
        </is>
      </c>
      <c r="B4384" s="31" t="n">
        <v>105.69</v>
      </c>
    </row>
    <row r="4385">
      <c r="A4385" s="4" t="inlineStr">
        <is>
          <t>14/03/2022</t>
        </is>
      </c>
      <c r="B4385" s="31" t="n">
        <v>106.03</v>
      </c>
    </row>
    <row r="4386">
      <c r="A4386" s="4" t="inlineStr">
        <is>
          <t>15/03/2022</t>
        </is>
      </c>
      <c r="B4386" s="31" t="n">
        <v>106</v>
      </c>
    </row>
    <row r="4387">
      <c r="A4387" s="4" t="inlineStr">
        <is>
          <t>16/03/2022</t>
        </is>
      </c>
      <c r="B4387" s="31" t="n">
        <v>105.86</v>
      </c>
    </row>
    <row r="4388">
      <c r="A4388" s="4" t="inlineStr">
        <is>
          <t>17/03/2022</t>
        </is>
      </c>
      <c r="B4388" s="31" t="n">
        <v>105.69</v>
      </c>
    </row>
    <row r="4389">
      <c r="A4389" s="4" t="inlineStr">
        <is>
          <t>18/03/2022</t>
        </is>
      </c>
      <c r="B4389" s="31" t="n">
        <v>104.69</v>
      </c>
    </row>
    <row r="4390">
      <c r="A4390" s="4" t="inlineStr">
        <is>
          <t>21/03/2022</t>
        </is>
      </c>
      <c r="B4390" s="31" t="n">
        <v>104.73</v>
      </c>
    </row>
    <row r="4391">
      <c r="A4391" s="4" t="inlineStr">
        <is>
          <t>22/03/2022</t>
        </is>
      </c>
      <c r="B4391" s="31" t="n">
        <v>103.36</v>
      </c>
    </row>
    <row r="4392">
      <c r="A4392" s="4" t="inlineStr">
        <is>
          <t>23/03/2022</t>
        </is>
      </c>
      <c r="B4392" s="31" t="n">
        <v>101.98</v>
      </c>
    </row>
    <row r="4393">
      <c r="A4393" s="4" t="inlineStr">
        <is>
          <t>24/03/2022</t>
        </is>
      </c>
      <c r="B4393" s="31" t="n">
        <v>101.23</v>
      </c>
    </row>
    <row r="4394">
      <c r="A4394" s="4" t="inlineStr">
        <is>
          <t>25/03/2022</t>
        </is>
      </c>
      <c r="B4394" s="31" t="n">
        <v>98.97</v>
      </c>
    </row>
    <row r="4395">
      <c r="A4395" s="4" t="inlineStr">
        <is>
          <t>28/03/2022</t>
        </is>
      </c>
      <c r="B4395" s="31" t="n">
        <v>98.13</v>
      </c>
    </row>
    <row r="4396">
      <c r="A4396" s="4" t="inlineStr">
        <is>
          <t>29/03/2022</t>
        </is>
      </c>
      <c r="B4396" s="31" t="n">
        <v>94.67</v>
      </c>
    </row>
    <row r="4397">
      <c r="A4397" s="4" t="inlineStr">
        <is>
          <t>30/03/2022</t>
        </is>
      </c>
      <c r="B4397" s="31" t="n">
        <v>94.59999999999999</v>
      </c>
    </row>
    <row r="4398">
      <c r="A4398" s="4" t="inlineStr">
        <is>
          <t>31/03/2022</t>
        </is>
      </c>
      <c r="B4398" s="31" t="n">
        <v>95</v>
      </c>
    </row>
    <row r="4399">
      <c r="A4399" s="4" t="inlineStr">
        <is>
          <t>01/04/2022</t>
        </is>
      </c>
      <c r="B4399" s="31" t="n">
        <v>92.62</v>
      </c>
    </row>
    <row r="4400">
      <c r="A4400" s="4" t="inlineStr">
        <is>
          <t>04/04/2022</t>
        </is>
      </c>
      <c r="B4400" s="31" t="n">
        <v>92.13</v>
      </c>
    </row>
    <row r="4401">
      <c r="A4401" s="4" t="inlineStr">
        <is>
          <t>05/04/2022</t>
        </is>
      </c>
      <c r="B4401" s="31" t="n">
        <v>90.76000000000001</v>
      </c>
    </row>
    <row r="4402">
      <c r="A4402" s="4" t="inlineStr">
        <is>
          <t>06/04/2022</t>
        </is>
      </c>
      <c r="B4402" s="31" t="n">
        <v>90.02</v>
      </c>
    </row>
    <row r="4403">
      <c r="A4403" s="4" t="inlineStr">
        <is>
          <t>07/04/2022</t>
        </is>
      </c>
      <c r="B4403" s="31" t="n">
        <v>89.62</v>
      </c>
    </row>
    <row r="4404">
      <c r="A4404" s="4" t="inlineStr">
        <is>
          <t>08/04/2022</t>
        </is>
      </c>
      <c r="B4404" s="31" t="n">
        <v>89.58</v>
      </c>
    </row>
    <row r="4405">
      <c r="A4405" s="4" t="inlineStr">
        <is>
          <t>11/04/2022</t>
        </is>
      </c>
      <c r="B4405" s="31" t="n">
        <v>89.45999999999999</v>
      </c>
    </row>
    <row r="4406">
      <c r="A4406" s="4" t="inlineStr">
        <is>
          <t>12/04/2022</t>
        </is>
      </c>
      <c r="B4406" s="31" t="n">
        <v>88.72</v>
      </c>
    </row>
    <row r="4407">
      <c r="A4407" s="4" t="inlineStr">
        <is>
          <t>13/04/2022</t>
        </is>
      </c>
      <c r="B4407" s="31" t="n">
        <v>88.11</v>
      </c>
    </row>
    <row r="4408">
      <c r="A4408" s="4" t="inlineStr">
        <is>
          <t>14/04/2022</t>
        </is>
      </c>
      <c r="B4408" s="31" t="n">
        <v>87.84999999999999</v>
      </c>
    </row>
    <row r="4409">
      <c r="A4409" s="4" t="inlineStr">
        <is>
          <t>18/04/2022</t>
        </is>
      </c>
      <c r="B4409" s="31" t="n">
        <v>88.18000000000001</v>
      </c>
    </row>
    <row r="4410">
      <c r="A4410" s="4" t="inlineStr">
        <is>
          <t>19/04/2022</t>
        </is>
      </c>
      <c r="B4410" s="31" t="n">
        <v>88.58</v>
      </c>
    </row>
    <row r="4411">
      <c r="A4411" s="4" t="inlineStr">
        <is>
          <t>20/04/2022</t>
        </is>
      </c>
      <c r="B4411" s="31" t="n">
        <v>88.42</v>
      </c>
    </row>
    <row r="4412">
      <c r="A4412" s="4" t="inlineStr">
        <is>
          <t>22/04/2022</t>
        </is>
      </c>
      <c r="B4412" s="31" t="n">
        <v>88.48</v>
      </c>
    </row>
    <row r="4413">
      <c r="A4413" s="4" t="inlineStr">
        <is>
          <t>25/04/2022</t>
        </is>
      </c>
      <c r="B4413" s="31" t="n">
        <v>89.27</v>
      </c>
    </row>
    <row r="4414">
      <c r="A4414" s="4" t="inlineStr">
        <is>
          <t>26/04/2022</t>
        </is>
      </c>
      <c r="B4414" s="31" t="n">
        <v>89.06999999999999</v>
      </c>
    </row>
    <row r="4415">
      <c r="A4415" s="4" t="inlineStr">
        <is>
          <t>27/04/2022</t>
        </is>
      </c>
      <c r="B4415" s="31" t="n">
        <v>88.76000000000001</v>
      </c>
    </row>
    <row r="4416">
      <c r="A4416" s="4" t="inlineStr">
        <is>
          <t>28/04/2022</t>
        </is>
      </c>
      <c r="B4416" s="31" t="n">
        <v>88.94</v>
      </c>
    </row>
    <row r="4417">
      <c r="A4417" s="4" t="inlineStr">
        <is>
          <t>29/04/2022</t>
        </is>
      </c>
      <c r="B4417" s="31" t="n">
        <v>88.8</v>
      </c>
    </row>
    <row r="4418">
      <c r="A4418" s="4" t="inlineStr">
        <is>
          <t>02/05/2022</t>
        </is>
      </c>
      <c r="B4418" s="31" t="n">
        <v>87.95999999999999</v>
      </c>
    </row>
    <row r="4419">
      <c r="A4419" s="4" t="inlineStr">
        <is>
          <t>03/05/2022</t>
        </is>
      </c>
      <c r="B4419" s="31" t="n">
        <v>87.69</v>
      </c>
    </row>
    <row r="4420">
      <c r="A4420" s="4" t="inlineStr">
        <is>
          <t>04/05/2022</t>
        </is>
      </c>
      <c r="B4420" s="31" t="n">
        <v>87.64</v>
      </c>
    </row>
    <row r="4421">
      <c r="A4421" s="4" t="inlineStr">
        <is>
          <t>05/05/2022</t>
        </is>
      </c>
      <c r="B4421" s="31" t="n">
        <v>87.5</v>
      </c>
    </row>
    <row r="4422">
      <c r="A4422" s="4" t="inlineStr">
        <is>
          <t>06/05/2022</t>
        </is>
      </c>
      <c r="B4422" s="31" t="n">
        <v>86.72</v>
      </c>
    </row>
    <row r="4423">
      <c r="A4423" s="4" t="inlineStr">
        <is>
          <t>09/05/2022</t>
        </is>
      </c>
      <c r="B4423" s="31" t="n">
        <v>86.23999999999999</v>
      </c>
    </row>
    <row r="4424">
      <c r="A4424" s="4" t="inlineStr">
        <is>
          <t>10/05/2022</t>
        </is>
      </c>
      <c r="B4424" s="31" t="n">
        <v>85.92</v>
      </c>
    </row>
    <row r="4425">
      <c r="A4425" s="4" t="inlineStr">
        <is>
          <t>11/05/2022</t>
        </is>
      </c>
      <c r="B4425" s="31" t="n">
        <v>86.17</v>
      </c>
    </row>
    <row r="4426">
      <c r="A4426" s="4" t="inlineStr">
        <is>
          <t>12/05/2022</t>
        </is>
      </c>
      <c r="B4426" s="31" t="n">
        <v>86.48999999999999</v>
      </c>
    </row>
    <row r="4427">
      <c r="A4427" s="4" t="inlineStr">
        <is>
          <t>13/05/2022</t>
        </is>
      </c>
      <c r="B4427" s="31" t="n">
        <v>86.63</v>
      </c>
    </row>
    <row r="4428">
      <c r="A4428" s="4" t="inlineStr">
        <is>
          <t>16/05/2022</t>
        </is>
      </c>
      <c r="B4428" s="31" t="n">
        <v>88.06</v>
      </c>
    </row>
    <row r="4429">
      <c r="A4429" s="4" t="inlineStr">
        <is>
          <t>17/05/2022</t>
        </is>
      </c>
      <c r="B4429" s="31" t="n">
        <v>89.19</v>
      </c>
    </row>
    <row r="4430">
      <c r="A4430" s="4" t="inlineStr">
        <is>
          <t>18/05/2022</t>
        </is>
      </c>
      <c r="B4430" s="31" t="n">
        <v>89.38</v>
      </c>
    </row>
    <row r="4431">
      <c r="A4431" s="4" t="inlineStr">
        <is>
          <t>19/05/2022</t>
        </is>
      </c>
      <c r="B4431" s="31" t="n">
        <v>89.33</v>
      </c>
    </row>
    <row r="4432">
      <c r="A4432" s="4" t="inlineStr">
        <is>
          <t>20/05/2022</t>
        </is>
      </c>
      <c r="B4432" s="31" t="n">
        <v>88.58</v>
      </c>
    </row>
    <row r="4433">
      <c r="A4433" s="4" t="inlineStr">
        <is>
          <t>23/05/2022</t>
        </is>
      </c>
      <c r="B4433" s="31" t="n">
        <v>88.12</v>
      </c>
    </row>
    <row r="4434">
      <c r="A4434" s="4" t="inlineStr">
        <is>
          <t>24/05/2022</t>
        </is>
      </c>
      <c r="B4434" s="31" t="n">
        <v>87.52</v>
      </c>
    </row>
    <row r="4435">
      <c r="A4435" s="4" t="inlineStr">
        <is>
          <t>25/05/2022</t>
        </is>
      </c>
      <c r="B4435" s="31" t="n">
        <v>87.42</v>
      </c>
    </row>
    <row r="4436">
      <c r="A4436" s="4" t="inlineStr">
        <is>
          <t>26/05/2022</t>
        </is>
      </c>
      <c r="B4436" s="31" t="n">
        <v>87.08</v>
      </c>
    </row>
    <row r="4437">
      <c r="A4437" s="4" t="inlineStr">
        <is>
          <t>27/05/2022</t>
        </is>
      </c>
      <c r="B4437" s="31" t="n">
        <v>86.98999999999999</v>
      </c>
    </row>
    <row r="4438">
      <c r="A4438" s="4" t="inlineStr">
        <is>
          <t>30/05/2022</t>
        </is>
      </c>
      <c r="B4438" s="31" t="n">
        <v>86.93000000000001</v>
      </c>
    </row>
    <row r="4439">
      <c r="A4439" s="4" t="inlineStr">
        <is>
          <t>31/05/2022</t>
        </is>
      </c>
      <c r="B4439" s="31" t="n">
        <v>86.34</v>
      </c>
    </row>
    <row r="4440">
      <c r="A4440" s="4" t="inlineStr">
        <is>
          <t>01/06/2022</t>
        </is>
      </c>
      <c r="B4440" s="31" t="n">
        <v>85.39</v>
      </c>
    </row>
    <row r="4441">
      <c r="A4441" s="4" t="inlineStr">
        <is>
          <t>02/06/2022</t>
        </is>
      </c>
      <c r="B4441" s="31" t="n">
        <v>85.11</v>
      </c>
    </row>
    <row r="4442">
      <c r="A4442" s="4" t="inlineStr">
        <is>
          <t>03/06/2022</t>
        </is>
      </c>
      <c r="B4442" s="31" t="n">
        <v>84.66</v>
      </c>
    </row>
    <row r="4443">
      <c r="A4443" s="4" t="inlineStr">
        <is>
          <t>06/06/2022</t>
        </is>
      </c>
      <c r="B4443" s="31" t="n">
        <v>84.39</v>
      </c>
    </row>
    <row r="4444">
      <c r="A4444" s="4" t="inlineStr">
        <is>
          <t>07/06/2022</t>
        </is>
      </c>
      <c r="B4444" s="31" t="n">
        <v>85.15000000000001</v>
      </c>
    </row>
    <row r="4445">
      <c r="A4445" s="4" t="inlineStr">
        <is>
          <t>08/06/2022</t>
        </is>
      </c>
      <c r="B4445" s="31" t="n">
        <v>85.45</v>
      </c>
    </row>
    <row r="4446">
      <c r="A4446" s="4" t="inlineStr">
        <is>
          <t>09/06/2022</t>
        </is>
      </c>
      <c r="B4446" s="31" t="n">
        <v>85.44</v>
      </c>
    </row>
    <row r="4447">
      <c r="A4447" s="4" t="inlineStr">
        <is>
          <t>10/06/2022</t>
        </is>
      </c>
      <c r="B4447" s="31" t="n">
        <v>85.01000000000001</v>
      </c>
    </row>
    <row r="4448">
      <c r="A4448" s="4" t="inlineStr">
        <is>
          <t>13/06/2022</t>
        </is>
      </c>
      <c r="B4448" s="31" t="n">
        <v>85</v>
      </c>
    </row>
    <row r="4449">
      <c r="A4449" s="4" t="inlineStr">
        <is>
          <t>14/06/2022</t>
        </is>
      </c>
      <c r="B4449" s="31" t="n">
        <v>86.01000000000001</v>
      </c>
    </row>
    <row r="4450">
      <c r="A4450" s="4" t="inlineStr">
        <is>
          <t>15/06/2022</t>
        </is>
      </c>
      <c r="B4450" s="31" t="n">
        <v>85.84</v>
      </c>
    </row>
    <row r="4451">
      <c r="A4451" s="4" t="inlineStr">
        <is>
          <t>17/06/2022</t>
        </is>
      </c>
      <c r="B4451" s="31" t="n">
        <v>85.91</v>
      </c>
    </row>
    <row r="4452">
      <c r="A4452" s="4" t="inlineStr">
        <is>
          <t>20/06/2022</t>
        </is>
      </c>
      <c r="B4452" s="31" t="n">
        <v>87</v>
      </c>
    </row>
    <row r="4453">
      <c r="A4453" s="4" t="inlineStr">
        <is>
          <t>21/06/2022</t>
        </is>
      </c>
      <c r="B4453" s="31" t="n">
        <v>86.73</v>
      </c>
    </row>
    <row r="4454">
      <c r="A4454" s="4" t="inlineStr">
        <is>
          <t>22/06/2022</t>
        </is>
      </c>
      <c r="B4454" s="31" t="n">
        <v>86.62</v>
      </c>
    </row>
    <row r="4455">
      <c r="A4455" s="4" t="inlineStr">
        <is>
          <t>23/06/2022</t>
        </is>
      </c>
      <c r="B4455" s="31" t="n">
        <v>85.51000000000001</v>
      </c>
    </row>
    <row r="4456">
      <c r="A4456" s="4" t="inlineStr">
        <is>
          <t>24/06/2022</t>
        </is>
      </c>
      <c r="B4456" s="31" t="n">
        <v>85.23999999999999</v>
      </c>
    </row>
    <row r="4457">
      <c r="A4457" s="4" t="inlineStr">
        <is>
          <t>27/06/2022</t>
        </is>
      </c>
      <c r="B4457" s="31" t="n">
        <v>84.34</v>
      </c>
    </row>
    <row r="4458">
      <c r="A4458" s="4" t="inlineStr">
        <is>
          <t>28/06/2022</t>
        </is>
      </c>
      <c r="B4458" s="31" t="n">
        <v>83.5</v>
      </c>
    </row>
    <row r="4459">
      <c r="A4459" s="4" t="inlineStr">
        <is>
          <t>29/06/2022</t>
        </is>
      </c>
      <c r="B4459" s="31" t="n">
        <v>84.44</v>
      </c>
    </row>
    <row r="4460">
      <c r="A4460" s="4" t="inlineStr">
        <is>
          <t>30/06/2022</t>
        </is>
      </c>
      <c r="B4460" s="31" t="n">
        <v>83.15000000000001</v>
      </c>
    </row>
    <row r="4461">
      <c r="A4461" s="4" t="inlineStr">
        <is>
          <t>01/07/2022</t>
        </is>
      </c>
      <c r="B4461" s="31" t="n">
        <v>82.59</v>
      </c>
    </row>
    <row r="4462">
      <c r="A4462" s="4" t="inlineStr">
        <is>
          <t>04/07/2022</t>
        </is>
      </c>
      <c r="B4462" s="31" t="n">
        <v>82.67</v>
      </c>
    </row>
    <row r="4463">
      <c r="A4463" s="4" t="inlineStr">
        <is>
          <t>05/07/2022</t>
        </is>
      </c>
      <c r="B4463" s="31" t="n">
        <v>82.03</v>
      </c>
    </row>
    <row r="4464">
      <c r="A4464" s="4" t="inlineStr">
        <is>
          <t>06/07/2022</t>
        </is>
      </c>
      <c r="B4464" s="31" t="n">
        <v>81.62</v>
      </c>
    </row>
    <row r="4465">
      <c r="A4465" s="4" t="inlineStr">
        <is>
          <t>07/07/2022</t>
        </is>
      </c>
      <c r="B4465" s="31" t="n">
        <v>81.12</v>
      </c>
    </row>
    <row r="4466">
      <c r="A4466" s="4" t="inlineStr">
        <is>
          <t>08/07/2022</t>
        </is>
      </c>
      <c r="B4466" s="31" t="n">
        <v>80.94</v>
      </c>
    </row>
    <row r="4467">
      <c r="A4467" s="4" t="inlineStr">
        <is>
          <t>11/07/2022</t>
        </is>
      </c>
      <c r="B4467" s="31" t="n">
        <v>81.79000000000001</v>
      </c>
    </row>
    <row r="4468">
      <c r="A4468" s="4" t="inlineStr">
        <is>
          <t>12/07/2022</t>
        </is>
      </c>
      <c r="B4468" s="31" t="n">
        <v>82.55</v>
      </c>
    </row>
    <row r="4469">
      <c r="A4469" s="4" t="inlineStr">
        <is>
          <t>13/07/2022</t>
        </is>
      </c>
      <c r="B4469" s="31" t="n">
        <v>82.16</v>
      </c>
    </row>
    <row r="4470">
      <c r="A4470" s="4" t="inlineStr">
        <is>
          <t>14/07/2022</t>
        </is>
      </c>
      <c r="B4470" s="31" t="n">
        <v>82.01000000000001</v>
      </c>
    </row>
    <row r="4471">
      <c r="A4471" s="4" t="inlineStr">
        <is>
          <t>15/07/2022</t>
        </is>
      </c>
      <c r="B4471" s="31" t="n">
        <v>81.89</v>
      </c>
    </row>
    <row r="4472">
      <c r="A4472" s="4" t="inlineStr">
        <is>
          <t>18/07/2022</t>
        </is>
      </c>
      <c r="B4472" s="31" t="n">
        <v>81.79000000000001</v>
      </c>
    </row>
    <row r="4473">
      <c r="A4473" s="4" t="inlineStr">
        <is>
          <t>19/07/2022</t>
        </is>
      </c>
      <c r="B4473" s="31" t="n">
        <v>81.11</v>
      </c>
    </row>
    <row r="4474">
      <c r="A4474" s="4" t="inlineStr">
        <is>
          <t>20/07/2022</t>
        </is>
      </c>
      <c r="B4474" s="31" t="n">
        <v>80.84999999999999</v>
      </c>
    </row>
    <row r="4475">
      <c r="A4475" s="4" t="inlineStr">
        <is>
          <t>21/07/2022</t>
        </is>
      </c>
      <c r="B4475" s="31" t="n">
        <v>80.29000000000001</v>
      </c>
    </row>
    <row r="4476">
      <c r="A4476" s="4" t="inlineStr">
        <is>
          <t>22/07/2022</t>
        </is>
      </c>
      <c r="B4476" s="31" t="n">
        <v>79.51000000000001</v>
      </c>
    </row>
    <row r="4477">
      <c r="A4477" s="4" t="inlineStr">
        <is>
          <t>25/07/2022</t>
        </is>
      </c>
      <c r="B4477" s="31" t="n">
        <v>79.65000000000001</v>
      </c>
    </row>
    <row r="4478">
      <c r="A4478" s="4" t="inlineStr">
        <is>
          <t>26/07/2022</t>
        </is>
      </c>
      <c r="B4478" s="31" t="n">
        <v>80.70999999999999</v>
      </c>
    </row>
    <row r="4479">
      <c r="A4479" s="4" t="inlineStr">
        <is>
          <t>27/07/2022</t>
        </is>
      </c>
      <c r="B4479" s="31" t="n">
        <v>80.84</v>
      </c>
    </row>
    <row r="4480">
      <c r="A4480" s="4" t="inlineStr">
        <is>
          <t>28/07/2022</t>
        </is>
      </c>
      <c r="B4480" s="31" t="n">
        <v>81.22</v>
      </c>
    </row>
    <row r="4481">
      <c r="A4481" s="4" t="inlineStr">
        <is>
          <t>29/07/2022</t>
        </is>
      </c>
      <c r="B4481" s="31" t="n">
        <v>82.36</v>
      </c>
    </row>
    <row r="4482">
      <c r="A4482" s="4" t="inlineStr">
        <is>
          <t>01/08/2022</t>
        </is>
      </c>
      <c r="B4482" s="31" t="n">
        <v>82.65000000000001</v>
      </c>
    </row>
    <row r="4483">
      <c r="A4483" s="4" t="inlineStr">
        <is>
          <t>02/08/2022</t>
        </is>
      </c>
      <c r="B4483" s="31" t="n">
        <v>82.59</v>
      </c>
    </row>
    <row r="4484">
      <c r="A4484" s="4" t="inlineStr">
        <is>
          <t>03/08/2022</t>
        </is>
      </c>
      <c r="B4484" s="31" t="n">
        <v>82.42</v>
      </c>
    </row>
    <row r="4485">
      <c r="A4485" s="4" t="inlineStr">
        <is>
          <t>04/08/2022</t>
        </is>
      </c>
      <c r="B4485" s="31" t="n">
        <v>82.25</v>
      </c>
    </row>
    <row r="4486">
      <c r="A4486" s="4" t="inlineStr">
        <is>
          <t>05/08/2022</t>
        </is>
      </c>
      <c r="B4486" s="31" t="n">
        <v>81.92</v>
      </c>
    </row>
    <row r="4487">
      <c r="A4487" s="4" t="inlineStr">
        <is>
          <t>08/08/2022</t>
        </is>
      </c>
      <c r="B4487" s="31" t="n">
        <v>82.06</v>
      </c>
    </row>
    <row r="4488">
      <c r="A4488" s="4" t="inlineStr">
        <is>
          <t>09/08/2022</t>
        </is>
      </c>
      <c r="B4488" s="31" t="n">
        <v>81.64</v>
      </c>
    </row>
    <row r="4489">
      <c r="A4489" s="4" t="inlineStr">
        <is>
          <t>10/08/2022</t>
        </is>
      </c>
      <c r="B4489" s="31" t="n">
        <v>82.77</v>
      </c>
    </row>
    <row r="4490">
      <c r="A4490" s="4" t="inlineStr">
        <is>
          <t>11/08/2022</t>
        </is>
      </c>
      <c r="B4490" s="31" t="n">
        <v>81.95</v>
      </c>
    </row>
    <row r="4491">
      <c r="A4491" s="4" t="inlineStr">
        <is>
          <t>12/08/2022</t>
        </is>
      </c>
      <c r="B4491" s="31" t="n">
        <v>81.56</v>
      </c>
    </row>
    <row r="4492">
      <c r="A4492" s="4" t="inlineStr">
        <is>
          <t>15/08/2022</t>
        </is>
      </c>
      <c r="B4492" s="31" t="n">
        <v>81.42</v>
      </c>
    </row>
    <row r="4493">
      <c r="A4493" s="4" t="inlineStr">
        <is>
          <t>16/08/2022</t>
        </is>
      </c>
      <c r="B4493" s="31" t="n">
        <v>82.12</v>
      </c>
    </row>
    <row r="4494">
      <c r="A4494" s="4" t="inlineStr">
        <is>
          <t>17/08/2022</t>
        </is>
      </c>
      <c r="B4494" s="31" t="n">
        <v>82.78</v>
      </c>
    </row>
    <row r="4495">
      <c r="A4495" s="4" t="inlineStr">
        <is>
          <t>18/08/2022</t>
        </is>
      </c>
      <c r="B4495" s="31" t="n">
        <v>82.11</v>
      </c>
    </row>
    <row r="4496">
      <c r="A4496" s="4" t="inlineStr">
        <is>
          <t>19/08/2022</t>
        </is>
      </c>
      <c r="B4496" s="31" t="n">
        <v>82.17</v>
      </c>
    </row>
    <row r="4497">
      <c r="A4497" s="4" t="inlineStr">
        <is>
          <t>22/08/2022</t>
        </is>
      </c>
      <c r="B4497" s="31" t="n">
        <v>81.91</v>
      </c>
    </row>
    <row r="4498">
      <c r="A4498" s="4" t="inlineStr">
        <is>
          <t>23/08/2022</t>
        </is>
      </c>
      <c r="B4498" s="31" t="n">
        <v>82.7</v>
      </c>
    </row>
    <row r="4499">
      <c r="A4499" s="4" t="inlineStr">
        <is>
          <t>24/08/2022</t>
        </is>
      </c>
      <c r="B4499" s="31" t="n">
        <v>82.78</v>
      </c>
    </row>
    <row r="4500">
      <c r="A4500" s="4" t="inlineStr">
        <is>
          <t>25/08/2022</t>
        </is>
      </c>
      <c r="B4500" s="31" t="n">
        <v>83.31999999999999</v>
      </c>
    </row>
    <row r="4501">
      <c r="A4501" s="4" t="inlineStr">
        <is>
          <t>26/08/2022</t>
        </is>
      </c>
      <c r="B4501" s="31" t="n">
        <v>83.61</v>
      </c>
    </row>
    <row r="4502">
      <c r="A4502" s="4" t="inlineStr">
        <is>
          <t>29/08/2022</t>
        </is>
      </c>
      <c r="B4502" s="31" t="n">
        <v>83.81</v>
      </c>
    </row>
    <row r="4503">
      <c r="A4503" s="4" t="inlineStr">
        <is>
          <t>30/08/2022</t>
        </is>
      </c>
      <c r="B4503" s="31" t="n">
        <v>83.73999999999999</v>
      </c>
    </row>
    <row r="4504">
      <c r="A4504" s="4" t="inlineStr">
        <is>
          <t>31/08/2022</t>
        </is>
      </c>
      <c r="B4504" s="31" t="n">
        <v>83.95</v>
      </c>
    </row>
    <row r="4505">
      <c r="A4505" s="4" t="inlineStr">
        <is>
          <t>01/09/2022</t>
        </is>
      </c>
      <c r="B4505" s="31" t="n">
        <v>84.47</v>
      </c>
    </row>
    <row r="4506">
      <c r="A4506" s="4" t="inlineStr">
        <is>
          <t>02/09/2022</t>
        </is>
      </c>
      <c r="B4506" s="31" t="n">
        <v>84.2</v>
      </c>
    </row>
    <row r="4507">
      <c r="A4507" s="4" t="inlineStr">
        <is>
          <t>05/09/2022</t>
        </is>
      </c>
      <c r="B4507" s="31" t="n">
        <v>84.06999999999999</v>
      </c>
    </row>
    <row r="4508">
      <c r="A4508" s="4" t="inlineStr">
        <is>
          <t>06/09/2022</t>
        </is>
      </c>
      <c r="B4508" s="31" t="n">
        <v>84.34999999999999</v>
      </c>
    </row>
    <row r="4509">
      <c r="A4509" s="4" t="inlineStr">
        <is>
          <t>08/09/2022</t>
        </is>
      </c>
      <c r="B4509" s="31" t="n">
        <v>84.06</v>
      </c>
    </row>
    <row r="4510">
      <c r="A4510" s="4" t="inlineStr">
        <is>
          <t>09/09/2022</t>
        </is>
      </c>
      <c r="B4510" s="31" t="n">
        <v>84.23999999999999</v>
      </c>
    </row>
    <row r="4511">
      <c r="A4511" s="4" t="inlineStr">
        <is>
          <t>12/09/2022</t>
        </is>
      </c>
      <c r="B4511" s="31" t="n">
        <v>84.77</v>
      </c>
    </row>
    <row r="4512">
      <c r="A4512" s="4" t="inlineStr">
        <is>
          <t>13/09/2022</t>
        </is>
      </c>
      <c r="B4512" s="31" t="n">
        <v>84.53</v>
      </c>
    </row>
    <row r="4513">
      <c r="A4513" s="4" t="inlineStr">
        <is>
          <t>14/09/2022</t>
        </is>
      </c>
      <c r="B4513" s="31" t="n">
        <v>85.09999999999999</v>
      </c>
    </row>
    <row r="4514">
      <c r="A4514" s="4" t="inlineStr">
        <is>
          <t>15/09/2022</t>
        </is>
      </c>
      <c r="B4514" s="31" t="n">
        <v>85.37</v>
      </c>
    </row>
    <row r="4515">
      <c r="A4515" s="4" t="inlineStr">
        <is>
          <t>16/09/2022</t>
        </is>
      </c>
      <c r="B4515" s="31" t="n">
        <v>85.17</v>
      </c>
    </row>
    <row r="4516">
      <c r="A4516" s="4" t="inlineStr">
        <is>
          <t>19/09/2022</t>
        </is>
      </c>
      <c r="B4516" s="31" t="n">
        <v>84.84</v>
      </c>
    </row>
    <row r="4517">
      <c r="A4517" s="4" t="inlineStr">
        <is>
          <t>20/09/2022</t>
        </is>
      </c>
      <c r="B4517" s="31" t="n">
        <v>85.03</v>
      </c>
    </row>
    <row r="4518">
      <c r="A4518" s="4" t="inlineStr">
        <is>
          <t>21/09/2022</t>
        </is>
      </c>
      <c r="B4518" s="31" t="n">
        <v>85.06</v>
      </c>
    </row>
    <row r="4519">
      <c r="A4519" s="4" t="inlineStr">
        <is>
          <t>22/09/2022</t>
        </is>
      </c>
      <c r="B4519" s="31" t="n">
        <v>85.38</v>
      </c>
    </row>
    <row r="4520">
      <c r="A4520" s="4" t="inlineStr">
        <is>
          <t>23/09/2022</t>
        </is>
      </c>
      <c r="B4520" s="31" t="n">
        <v>85.36</v>
      </c>
    </row>
    <row r="4521">
      <c r="A4521" s="4" t="inlineStr">
        <is>
          <t>26/09/2022</t>
        </is>
      </c>
      <c r="B4521" s="31" t="n">
        <v>85.40000000000001</v>
      </c>
    </row>
    <row r="4522">
      <c r="A4522" s="4" t="inlineStr">
        <is>
          <t>27/09/2022</t>
        </is>
      </c>
      <c r="B4522" s="31" t="n">
        <v>85.54000000000001</v>
      </c>
    </row>
    <row r="4523">
      <c r="A4523" s="4" t="inlineStr">
        <is>
          <t>28/09/2022</t>
        </is>
      </c>
      <c r="B4523" s="31" t="n">
        <v>85.06999999999999</v>
      </c>
    </row>
    <row r="4524">
      <c r="A4524" s="4" t="inlineStr">
        <is>
          <t>29/09/2022</t>
        </is>
      </c>
      <c r="B4524" s="31" t="n">
        <v>85.06</v>
      </c>
    </row>
    <row r="4525">
      <c r="A4525" s="4" t="inlineStr">
        <is>
          <t>30/09/2022</t>
        </is>
      </c>
      <c r="B4525" s="31" t="n">
        <v>85.23999999999999</v>
      </c>
    </row>
    <row r="4526">
      <c r="A4526" s="4" t="inlineStr">
        <is>
          <t>03/10/2022</t>
        </is>
      </c>
      <c r="B4526" s="31" t="n">
        <v>85.79000000000001</v>
      </c>
    </row>
    <row r="4527">
      <c r="A4527" s="4" t="inlineStr">
        <is>
          <t>04/10/2022</t>
        </is>
      </c>
      <c r="B4527" s="31" t="n">
        <v>84.90000000000001</v>
      </c>
    </row>
    <row r="4528">
      <c r="A4528" s="4" t="inlineStr">
        <is>
          <t>05/10/2022</t>
        </is>
      </c>
      <c r="B4528" s="31" t="n">
        <v>84.54000000000001</v>
      </c>
    </row>
    <row r="4529">
      <c r="A4529" s="4" t="inlineStr">
        <is>
          <t>06/10/2022</t>
        </is>
      </c>
      <c r="B4529" s="31" t="n">
        <v>84.67</v>
      </c>
    </row>
    <row r="4530">
      <c r="A4530" s="4" t="inlineStr">
        <is>
          <t>07/10/2022</t>
        </is>
      </c>
      <c r="B4530" s="31" t="n">
        <v>84.68000000000001</v>
      </c>
    </row>
    <row r="4531">
      <c r="A4531" s="4" t="inlineStr">
        <is>
          <t>10/10/2022</t>
        </is>
      </c>
      <c r="B4531" s="31" t="n">
        <v>85.14</v>
      </c>
    </row>
    <row r="4532">
      <c r="A4532" s="4" t="inlineStr">
        <is>
          <t>11/10/2022</t>
        </is>
      </c>
      <c r="B4532" s="31" t="n">
        <v>85.5</v>
      </c>
    </row>
    <row r="4533">
      <c r="A4533" s="4" t="inlineStr">
        <is>
          <t>13/10/2022</t>
        </is>
      </c>
      <c r="B4533" s="31" t="n">
        <v>86.06999999999999</v>
      </c>
    </row>
    <row r="4534">
      <c r="A4534" s="4" t="inlineStr">
        <is>
          <t>14/10/2022</t>
        </is>
      </c>
      <c r="B4534" s="31" t="n">
        <v>86.33</v>
      </c>
    </row>
    <row r="4535">
      <c r="A4535" s="4" t="inlineStr">
        <is>
          <t>17/10/2022</t>
        </is>
      </c>
      <c r="B4535" s="31" t="n">
        <v>86.52</v>
      </c>
    </row>
    <row r="4536">
      <c r="A4536" s="4" t="inlineStr">
        <is>
          <t>18/10/2022</t>
        </is>
      </c>
      <c r="B4536" s="31" t="n">
        <v>87.05</v>
      </c>
    </row>
    <row r="4537">
      <c r="A4537" s="4" t="inlineStr">
        <is>
          <t>19/10/2022</t>
        </is>
      </c>
      <c r="B4537" s="31" t="n">
        <v>87.08</v>
      </c>
    </row>
    <row r="4538">
      <c r="A4538" s="4" t="inlineStr">
        <is>
          <t>20/10/2022</t>
        </is>
      </c>
      <c r="B4538" s="31" t="n">
        <v>86.88</v>
      </c>
    </row>
    <row r="4539">
      <c r="A4539" s="4" t="inlineStr">
        <is>
          <t>21/10/2022</t>
        </is>
      </c>
      <c r="B4539" s="31" t="n">
        <v>86.95</v>
      </c>
    </row>
    <row r="4540">
      <c r="A4540" s="4" t="inlineStr">
        <is>
          <t>24/10/2022</t>
        </is>
      </c>
      <c r="B4540" s="31" t="n">
        <v>86.75</v>
      </c>
    </row>
    <row r="4541">
      <c r="A4541" s="4" t="inlineStr">
        <is>
          <t>25/10/2022</t>
        </is>
      </c>
      <c r="B4541" s="31" t="n">
        <v>86.56999999999999</v>
      </c>
    </row>
    <row r="4542">
      <c r="A4542" s="4" t="inlineStr">
        <is>
          <t>26/10/2022</t>
        </is>
      </c>
      <c r="B4542" s="31" t="n">
        <v>86.79000000000001</v>
      </c>
    </row>
    <row r="4543">
      <c r="A4543" s="4" t="inlineStr">
        <is>
          <t>27/10/2022</t>
        </is>
      </c>
      <c r="B4543" s="31" t="n">
        <v>87.02</v>
      </c>
    </row>
    <row r="4544">
      <c r="A4544" s="4" t="inlineStr">
        <is>
          <t>28/10/2022</t>
        </is>
      </c>
      <c r="B4544" s="31" t="n">
        <v>87.37</v>
      </c>
    </row>
    <row r="4545">
      <c r="A4545" s="4" t="inlineStr">
        <is>
          <t>31/10/2022</t>
        </is>
      </c>
      <c r="B4545" s="31" t="n">
        <v>87.02</v>
      </c>
    </row>
    <row r="4546">
      <c r="A4546" s="4" t="inlineStr">
        <is>
          <t>01/11/2022</t>
        </is>
      </c>
      <c r="B4546" s="31" t="n">
        <v>87.27</v>
      </c>
    </row>
    <row r="4547">
      <c r="A4547" s="4" t="inlineStr">
        <is>
          <t>03/11/2022</t>
        </is>
      </c>
      <c r="B4547" s="31" t="n">
        <v>86.91</v>
      </c>
    </row>
    <row r="4548">
      <c r="A4548" s="4" t="inlineStr">
        <is>
          <t>04/11/2022</t>
        </is>
      </c>
      <c r="B4548" s="31" t="n">
        <v>87.09999999999999</v>
      </c>
    </row>
    <row r="4549">
      <c r="A4549" s="4" t="inlineStr">
        <is>
          <t>07/11/2022</t>
        </is>
      </c>
      <c r="B4549" s="31" t="n">
        <v>87.34999999999999</v>
      </c>
    </row>
    <row r="4550">
      <c r="A4550" s="4" t="inlineStr">
        <is>
          <t>08/11/2022</t>
        </is>
      </c>
      <c r="B4550" s="31" t="n">
        <v>87.45999999999999</v>
      </c>
    </row>
    <row r="4551">
      <c r="A4551" s="4" t="inlineStr">
        <is>
          <t>09/11/2022</t>
        </is>
      </c>
      <c r="B4551" s="31" t="n">
        <v>86.91</v>
      </c>
    </row>
    <row r="4552">
      <c r="A4552" s="4" t="inlineStr">
        <is>
          <t>10/11/2022</t>
        </is>
      </c>
      <c r="B4552" s="31" t="n">
        <v>86.62</v>
      </c>
    </row>
    <row r="4553">
      <c r="A4553" s="4" t="inlineStr">
        <is>
          <t>11/11/2022</t>
        </is>
      </c>
      <c r="B4553" s="31" t="n">
        <v>85.86</v>
      </c>
    </row>
    <row r="4554">
      <c r="A4554" s="4" t="inlineStr">
        <is>
          <t>14/11/2022</t>
        </is>
      </c>
      <c r="B4554" s="31" t="n">
        <v>86.13</v>
      </c>
    </row>
    <row r="4555">
      <c r="A4555" s="4" t="inlineStr">
        <is>
          <t>16/11/2022</t>
        </is>
      </c>
      <c r="B4555" s="31" t="n">
        <v>85.81</v>
      </c>
    </row>
    <row r="4556">
      <c r="A4556" s="4" t="inlineStr">
        <is>
          <t>17/11/2022</t>
        </is>
      </c>
      <c r="B4556" s="31" t="n">
        <v>86.19</v>
      </c>
    </row>
    <row r="4557">
      <c r="A4557" s="4" t="inlineStr">
        <is>
          <t>18/11/2022</t>
        </is>
      </c>
      <c r="B4557" s="31" t="n">
        <v>86.92</v>
      </c>
    </row>
    <row r="4558">
      <c r="A4558" s="4" t="inlineStr">
        <is>
          <t>21/11/2022</t>
        </is>
      </c>
      <c r="B4558" s="31" t="n">
        <v>87.23999999999999</v>
      </c>
    </row>
    <row r="4559">
      <c r="A4559" s="4" t="inlineStr">
        <is>
          <t>22/11/2022</t>
        </is>
      </c>
      <c r="B4559" s="31" t="n">
        <v>87.34999999999999</v>
      </c>
    </row>
    <row r="4560">
      <c r="A4560" s="4" t="inlineStr">
        <is>
          <t>23/11/2022</t>
        </is>
      </c>
      <c r="B4560" s="31" t="n">
        <v>87.68000000000001</v>
      </c>
    </row>
    <row r="4561">
      <c r="A4561" s="4" t="inlineStr">
        <is>
          <t>24/11/2022</t>
        </is>
      </c>
      <c r="B4561" s="31" t="n">
        <v>88.05</v>
      </c>
    </row>
    <row r="4562">
      <c r="A4562" s="4" t="inlineStr">
        <is>
          <t>25/11/2022</t>
        </is>
      </c>
      <c r="B4562" s="31" t="n">
        <v>87.65000000000001</v>
      </c>
    </row>
    <row r="4563">
      <c r="A4563" s="4" t="inlineStr">
        <is>
          <t>28/11/2022</t>
        </is>
      </c>
      <c r="B4563" s="31" t="n">
        <v>88.14</v>
      </c>
    </row>
    <row r="4564">
      <c r="A4564" s="4" t="inlineStr">
        <is>
          <t>29/11/2022</t>
        </is>
      </c>
      <c r="B4564" s="31" t="n">
        <v>87.93000000000001</v>
      </c>
    </row>
    <row r="4565">
      <c r="A4565" s="4" t="inlineStr">
        <is>
          <t>30/11/2022</t>
        </is>
      </c>
      <c r="B4565" s="31" t="n">
        <v>88.38</v>
      </c>
    </row>
    <row r="4566">
      <c r="A4566" s="4" t="inlineStr">
        <is>
          <t>01/12/2022</t>
        </is>
      </c>
      <c r="B4566" s="31" t="n">
        <v>87.78</v>
      </c>
    </row>
    <row r="4567">
      <c r="A4567" s="4" t="inlineStr">
        <is>
          <t>02/12/2022</t>
        </is>
      </c>
      <c r="B4567" s="31" t="n">
        <v>87.81999999999999</v>
      </c>
    </row>
    <row r="4568">
      <c r="A4568" s="4" t="inlineStr">
        <is>
          <t>05/12/2022</t>
        </is>
      </c>
      <c r="B4568" s="31" t="n">
        <v>87.31999999999999</v>
      </c>
    </row>
    <row r="4569">
      <c r="A4569" s="4" t="inlineStr">
        <is>
          <t>06/12/2022</t>
        </is>
      </c>
      <c r="B4569" s="31" t="n">
        <v>87.89</v>
      </c>
    </row>
    <row r="4570">
      <c r="A4570" s="4" t="inlineStr">
        <is>
          <t>07/12/2022</t>
        </is>
      </c>
      <c r="B4570" s="31" t="n">
        <v>87.98</v>
      </c>
    </row>
    <row r="4571">
      <c r="A4571" s="4" t="inlineStr">
        <is>
          <t>08/12/2022</t>
        </is>
      </c>
      <c r="B4571" s="31" t="n">
        <v>87.68000000000001</v>
      </c>
    </row>
    <row r="4572">
      <c r="A4572" s="4" t="inlineStr">
        <is>
          <t>09/12/2022</t>
        </is>
      </c>
      <c r="B4572" s="31" t="n">
        <v>87.87</v>
      </c>
    </row>
    <row r="4573">
      <c r="A4573" s="4" t="inlineStr">
        <is>
          <t>12/12/2022</t>
        </is>
      </c>
      <c r="B4573" s="31" t="n">
        <v>87.94</v>
      </c>
    </row>
    <row r="4574">
      <c r="A4574" s="4" t="inlineStr">
        <is>
          <t>13/12/2022</t>
        </is>
      </c>
      <c r="B4574" s="31" t="n">
        <v>87.78</v>
      </c>
    </row>
    <row r="4575">
      <c r="A4575" s="4" t="inlineStr">
        <is>
          <t>14/12/2022</t>
        </is>
      </c>
      <c r="B4575" s="31" t="n">
        <v>87.56999999999999</v>
      </c>
    </row>
    <row r="4576">
      <c r="A4576" s="4" t="inlineStr">
        <is>
          <t>15/12/2022</t>
        </is>
      </c>
      <c r="B4576" s="31" t="n">
        <v>87.69</v>
      </c>
    </row>
    <row r="4577">
      <c r="A4577" s="4" t="inlineStr">
        <is>
          <t>16/12/2022</t>
        </is>
      </c>
      <c r="B4577" s="31" t="n">
        <v>88.23</v>
      </c>
    </row>
    <row r="4578">
      <c r="A4578" s="4" t="inlineStr">
        <is>
          <t>19/12/2022</t>
        </is>
      </c>
      <c r="B4578" s="31" t="n">
        <v>87.84</v>
      </c>
    </row>
    <row r="4579">
      <c r="A4579" s="4" t="inlineStr">
        <is>
          <t>20/12/2022</t>
        </is>
      </c>
      <c r="B4579" s="31" t="n">
        <v>87.76000000000001</v>
      </c>
    </row>
    <row r="4580">
      <c r="A4580" s="4" t="inlineStr">
        <is>
          <t>21/12/2022</t>
        </is>
      </c>
      <c r="B4580" s="31" t="n">
        <v>87.59999999999999</v>
      </c>
    </row>
    <row r="4581">
      <c r="A4581" s="4" t="inlineStr">
        <is>
          <t>22/12/2022</t>
        </is>
      </c>
      <c r="B4581" s="31" t="n">
        <v>87.36</v>
      </c>
    </row>
    <row r="4582">
      <c r="A4582" s="4" t="inlineStr">
        <is>
          <t>23/12/2022</t>
        </is>
      </c>
      <c r="B4582" s="31" t="n">
        <v>87.58</v>
      </c>
    </row>
    <row r="4583">
      <c r="A4583" s="4" t="inlineStr">
        <is>
          <t>26/12/2022</t>
        </is>
      </c>
      <c r="B4583" s="31" t="n">
        <v>87.56999999999999</v>
      </c>
    </row>
    <row r="4584">
      <c r="A4584" s="4" t="inlineStr">
        <is>
          <t>27/12/2022</t>
        </is>
      </c>
      <c r="B4584" s="31" t="n">
        <v>88.41</v>
      </c>
    </row>
    <row r="4585">
      <c r="A4585" s="4" t="inlineStr">
        <is>
          <t>28/12/2022</t>
        </is>
      </c>
      <c r="B4585" s="31" t="n">
        <v>88.20999999999999</v>
      </c>
    </row>
    <row r="4586">
      <c r="A4586" s="4" t="inlineStr">
        <is>
          <t>29/12/2022</t>
        </is>
      </c>
      <c r="B4586" s="31" t="n">
        <v>87.86</v>
      </c>
    </row>
    <row r="4587">
      <c r="A4587" s="4" t="inlineStr">
        <is>
          <t>02/01/2023</t>
        </is>
      </c>
      <c r="B4587" s="31" t="n">
        <v>87.69</v>
      </c>
    </row>
    <row r="4588">
      <c r="A4588" s="4" t="inlineStr">
        <is>
          <t>03/01/2023</t>
        </is>
      </c>
      <c r="B4588" s="31" t="n">
        <v>87.67</v>
      </c>
    </row>
    <row r="4589">
      <c r="A4589" s="4" t="inlineStr">
        <is>
          <t>04/01/2023</t>
        </is>
      </c>
      <c r="B4589" s="31" t="n">
        <v>87.95999999999999</v>
      </c>
    </row>
    <row r="4590">
      <c r="A4590" s="4" t="inlineStr">
        <is>
          <t>05/01/2023</t>
        </is>
      </c>
      <c r="B4590" s="31" t="n">
        <v>89.34999999999999</v>
      </c>
    </row>
    <row r="4591">
      <c r="A4591" s="4" t="inlineStr">
        <is>
          <t>06/01/2023</t>
        </is>
      </c>
      <c r="B4591" s="31" t="n">
        <v>89.13</v>
      </c>
    </row>
    <row r="4592">
      <c r="A4592" s="4" t="inlineStr">
        <is>
          <t>09/01/2023</t>
        </is>
      </c>
      <c r="B4592" s="31" t="n">
        <v>88.89</v>
      </c>
    </row>
    <row r="4593">
      <c r="A4593" s="4" t="inlineStr">
        <is>
          <t>10/01/2023</t>
        </is>
      </c>
      <c r="B4593" s="31" t="n">
        <v>88.95999999999999</v>
      </c>
    </row>
    <row r="4594">
      <c r="A4594" s="4" t="inlineStr">
        <is>
          <t>11/01/2023</t>
        </is>
      </c>
      <c r="B4594" s="31" t="n">
        <v>88.81</v>
      </c>
    </row>
    <row r="4595">
      <c r="A4595" s="4" t="inlineStr">
        <is>
          <t>12/01/2023</t>
        </is>
      </c>
      <c r="B4595" s="31" t="n">
        <v>88.48</v>
      </c>
    </row>
    <row r="4596">
      <c r="A4596" s="4" t="inlineStr">
        <is>
          <t>13/01/2023</t>
        </is>
      </c>
      <c r="B4596" s="31" t="n">
        <v>88.48999999999999</v>
      </c>
    </row>
    <row r="4597">
      <c r="A4597" s="4" t="inlineStr">
        <is>
          <t>16/01/2023</t>
        </is>
      </c>
      <c r="B4597" s="31" t="n">
        <v>88</v>
      </c>
    </row>
    <row r="4598">
      <c r="A4598" s="4" t="inlineStr">
        <is>
          <t>17/01/2023</t>
        </is>
      </c>
      <c r="B4598" s="31" t="n">
        <v>87.79000000000001</v>
      </c>
    </row>
    <row r="4599">
      <c r="A4599" s="4" t="inlineStr">
        <is>
          <t>18/01/2023</t>
        </is>
      </c>
      <c r="B4599" s="31" t="n">
        <v>87.5</v>
      </c>
    </row>
    <row r="4600">
      <c r="A4600" s="4" t="inlineStr">
        <is>
          <t>19/01/2023</t>
        </is>
      </c>
      <c r="B4600" s="31" t="n">
        <v>86.97</v>
      </c>
    </row>
    <row r="4601">
      <c r="A4601" s="4" t="inlineStr">
        <is>
          <t>20/01/2023</t>
        </is>
      </c>
      <c r="B4601" s="31" t="n">
        <v>86.92</v>
      </c>
    </row>
    <row r="4602">
      <c r="A4602" s="4" t="inlineStr">
        <is>
          <t>23/01/2023</t>
        </is>
      </c>
      <c r="B4602" s="31" t="n">
        <v>87.02</v>
      </c>
    </row>
    <row r="4603">
      <c r="A4603" s="4" t="inlineStr">
        <is>
          <t>24/01/2023</t>
        </is>
      </c>
      <c r="B4603" s="31" t="n">
        <v>86.76000000000001</v>
      </c>
    </row>
    <row r="4604">
      <c r="A4604" s="4" t="inlineStr">
        <is>
          <t>25/01/2023</t>
        </is>
      </c>
      <c r="B4604" s="31" t="n">
        <v>86.81</v>
      </c>
    </row>
    <row r="4605">
      <c r="A4605" s="4" t="inlineStr">
        <is>
          <t>26/01/2023</t>
        </is>
      </c>
      <c r="B4605" s="31" t="n">
        <v>86.45999999999999</v>
      </c>
    </row>
    <row r="4606">
      <c r="A4606" s="4" t="inlineStr">
        <is>
          <t>27/01/2023</t>
        </is>
      </c>
      <c r="B4606" s="31" t="n">
        <v>86.31999999999999</v>
      </c>
    </row>
    <row r="4607">
      <c r="A4607" s="4" t="inlineStr">
        <is>
          <t>30/01/2023</t>
        </is>
      </c>
      <c r="B4607" s="31" t="n">
        <v>86.53</v>
      </c>
    </row>
    <row r="4608">
      <c r="A4608" s="4" t="inlineStr">
        <is>
          <t>31/01/2023</t>
        </is>
      </c>
      <c r="B4608" s="31" t="n">
        <v>87.08</v>
      </c>
    </row>
    <row r="4609">
      <c r="A4609" s="4" t="inlineStr">
        <is>
          <t>01/02/2023</t>
        </is>
      </c>
      <c r="B4609" s="31" t="n">
        <v>87.41</v>
      </c>
    </row>
    <row r="4610">
      <c r="A4610" s="4" t="inlineStr">
        <is>
          <t>02/02/2023</t>
        </is>
      </c>
      <c r="B4610" s="31" t="n">
        <v>86.67</v>
      </c>
    </row>
    <row r="4611">
      <c r="A4611" s="4" t="inlineStr">
        <is>
          <t>03/02/2023</t>
        </is>
      </c>
      <c r="B4611" s="31" t="n">
        <v>86.61</v>
      </c>
    </row>
    <row r="4612">
      <c r="A4612" s="4" t="inlineStr">
        <is>
          <t>06/02/2023</t>
        </is>
      </c>
      <c r="B4612" s="31" t="n">
        <v>86.76000000000001</v>
      </c>
    </row>
    <row r="4613">
      <c r="A4613" s="4" t="inlineStr">
        <is>
          <t>07/02/2023</t>
        </is>
      </c>
      <c r="B4613" s="31" t="n">
        <v>86.5</v>
      </c>
    </row>
    <row r="4614">
      <c r="A4614" s="4" t="inlineStr">
        <is>
          <t>08/02/2023</t>
        </is>
      </c>
      <c r="B4614" s="31" t="n">
        <v>86.53</v>
      </c>
    </row>
    <row r="4615">
      <c r="A4615" s="4" t="inlineStr">
        <is>
          <t>09/02/2023</t>
        </is>
      </c>
      <c r="B4615" s="31" t="n">
        <v>87.61</v>
      </c>
    </row>
    <row r="4616">
      <c r="A4616" s="4" t="inlineStr">
        <is>
          <t>10/02/2023</t>
        </is>
      </c>
      <c r="B4616" s="31" t="n">
        <v>87.68000000000001</v>
      </c>
    </row>
    <row r="4617">
      <c r="A4617" s="4" t="inlineStr">
        <is>
          <t>13/02/2023</t>
        </is>
      </c>
      <c r="B4617" s="31" t="n">
        <v>87.51000000000001</v>
      </c>
    </row>
    <row r="4618">
      <c r="A4618" s="4" t="inlineStr">
        <is>
          <t>14/02/2023</t>
        </is>
      </c>
      <c r="B4618" s="31" t="n">
        <v>87.92</v>
      </c>
    </row>
    <row r="4619">
      <c r="A4619" s="4" t="inlineStr">
        <is>
          <t>15/02/2023</t>
        </is>
      </c>
      <c r="B4619" s="31" t="n">
        <v>87.70999999999999</v>
      </c>
    </row>
    <row r="4620">
      <c r="A4620" s="4" t="inlineStr">
        <is>
          <t>16/02/2023</t>
        </is>
      </c>
      <c r="B4620" s="31" t="n">
        <v>87.90000000000001</v>
      </c>
    </row>
    <row r="4621">
      <c r="A4621" s="4" t="inlineStr">
        <is>
          <t>17/02/2023</t>
        </is>
      </c>
      <c r="B4621" s="31" t="n">
        <v>87.38</v>
      </c>
    </row>
    <row r="4622">
      <c r="A4622" s="4" t="inlineStr">
        <is>
          <t>22/02/2023</t>
        </is>
      </c>
      <c r="B4622" s="31" t="n">
        <v>87.70999999999999</v>
      </c>
    </row>
    <row r="4623">
      <c r="A4623" s="4" t="inlineStr">
        <is>
          <t>23/02/2023</t>
        </is>
      </c>
      <c r="B4623" s="31" t="n">
        <v>87.88</v>
      </c>
    </row>
    <row r="4624">
      <c r="A4624" s="4" t="inlineStr">
        <is>
          <t>24/02/2023</t>
        </is>
      </c>
      <c r="B4624" s="31" t="n">
        <v>87.48</v>
      </c>
    </row>
    <row r="4625">
      <c r="A4625" s="4" t="inlineStr">
        <is>
          <t>27/02/2023</t>
        </is>
      </c>
      <c r="B4625" s="31" t="n">
        <v>88.06</v>
      </c>
    </row>
    <row r="4626">
      <c r="A4626" s="4" t="inlineStr">
        <is>
          <t>28/02/2023</t>
        </is>
      </c>
      <c r="B4626" s="31" t="n">
        <v>87.73</v>
      </c>
    </row>
    <row r="4627">
      <c r="A4627" s="4" t="inlineStr">
        <is>
          <t>01/03/2023</t>
        </is>
      </c>
      <c r="B4627" s="31" t="n">
        <v>87.72</v>
      </c>
    </row>
    <row r="4628">
      <c r="A4628" s="4" t="inlineStr">
        <is>
          <t>02/03/2023</t>
        </is>
      </c>
      <c r="B4628" s="31" t="n">
        <v>87.98</v>
      </c>
    </row>
    <row r="4629">
      <c r="A4629" s="4" t="inlineStr">
        <is>
          <t>03/03/2023</t>
        </is>
      </c>
      <c r="B4629" s="31" t="n">
        <v>87.83</v>
      </c>
    </row>
    <row r="4630">
      <c r="A4630" s="4" t="inlineStr">
        <is>
          <t>06/03/2023</t>
        </is>
      </c>
      <c r="B4630" s="31" t="n">
        <v>87.76000000000001</v>
      </c>
    </row>
    <row r="4631">
      <c r="A4631" s="4" t="inlineStr">
        <is>
          <t>07/03/2023</t>
        </is>
      </c>
      <c r="B4631" s="31" t="n">
        <v>87.45</v>
      </c>
    </row>
    <row r="4632">
      <c r="A4632" s="4" t="inlineStr">
        <is>
          <t>08/03/2023</t>
        </is>
      </c>
      <c r="B4632" s="31" t="n">
        <v>87.64</v>
      </c>
    </row>
    <row r="4633">
      <c r="A4633" s="4" t="inlineStr">
        <is>
          <t>09/03/2023</t>
        </is>
      </c>
      <c r="B4633" s="31" t="n">
        <v>87.06999999999999</v>
      </c>
    </row>
    <row r="4634">
      <c r="A4634" s="4" t="inlineStr">
        <is>
          <t>10/03/2023</t>
        </is>
      </c>
      <c r="B4634" s="31" t="n">
        <v>86.92</v>
      </c>
    </row>
    <row r="4635">
      <c r="A4635" s="4" t="inlineStr">
        <is>
          <t>13/03/2023</t>
        </is>
      </c>
      <c r="B4635" s="31" t="n">
        <v>87.20999999999999</v>
      </c>
    </row>
    <row r="4636">
      <c r="A4636" s="4" t="inlineStr">
        <is>
          <t>14/03/2023</t>
        </is>
      </c>
      <c r="B4636" s="31" t="n">
        <v>87.02</v>
      </c>
    </row>
    <row r="4637">
      <c r="A4637" s="4" t="inlineStr">
        <is>
          <t>15/03/2023</t>
        </is>
      </c>
      <c r="B4637" s="31" t="n">
        <v>87.09</v>
      </c>
    </row>
    <row r="4638">
      <c r="A4638" s="4" t="inlineStr">
        <is>
          <t>16/03/2023</t>
        </is>
      </c>
      <c r="B4638" s="31" t="n">
        <v>86.97</v>
      </c>
    </row>
    <row r="4639">
      <c r="A4639" s="4" t="inlineStr">
        <is>
          <t>17/03/2023</t>
        </is>
      </c>
      <c r="B4639" s="31" t="n">
        <v>86.84</v>
      </c>
    </row>
    <row r="4640">
      <c r="A4640" s="4" t="inlineStr">
        <is>
          <t>20/03/2023</t>
        </is>
      </c>
      <c r="B4640" s="31" t="n">
        <v>86.23999999999999</v>
      </c>
    </row>
    <row r="4641">
      <c r="A4641" s="4" t="inlineStr">
        <is>
          <t>21/03/2023</t>
        </is>
      </c>
      <c r="B4641" s="31" t="n">
        <v>86.04000000000001</v>
      </c>
    </row>
    <row r="4642">
      <c r="A4642" s="4" t="inlineStr">
        <is>
          <t>22/03/2023</t>
        </is>
      </c>
      <c r="B4642" s="31" t="n">
        <v>85.94</v>
      </c>
    </row>
    <row r="4643">
      <c r="A4643" s="4" t="inlineStr">
        <is>
          <t>23/03/2023</t>
        </is>
      </c>
      <c r="B4643" s="31" t="n">
        <v>85.48</v>
      </c>
    </row>
    <row r="4644">
      <c r="A4644" s="4" t="inlineStr">
        <is>
          <t>24/03/2023</t>
        </is>
      </c>
      <c r="B4644" s="31" t="n">
        <v>85.76000000000001</v>
      </c>
    </row>
    <row r="4645">
      <c r="A4645" s="4" t="inlineStr">
        <is>
          <t>27/03/2023</t>
        </is>
      </c>
      <c r="B4645" s="31" t="n">
        <v>85.56999999999999</v>
      </c>
    </row>
    <row r="4646">
      <c r="A4646" s="4" t="inlineStr">
        <is>
          <t>28/03/2023</t>
        </is>
      </c>
      <c r="B4646" s="31" t="n">
        <v>84.95</v>
      </c>
    </row>
    <row r="4647">
      <c r="A4647" s="4" t="inlineStr">
        <is>
          <t>29/03/2023</t>
        </is>
      </c>
      <c r="B4647" s="31" t="n">
        <v>84.73</v>
      </c>
    </row>
    <row r="4648">
      <c r="A4648" s="4" t="inlineStr">
        <is>
          <t>30/03/2023</t>
        </is>
      </c>
      <c r="B4648" s="31" t="n">
        <v>84.45</v>
      </c>
    </row>
    <row r="4649">
      <c r="A4649" s="4" t="inlineStr">
        <is>
          <t>31/03/2023</t>
        </is>
      </c>
      <c r="B4649" s="31" t="n">
        <v>84.15000000000001</v>
      </c>
    </row>
    <row r="4650">
      <c r="A4650" s="4" t="inlineStr">
        <is>
          <t>03/04/2023</t>
        </is>
      </c>
      <c r="B4650" s="31" t="n">
        <v>84.75</v>
      </c>
    </row>
    <row r="4651">
      <c r="A4651" s="4" t="inlineStr">
        <is>
          <t>04/04/2023</t>
        </is>
      </c>
      <c r="B4651" s="31" t="n">
        <v>83.43000000000001</v>
      </c>
    </row>
    <row r="4652">
      <c r="A4652" s="4" t="inlineStr">
        <is>
          <t>05/04/2023</t>
        </is>
      </c>
      <c r="B4652" s="31" t="n">
        <v>83.19</v>
      </c>
    </row>
    <row r="4653">
      <c r="A4653" s="4" t="inlineStr">
        <is>
          <t>06/04/2023</t>
        </is>
      </c>
      <c r="B4653" s="31" t="n">
        <v>82.53</v>
      </c>
    </row>
    <row r="4654">
      <c r="A4654" s="4" t="inlineStr">
        <is>
          <t>10/04/2023</t>
        </is>
      </c>
      <c r="B4654" s="31" t="n">
        <v>81.65000000000001</v>
      </c>
    </row>
    <row r="4655">
      <c r="A4655" s="4" t="inlineStr">
        <is>
          <t>11/04/2023</t>
        </is>
      </c>
      <c r="B4655" s="31" t="n">
        <v>80.56999999999999</v>
      </c>
    </row>
    <row r="4656">
      <c r="A4656" s="4" t="inlineStr">
        <is>
          <t>12/04/2023</t>
        </is>
      </c>
      <c r="B4656" s="31" t="n">
        <v>79.87</v>
      </c>
    </row>
    <row r="4657">
      <c r="A4657" s="4" t="inlineStr">
        <is>
          <t>13/04/2023</t>
        </is>
      </c>
      <c r="B4657" s="31" t="n">
        <v>79.06999999999999</v>
      </c>
    </row>
    <row r="4658">
      <c r="A4658" s="4" t="inlineStr">
        <is>
          <t>14/04/2023</t>
        </is>
      </c>
      <c r="B4658" s="31" t="n">
        <v>78.15000000000001</v>
      </c>
    </row>
    <row r="4659">
      <c r="A4659" s="4" t="inlineStr">
        <is>
          <t>17/04/2023</t>
        </is>
      </c>
      <c r="B4659" s="31" t="n">
        <v>77.43000000000001</v>
      </c>
    </row>
    <row r="4660">
      <c r="A4660" s="4" t="inlineStr">
        <is>
          <t>18/04/2023</t>
        </is>
      </c>
      <c r="B4660" s="31" t="n">
        <v>76.03</v>
      </c>
    </row>
    <row r="4661">
      <c r="A4661" s="4" t="inlineStr">
        <is>
          <t>19/04/2023</t>
        </is>
      </c>
      <c r="B4661" s="31" t="n">
        <v>74.83</v>
      </c>
    </row>
    <row r="4662">
      <c r="A4662" s="4" t="inlineStr">
        <is>
          <t>20/04/2023</t>
        </is>
      </c>
      <c r="B4662" s="31" t="n">
        <v>72.61</v>
      </c>
    </row>
    <row r="4663">
      <c r="A4663" s="4" t="inlineStr">
        <is>
          <t>24/04/2023</t>
        </is>
      </c>
      <c r="B4663" s="31" t="n">
        <v>72.11</v>
      </c>
    </row>
    <row r="4664">
      <c r="A4664" s="4" t="inlineStr">
        <is>
          <t>25/04/2023</t>
        </is>
      </c>
      <c r="B4664" s="31" t="n">
        <v>71.73999999999999</v>
      </c>
    </row>
    <row r="4665">
      <c r="A4665" s="4" t="inlineStr">
        <is>
          <t>26/04/2023</t>
        </is>
      </c>
      <c r="B4665" s="31" t="n">
        <v>70.64</v>
      </c>
    </row>
    <row r="4666">
      <c r="A4666" s="4" t="inlineStr">
        <is>
          <t>27/04/2023</t>
        </is>
      </c>
      <c r="B4666" s="31" t="n">
        <v>69.64</v>
      </c>
    </row>
    <row r="4667">
      <c r="A4667" s="4" t="inlineStr">
        <is>
          <t>28/04/2023</t>
        </is>
      </c>
      <c r="B4667" s="31" t="n">
        <v>67.48</v>
      </c>
    </row>
    <row r="4668">
      <c r="A4668" s="4" t="inlineStr">
        <is>
          <t>02/05/2023</t>
        </is>
      </c>
      <c r="B4668" s="31" t="n">
        <v>67.58</v>
      </c>
    </row>
    <row r="4669">
      <c r="A4669" s="4" t="inlineStr">
        <is>
          <t>03/05/2023</t>
        </is>
      </c>
      <c r="B4669" s="31" t="n">
        <v>67.20999999999999</v>
      </c>
    </row>
    <row r="4670">
      <c r="A4670" s="4" t="inlineStr">
        <is>
          <t>04/05/2023</t>
        </is>
      </c>
      <c r="B4670" s="31" t="n">
        <v>65.84999999999999</v>
      </c>
    </row>
    <row r="4671">
      <c r="A4671" s="4" t="inlineStr">
        <is>
          <t>05/05/2023</t>
        </is>
      </c>
      <c r="B4671" s="31" t="n">
        <v>65.3</v>
      </c>
    </row>
    <row r="4672">
      <c r="A4672" s="4" t="inlineStr">
        <is>
          <t>08/05/2023</t>
        </is>
      </c>
      <c r="B4672" s="31" t="n">
        <v>64.7</v>
      </c>
    </row>
    <row r="4673">
      <c r="A4673" s="4" t="inlineStr">
        <is>
          <t>09/05/2023</t>
        </is>
      </c>
      <c r="B4673" s="31" t="n">
        <v>63.35</v>
      </c>
    </row>
    <row r="4674">
      <c r="A4674" s="4" t="inlineStr">
        <is>
          <t>10/05/2023</t>
        </is>
      </c>
      <c r="B4674" s="31" t="n">
        <v>63</v>
      </c>
    </row>
    <row r="4675">
      <c r="A4675" s="4" t="inlineStr">
        <is>
          <t>11/05/2023</t>
        </is>
      </c>
      <c r="B4675" s="31" t="n">
        <v>61.49</v>
      </c>
    </row>
    <row r="4676">
      <c r="A4676" s="4" t="inlineStr">
        <is>
          <t>12/05/2023</t>
        </is>
      </c>
      <c r="B4676" s="31" t="n">
        <v>61.6</v>
      </c>
    </row>
    <row r="4677">
      <c r="A4677" s="4" t="inlineStr">
        <is>
          <t>15/05/2023</t>
        </is>
      </c>
      <c r="B4677" s="31" t="n">
        <v>61.64</v>
      </c>
    </row>
    <row r="4678">
      <c r="A4678" s="4" t="inlineStr">
        <is>
          <t>16/05/2023</t>
        </is>
      </c>
      <c r="B4678" s="31" t="n">
        <v>61.65</v>
      </c>
    </row>
    <row r="4679">
      <c r="A4679" s="4" t="inlineStr">
        <is>
          <t>17/05/2023</t>
        </is>
      </c>
      <c r="B4679" s="31" t="n">
        <v>60.17</v>
      </c>
    </row>
    <row r="4680">
      <c r="A4680" s="4" t="inlineStr">
        <is>
          <t>18/05/2023</t>
        </is>
      </c>
      <c r="B4680" s="31" t="n">
        <v>59.21</v>
      </c>
    </row>
    <row r="4681">
      <c r="A4681" s="4" t="inlineStr">
        <is>
          <t>19/05/2023</t>
        </is>
      </c>
      <c r="B4681" s="31" t="n">
        <v>58.72</v>
      </c>
    </row>
    <row r="4682">
      <c r="A4682" s="4" t="inlineStr">
        <is>
          <t>22/05/2023</t>
        </is>
      </c>
      <c r="B4682" s="31" t="n">
        <v>58.5</v>
      </c>
    </row>
    <row r="4683">
      <c r="A4683" s="4" t="inlineStr">
        <is>
          <t>23/05/2023</t>
        </is>
      </c>
      <c r="B4683" s="31" t="n">
        <v>57.79</v>
      </c>
    </row>
    <row r="4684">
      <c r="A4684" s="4" t="inlineStr">
        <is>
          <t>24/05/2023</t>
        </is>
      </c>
      <c r="B4684" s="31" t="n">
        <v>57.17</v>
      </c>
    </row>
    <row r="4685">
      <c r="A4685" s="4" t="inlineStr">
        <is>
          <t>25/05/2023</t>
        </is>
      </c>
      <c r="B4685" s="31" t="n">
        <v>57.63</v>
      </c>
    </row>
    <row r="4686">
      <c r="A4686" s="4" t="inlineStr">
        <is>
          <t>26/05/2023</t>
        </is>
      </c>
      <c r="B4686" s="31" t="n">
        <v>57.44</v>
      </c>
    </row>
    <row r="4687">
      <c r="A4687" s="4" t="inlineStr">
        <is>
          <t>29/05/2023</t>
        </is>
      </c>
      <c r="B4687" s="31" t="n">
        <v>57.45</v>
      </c>
    </row>
    <row r="4688">
      <c r="A4688" s="4" t="inlineStr">
        <is>
          <t>30/05/2023</t>
        </is>
      </c>
      <c r="B4688" s="31" t="n">
        <v>56.86</v>
      </c>
    </row>
    <row r="4689">
      <c r="A4689" s="4" t="inlineStr">
        <is>
          <t>31/05/2023</t>
        </is>
      </c>
      <c r="B4689" s="31" t="n">
        <v>56.34</v>
      </c>
    </row>
    <row r="4690">
      <c r="A4690" s="4" t="inlineStr">
        <is>
          <t>01/06/2023</t>
        </is>
      </c>
      <c r="B4690" s="31" t="n">
        <v>57.59</v>
      </c>
    </row>
    <row r="4691">
      <c r="A4691" s="4" t="inlineStr">
        <is>
          <t>02/06/2023</t>
        </is>
      </c>
      <c r="B4691" s="31" t="n">
        <v>57.39</v>
      </c>
    </row>
    <row r="4692">
      <c r="A4692" s="4" t="inlineStr">
        <is>
          <t>05/06/2023</t>
        </is>
      </c>
      <c r="B4692" s="31" t="n">
        <v>57.3</v>
      </c>
    </row>
    <row r="4693">
      <c r="A4693" s="4" t="inlineStr">
        <is>
          <t>06/06/2023</t>
        </is>
      </c>
      <c r="B4693" s="31" t="n">
        <v>57.77</v>
      </c>
    </row>
    <row r="4694">
      <c r="A4694" s="4" t="inlineStr">
        <is>
          <t>07/06/2023</t>
        </is>
      </c>
      <c r="B4694" s="31" t="n">
        <v>57.39</v>
      </c>
    </row>
    <row r="4695">
      <c r="A4695" s="4" t="inlineStr">
        <is>
          <t>09/06/2023</t>
        </is>
      </c>
      <c r="B4695" s="31" t="n">
        <v>57.4</v>
      </c>
    </row>
    <row r="4696">
      <c r="A4696" s="4" t="inlineStr">
        <is>
          <t>12/06/2023</t>
        </is>
      </c>
      <c r="B4696" s="31" t="n">
        <v>57.45</v>
      </c>
    </row>
    <row r="4697">
      <c r="A4697" s="4" t="inlineStr">
        <is>
          <t>13/06/2023</t>
        </is>
      </c>
      <c r="B4697" s="31" t="n">
        <v>57.77</v>
      </c>
    </row>
    <row r="4698">
      <c r="A4698" s="4" t="inlineStr">
        <is>
          <t>14/06/2023</t>
        </is>
      </c>
      <c r="B4698" s="31" t="n">
        <v>58.05</v>
      </c>
    </row>
    <row r="4699">
      <c r="A4699" s="4" t="inlineStr">
        <is>
          <t>15/06/2023</t>
        </is>
      </c>
      <c r="B4699" s="31" t="n">
        <v>58.07</v>
      </c>
    </row>
    <row r="4700">
      <c r="A4700" s="4" t="inlineStr">
        <is>
          <t>16/06/2023</t>
        </is>
      </c>
      <c r="B4700" s="31" t="n">
        <v>58.08</v>
      </c>
    </row>
    <row r="4701">
      <c r="A4701" s="4" t="inlineStr">
        <is>
          <t>19/06/2023</t>
        </is>
      </c>
      <c r="B4701" s="31" t="n">
        <v>58.19</v>
      </c>
    </row>
    <row r="4702">
      <c r="A4702" s="4" t="inlineStr">
        <is>
          <t>20/06/2023</t>
        </is>
      </c>
      <c r="B4702" s="31" t="n">
        <v>58.58</v>
      </c>
    </row>
    <row r="4703">
      <c r="A4703" s="4" t="inlineStr">
        <is>
          <t>21/06/2023</t>
        </is>
      </c>
      <c r="B4703" s="31" t="n">
        <v>59.32</v>
      </c>
    </row>
    <row r="4704">
      <c r="A4704" s="4" t="inlineStr">
        <is>
          <t>22/06/2023</t>
        </is>
      </c>
      <c r="B4704" s="31" t="n">
        <v>60.97</v>
      </c>
    </row>
    <row r="4705">
      <c r="A4705" s="4" t="inlineStr">
        <is>
          <t>23/06/2023</t>
        </is>
      </c>
      <c r="B4705" s="31" t="n">
        <v>61.28</v>
      </c>
    </row>
    <row r="4706">
      <c r="A4706" s="4" t="inlineStr">
        <is>
          <t>26/06/2023</t>
        </is>
      </c>
      <c r="B4706" s="31" t="n">
        <v>61.34</v>
      </c>
    </row>
    <row r="4707">
      <c r="A4707" s="4" t="inlineStr">
        <is>
          <t>27/06/2023</t>
        </is>
      </c>
      <c r="B4707" s="31" t="n">
        <v>61.61</v>
      </c>
    </row>
    <row r="4708">
      <c r="A4708" s="4" t="inlineStr">
        <is>
          <t>28/06/2023</t>
        </is>
      </c>
      <c r="B4708" s="31" t="n">
        <v>60.21</v>
      </c>
    </row>
    <row r="4709">
      <c r="A4709" s="4" t="inlineStr">
        <is>
          <t>29/06/2023</t>
        </is>
      </c>
      <c r="B4709" s="31" t="n">
        <v>59.96</v>
      </c>
    </row>
    <row r="4710">
      <c r="A4710" s="4" t="inlineStr">
        <is>
          <t>30/06/2023</t>
        </is>
      </c>
      <c r="B4710" s="31" t="n">
        <v>59.15</v>
      </c>
    </row>
    <row r="4711">
      <c r="A4711" s="4" t="inlineStr">
        <is>
          <t>03/07/2023</t>
        </is>
      </c>
      <c r="B4711" s="31" t="n">
        <v>59.76</v>
      </c>
    </row>
    <row r="4712">
      <c r="A4712" s="4" t="inlineStr">
        <is>
          <t>04/07/2023</t>
        </is>
      </c>
      <c r="B4712" s="31" t="n">
        <v>59.92</v>
      </c>
    </row>
    <row r="4713">
      <c r="A4713" s="4" t="inlineStr">
        <is>
          <t>05/07/2023</t>
        </is>
      </c>
      <c r="B4713" s="31" t="n">
        <v>60.39</v>
      </c>
    </row>
    <row r="4714">
      <c r="A4714" s="4" t="inlineStr">
        <is>
          <t>06/07/2023</t>
        </is>
      </c>
      <c r="B4714" s="31" t="n">
        <v>59.56</v>
      </c>
    </row>
    <row r="4715">
      <c r="A4715" s="4" t="inlineStr">
        <is>
          <t>07/07/2023</t>
        </is>
      </c>
      <c r="B4715" s="31" t="n">
        <v>60.13</v>
      </c>
    </row>
    <row r="4716">
      <c r="A4716" s="4" t="inlineStr">
        <is>
          <t>10/07/2023</t>
        </is>
      </c>
      <c r="B4716" s="31" t="n">
        <v>60.04</v>
      </c>
    </row>
    <row r="4717">
      <c r="A4717" s="4" t="inlineStr">
        <is>
          <t>11/07/2023</t>
        </is>
      </c>
      <c r="B4717" s="31" t="n">
        <v>59.45</v>
      </c>
    </row>
    <row r="4718">
      <c r="A4718" s="4" t="inlineStr">
        <is>
          <t>12/07/2023</t>
        </is>
      </c>
      <c r="B4718" s="31" t="n">
        <v>59.5</v>
      </c>
    </row>
    <row r="4719">
      <c r="A4719" s="4" t="inlineStr">
        <is>
          <t>13/07/2023</t>
        </is>
      </c>
      <c r="B4719" s="31" t="n">
        <v>58.18</v>
      </c>
    </row>
    <row r="4720">
      <c r="A4720" s="4" t="inlineStr">
        <is>
          <t>14/07/2023</t>
        </is>
      </c>
      <c r="B4720" s="31" t="n">
        <v>58.41</v>
      </c>
    </row>
    <row r="4721">
      <c r="A4721" s="4" t="inlineStr">
        <is>
          <t>17/07/2023</t>
        </is>
      </c>
      <c r="B4721" s="31" t="n">
        <v>58.67</v>
      </c>
    </row>
    <row r="4722">
      <c r="A4722" s="4" t="inlineStr">
        <is>
          <t>18/07/2023</t>
        </is>
      </c>
      <c r="B4722" s="31" t="n">
        <v>58.72</v>
      </c>
    </row>
    <row r="4723">
      <c r="A4723" s="4" t="inlineStr">
        <is>
          <t>19/07/2023</t>
        </is>
      </c>
      <c r="B4723" s="31" t="n">
        <v>59.23</v>
      </c>
    </row>
    <row r="4724">
      <c r="A4724" s="4" t="inlineStr">
        <is>
          <t>20/07/2023</t>
        </is>
      </c>
      <c r="B4724" s="31" t="n">
        <v>58.84</v>
      </c>
    </row>
    <row r="4725">
      <c r="A4725" s="4" t="inlineStr">
        <is>
          <t>21/07/2023</t>
        </is>
      </c>
      <c r="B4725" s="31" t="n">
        <v>57.83</v>
      </c>
    </row>
    <row r="4726">
      <c r="A4726" s="4" t="inlineStr">
        <is>
          <t>24/07/2023</t>
        </is>
      </c>
      <c r="B4726" s="31" t="n">
        <v>59.25</v>
      </c>
    </row>
    <row r="4727">
      <c r="A4727" s="4" t="inlineStr">
        <is>
          <t>25/07/2023</t>
        </is>
      </c>
      <c r="B4727" s="31" t="n">
        <v>59.49</v>
      </c>
    </row>
    <row r="4728">
      <c r="A4728" s="4" t="inlineStr">
        <is>
          <t>26/07/2023</t>
        </is>
      </c>
      <c r="B4728" s="31" t="n">
        <v>59.32</v>
      </c>
    </row>
    <row r="4729">
      <c r="A4729" s="4" t="inlineStr">
        <is>
          <t>27/07/2023</t>
        </is>
      </c>
      <c r="B4729" s="31" t="n">
        <v>58.88</v>
      </c>
    </row>
    <row r="4730">
      <c r="A4730" s="4" t="inlineStr">
        <is>
          <t>28/07/2023</t>
        </is>
      </c>
      <c r="B4730" s="31" t="n">
        <v>59.1</v>
      </c>
    </row>
    <row r="4731">
      <c r="A4731" s="4" t="inlineStr">
        <is>
          <t>31/07/2023</t>
        </is>
      </c>
      <c r="B4731" s="31" t="n">
        <v>57.7</v>
      </c>
    </row>
    <row r="4732">
      <c r="A4732" s="4" t="inlineStr">
        <is>
          <t>01/08/2023</t>
        </is>
      </c>
      <c r="B4732" s="31" t="n">
        <v>57.92</v>
      </c>
    </row>
    <row r="4733">
      <c r="A4733" s="4" t="inlineStr">
        <is>
          <t>02/08/2023</t>
        </is>
      </c>
      <c r="B4733" s="31" t="n">
        <v>57.35</v>
      </c>
    </row>
    <row r="4734">
      <c r="A4734" s="4" t="inlineStr">
        <is>
          <t>03/08/2023</t>
        </is>
      </c>
      <c r="B4734" s="31" t="n">
        <v>57.62</v>
      </c>
    </row>
    <row r="4735">
      <c r="A4735" s="4" t="inlineStr">
        <is>
          <t>04/08/2023</t>
        </is>
      </c>
      <c r="B4735" s="31" t="n">
        <v>57.32</v>
      </c>
    </row>
    <row r="4736">
      <c r="A4736" s="4" t="inlineStr">
        <is>
          <t>07/08/2023</t>
        </is>
      </c>
      <c r="B4736" s="31" t="n">
        <v>57.26</v>
      </c>
    </row>
    <row r="4737">
      <c r="A4737" s="4" t="inlineStr">
        <is>
          <t>08/08/2023</t>
        </is>
      </c>
      <c r="B4737" s="31" t="n">
        <v>57.07</v>
      </c>
    </row>
    <row r="4738">
      <c r="A4738" s="4" t="inlineStr">
        <is>
          <t>09/08/2023</t>
        </is>
      </c>
      <c r="B4738" s="31" t="n">
        <v>57.08</v>
      </c>
    </row>
    <row r="4739">
      <c r="A4739" s="4" t="inlineStr">
        <is>
          <t>10/08/2023</t>
        </is>
      </c>
      <c r="B4739" s="31" t="n">
        <v>56.74</v>
      </c>
    </row>
    <row r="4740">
      <c r="A4740" s="4" t="inlineStr">
        <is>
          <t>11/08/2023</t>
        </is>
      </c>
      <c r="B4740" s="31" t="n">
        <v>56.94</v>
      </c>
    </row>
    <row r="4741">
      <c r="A4741" s="4" t="inlineStr">
        <is>
          <t>14/08/2023</t>
        </is>
      </c>
      <c r="B4741" s="31" t="n">
        <v>57.4</v>
      </c>
    </row>
    <row r="4742">
      <c r="A4742" s="4" t="inlineStr">
        <is>
          <t>15/08/2023</t>
        </is>
      </c>
      <c r="B4742" s="31" t="n">
        <v>57.47</v>
      </c>
    </row>
    <row r="4743">
      <c r="A4743" s="4" t="inlineStr">
        <is>
          <t>16/08/2023</t>
        </is>
      </c>
      <c r="B4743" s="31" t="n">
        <v>57.32</v>
      </c>
    </row>
    <row r="4744">
      <c r="A4744" s="4" t="inlineStr">
        <is>
          <t>17/08/2023</t>
        </is>
      </c>
      <c r="B4744" s="31" t="n">
        <v>57.35</v>
      </c>
    </row>
    <row r="4745">
      <c r="A4745" s="4" t="inlineStr">
        <is>
          <t>18/08/2023</t>
        </is>
      </c>
      <c r="B4745" s="31" t="n">
        <v>57.71</v>
      </c>
    </row>
    <row r="4746">
      <c r="A4746" s="4" t="inlineStr">
        <is>
          <t>21/08/2023</t>
        </is>
      </c>
      <c r="B4746" s="31" t="n">
        <v>57.82</v>
      </c>
    </row>
    <row r="4747">
      <c r="A4747" s="4" t="inlineStr">
        <is>
          <t>22/08/2023</t>
        </is>
      </c>
      <c r="B4747" s="31" t="n">
        <v>57.62</v>
      </c>
    </row>
    <row r="4748">
      <c r="A4748" s="4" t="inlineStr">
        <is>
          <t>23/08/2023</t>
        </is>
      </c>
      <c r="B4748" s="31" t="n">
        <v>58.15</v>
      </c>
    </row>
    <row r="4749">
      <c r="A4749" s="4" t="inlineStr">
        <is>
          <t>24/08/2023</t>
        </is>
      </c>
      <c r="B4749" s="31" t="n">
        <v>57.72</v>
      </c>
    </row>
    <row r="4750">
      <c r="A4750" s="4" t="inlineStr">
        <is>
          <t>25/08/2023</t>
        </is>
      </c>
      <c r="B4750" s="31" t="n">
        <v>57.52</v>
      </c>
    </row>
    <row r="4751">
      <c r="A4751" s="4" t="inlineStr">
        <is>
          <t>28/08/2023</t>
        </is>
      </c>
      <c r="B4751" s="31" t="n">
        <v>57.59</v>
      </c>
    </row>
    <row r="4752">
      <c r="A4752" s="4" t="inlineStr">
        <is>
          <t>29/08/2023</t>
        </is>
      </c>
      <c r="B4752" s="31" t="n">
        <v>57.65</v>
      </c>
    </row>
    <row r="4753">
      <c r="A4753" s="4" t="inlineStr">
        <is>
          <t>30/08/2023</t>
        </is>
      </c>
      <c r="B4753" s="31" t="n">
        <v>57.87</v>
      </c>
    </row>
    <row r="4754">
      <c r="A4754" s="4" t="inlineStr">
        <is>
          <t>31/08/2023</t>
        </is>
      </c>
      <c r="B4754" s="31" t="n">
        <v>57.7</v>
      </c>
    </row>
    <row r="4755">
      <c r="A4755" s="4" t="inlineStr">
        <is>
          <t>01/09/2023</t>
        </is>
      </c>
      <c r="B4755" s="31" t="n">
        <v>57.85</v>
      </c>
    </row>
    <row r="4756">
      <c r="A4756" s="4" t="inlineStr">
        <is>
          <t>04/09/2023</t>
        </is>
      </c>
      <c r="B4756" s="31" t="n">
        <v>57.78</v>
      </c>
    </row>
    <row r="4757">
      <c r="A4757" s="4" t="inlineStr">
        <is>
          <t>05/09/2023</t>
        </is>
      </c>
      <c r="B4757" s="31" t="n">
        <v>57.98</v>
      </c>
    </row>
    <row r="4758">
      <c r="A4758" s="4" t="inlineStr">
        <is>
          <t>06/09/2023</t>
        </is>
      </c>
      <c r="B4758" s="31" t="n">
        <v>57.83</v>
      </c>
    </row>
    <row r="4759">
      <c r="A4759" s="4" t="inlineStr">
        <is>
          <t>08/09/2023</t>
        </is>
      </c>
      <c r="B4759" s="31" t="n">
        <v>58.58</v>
      </c>
    </row>
    <row r="4760">
      <c r="A4760" s="4" t="inlineStr">
        <is>
          <t>11/09/2023</t>
        </is>
      </c>
      <c r="B4760" s="31" t="n">
        <v>57.78</v>
      </c>
    </row>
    <row r="4761">
      <c r="A4761" s="4" t="inlineStr">
        <is>
          <t>12/09/2023</t>
        </is>
      </c>
      <c r="B4761" s="31" t="n">
        <v>57.21</v>
      </c>
    </row>
    <row r="4762">
      <c r="A4762" s="4" t="inlineStr">
        <is>
          <t>13/09/2023</t>
        </is>
      </c>
      <c r="B4762" s="31" t="n">
        <v>56.97</v>
      </c>
    </row>
    <row r="4763">
      <c r="A4763" s="4" t="inlineStr">
        <is>
          <t>14/09/2023</t>
        </is>
      </c>
      <c r="B4763" s="31" t="n">
        <v>57.97</v>
      </c>
    </row>
    <row r="4764">
      <c r="A4764" s="4" t="inlineStr">
        <is>
          <t>15/09/2023</t>
        </is>
      </c>
      <c r="B4764" s="31" t="n">
        <v>57.84</v>
      </c>
    </row>
    <row r="4765">
      <c r="A4765" s="4" t="inlineStr">
        <is>
          <t>18/09/2023</t>
        </is>
      </c>
      <c r="B4765" s="31" t="n">
        <v>57.78</v>
      </c>
    </row>
    <row r="4766">
      <c r="A4766" s="4" t="inlineStr">
        <is>
          <t>19/09/2023</t>
        </is>
      </c>
      <c r="B4766" s="31" t="n">
        <v>58.29</v>
      </c>
    </row>
    <row r="4767">
      <c r="A4767" s="4" t="inlineStr">
        <is>
          <t>20/09/2023</t>
        </is>
      </c>
      <c r="B4767" s="31" t="n">
        <v>58.34</v>
      </c>
    </row>
    <row r="4768">
      <c r="A4768" s="4" t="inlineStr">
        <is>
          <t>21/09/2023</t>
        </is>
      </c>
      <c r="B4768" s="31" t="n">
        <v>58.44</v>
      </c>
    </row>
    <row r="4769">
      <c r="A4769" s="4" t="inlineStr">
        <is>
          <t>22/09/2023</t>
        </is>
      </c>
      <c r="B4769" s="31" t="n">
        <v>58.94</v>
      </c>
    </row>
    <row r="4770">
      <c r="A4770" s="4" t="inlineStr">
        <is>
          <t>25/09/2023</t>
        </is>
      </c>
      <c r="B4770" s="31" t="n">
        <v>59.84</v>
      </c>
    </row>
    <row r="4771">
      <c r="A4771" s="4" t="inlineStr">
        <is>
          <t>26/09/2023</t>
        </is>
      </c>
      <c r="B4771" s="31" t="n">
        <v>60.09</v>
      </c>
    </row>
    <row r="4772">
      <c r="A4772" s="4" t="inlineStr">
        <is>
          <t>27/09/2023</t>
        </is>
      </c>
      <c r="B4772" s="31" t="n">
        <v>60.54</v>
      </c>
    </row>
    <row r="4773">
      <c r="A4773" s="4" t="inlineStr">
        <is>
          <t>28/09/2023</t>
        </is>
      </c>
      <c r="B4773" s="31" t="n">
        <v>61.22</v>
      </c>
    </row>
    <row r="4774">
      <c r="A4774" s="4" t="inlineStr">
        <is>
          <t>29/09/2023</t>
        </is>
      </c>
      <c r="B4774" s="31" t="n">
        <v>61.7</v>
      </c>
    </row>
    <row r="4775">
      <c r="A4775" s="4" t="inlineStr">
        <is>
          <t>02/10/2023</t>
        </is>
      </c>
      <c r="B4775" s="31" t="n">
        <v>62.05</v>
      </c>
    </row>
    <row r="4776">
      <c r="A4776" s="4" t="inlineStr">
        <is>
          <t>03/10/2023</t>
        </is>
      </c>
      <c r="B4776" s="31" t="n">
        <v>61.76</v>
      </c>
    </row>
    <row r="4777">
      <c r="A4777" s="4" t="inlineStr">
        <is>
          <t>04/10/2023</t>
        </is>
      </c>
      <c r="B4777" s="31" t="n">
        <v>62.47</v>
      </c>
    </row>
    <row r="4778">
      <c r="A4778" s="4" t="inlineStr">
        <is>
          <t>05/10/2023</t>
        </is>
      </c>
      <c r="B4778" s="31" t="n">
        <v>63.23</v>
      </c>
    </row>
    <row r="4779">
      <c r="A4779" s="4" t="inlineStr">
        <is>
          <t>06/10/2023</t>
        </is>
      </c>
      <c r="B4779" s="31" t="n">
        <v>63.8</v>
      </c>
    </row>
    <row r="4780">
      <c r="A4780" s="4" t="inlineStr">
        <is>
          <t>09/10/2023</t>
        </is>
      </c>
      <c r="B4780" s="31" t="n">
        <v>64.06</v>
      </c>
    </row>
    <row r="4781">
      <c r="A4781" s="4" t="inlineStr">
        <is>
          <t>10/10/2023</t>
        </is>
      </c>
      <c r="B4781" s="31" t="n">
        <v>64.66</v>
      </c>
    </row>
    <row r="4782">
      <c r="A4782" s="4" t="inlineStr">
        <is>
          <t>11/10/2023</t>
        </is>
      </c>
      <c r="B4782" s="31" t="n">
        <v>64.45999999999999</v>
      </c>
    </row>
    <row r="4783">
      <c r="A4783" s="4" t="inlineStr">
        <is>
          <t>13/10/2023</t>
        </is>
      </c>
      <c r="B4783" s="31" t="n">
        <v>63.82</v>
      </c>
    </row>
    <row r="4784">
      <c r="A4784" s="4" t="inlineStr">
        <is>
          <t>16/10/2023</t>
        </is>
      </c>
      <c r="B4784" s="31" t="n">
        <v>63.48</v>
      </c>
    </row>
    <row r="4785">
      <c r="A4785" s="4" t="inlineStr">
        <is>
          <t>17/10/2023</t>
        </is>
      </c>
      <c r="B4785" s="31" t="n">
        <v>62.83</v>
      </c>
    </row>
    <row r="4786">
      <c r="A4786" s="4" t="inlineStr">
        <is>
          <t>18/10/2023</t>
        </is>
      </c>
      <c r="B4786" s="31" t="n">
        <v>62.48</v>
      </c>
    </row>
    <row r="4787">
      <c r="A4787" s="4" t="inlineStr">
        <is>
          <t>19/10/2023</t>
        </is>
      </c>
      <c r="B4787" s="31" t="n">
        <v>62.53</v>
      </c>
    </row>
    <row r="4788">
      <c r="A4788" s="4" t="inlineStr">
        <is>
          <t>20/10/2023</t>
        </is>
      </c>
      <c r="B4788" s="31" t="n">
        <v>62.86</v>
      </c>
    </row>
    <row r="4789">
      <c r="A4789" s="4" t="inlineStr">
        <is>
          <t>23/10/2023</t>
        </is>
      </c>
      <c r="B4789" s="31" t="n">
        <v>63.03</v>
      </c>
    </row>
    <row r="4790">
      <c r="A4790" s="4" t="inlineStr">
        <is>
          <t>24/10/2023</t>
        </is>
      </c>
      <c r="B4790" s="31" t="n">
        <v>62.95</v>
      </c>
    </row>
    <row r="4791">
      <c r="A4791" s="4" t="inlineStr">
        <is>
          <t>25/10/2023</t>
        </is>
      </c>
      <c r="B4791" s="31" t="n">
        <v>62.94</v>
      </c>
    </row>
    <row r="4792">
      <c r="A4792" s="4" t="inlineStr">
        <is>
          <t>26/10/2023</t>
        </is>
      </c>
      <c r="B4792" s="31" t="n">
        <v>62.83</v>
      </c>
    </row>
    <row r="4793">
      <c r="A4793" s="4" t="inlineStr">
        <is>
          <t>27/10/2023</t>
        </is>
      </c>
      <c r="B4793" s="31" t="n">
        <v>63.01</v>
      </c>
    </row>
    <row r="4794">
      <c r="A4794" s="4" t="inlineStr">
        <is>
          <t>30/10/2023</t>
        </is>
      </c>
      <c r="B4794" s="31" t="n">
        <v>63.3</v>
      </c>
    </row>
    <row r="4795">
      <c r="A4795" s="4" t="inlineStr">
        <is>
          <t>31/10/2023</t>
        </is>
      </c>
      <c r="B4795" s="31" t="n">
        <v>64.12</v>
      </c>
    </row>
    <row r="4796">
      <c r="A4796" s="4" t="inlineStr">
        <is>
          <t>01/11/2023</t>
        </is>
      </c>
      <c r="B4796" s="31" t="n">
        <v>63.76</v>
      </c>
    </row>
    <row r="4797">
      <c r="A4797" s="4" t="inlineStr">
        <is>
          <t>03/11/2023</t>
        </is>
      </c>
      <c r="B4797" s="31" t="n">
        <v>63.71</v>
      </c>
    </row>
    <row r="4798">
      <c r="A4798" s="4" t="inlineStr">
        <is>
          <t>06/11/2023</t>
        </is>
      </c>
      <c r="B4798" s="31" t="n">
        <v>63.78</v>
      </c>
    </row>
    <row r="4799">
      <c r="A4799" s="4" t="inlineStr">
        <is>
          <t>07/11/2023</t>
        </is>
      </c>
      <c r="B4799" s="31" t="n">
        <v>63.15</v>
      </c>
    </row>
    <row r="4800">
      <c r="A4800" s="4" t="inlineStr">
        <is>
          <t>08/11/2023</t>
        </is>
      </c>
      <c r="B4800" s="31" t="n">
        <v>63.04</v>
      </c>
    </row>
    <row r="4801">
      <c r="A4801" s="4" t="inlineStr">
        <is>
          <t>09/11/2023</t>
        </is>
      </c>
      <c r="B4801" s="31" t="n">
        <v>63.2</v>
      </c>
    </row>
    <row r="4802">
      <c r="A4802" s="4" t="inlineStr">
        <is>
          <t>10/11/2023</t>
        </is>
      </c>
      <c r="B4802" s="31" t="n">
        <v>63.59</v>
      </c>
    </row>
    <row r="4803">
      <c r="A4803" s="4" t="inlineStr">
        <is>
          <t>13/11/2023</t>
        </is>
      </c>
      <c r="B4803" s="31" t="n">
        <v>63.37</v>
      </c>
    </row>
    <row r="4804">
      <c r="A4804" s="4" t="inlineStr">
        <is>
          <t>14/11/2023</t>
        </is>
      </c>
      <c r="B4804" s="31" t="n">
        <v>63.88</v>
      </c>
    </row>
    <row r="4805">
      <c r="A4805" s="4" t="inlineStr">
        <is>
          <t>16/11/2023</t>
        </is>
      </c>
      <c r="B4805" s="31" t="n">
        <v>64.93000000000001</v>
      </c>
    </row>
    <row r="4806">
      <c r="A4806" s="4" t="inlineStr">
        <is>
          <t>17/11/2023</t>
        </is>
      </c>
      <c r="B4806" s="31" t="n">
        <v>64.51000000000001</v>
      </c>
    </row>
    <row r="4807">
      <c r="A4807" s="4" t="inlineStr">
        <is>
          <t>20/11/2023</t>
        </is>
      </c>
      <c r="B4807" s="31" t="n">
        <v>64.53</v>
      </c>
    </row>
    <row r="4808">
      <c r="A4808" s="4" t="inlineStr">
        <is>
          <t>21/11/2023</t>
        </is>
      </c>
      <c r="B4808" s="31" t="n">
        <v>64.90000000000001</v>
      </c>
    </row>
    <row r="4809">
      <c r="A4809" s="4" t="inlineStr">
        <is>
          <t>22/11/2023</t>
        </is>
      </c>
      <c r="B4809" s="31" t="n">
        <v>64.95999999999999</v>
      </c>
    </row>
    <row r="4810">
      <c r="A4810" s="4" t="inlineStr">
        <is>
          <t>23/11/2023</t>
        </is>
      </c>
      <c r="B4810" s="31" t="n">
        <v>64.98</v>
      </c>
    </row>
    <row r="4811">
      <c r="A4811" s="4" t="inlineStr">
        <is>
          <t>24/11/2023</t>
        </is>
      </c>
      <c r="B4811" s="31" t="n">
        <v>64.73999999999999</v>
      </c>
    </row>
    <row r="4812">
      <c r="A4812" s="4" t="inlineStr">
        <is>
          <t>27/11/2023</t>
        </is>
      </c>
      <c r="B4812" s="31" t="n">
        <v>65.33</v>
      </c>
    </row>
    <row r="4813">
      <c r="A4813" s="4" t="inlineStr">
        <is>
          <t>28/11/2023</t>
        </is>
      </c>
      <c r="B4813" s="31" t="n">
        <v>65.76000000000001</v>
      </c>
    </row>
    <row r="4814">
      <c r="A4814" s="4" t="inlineStr">
        <is>
          <t>29/11/2023</t>
        </is>
      </c>
      <c r="B4814" s="31" t="n">
        <v>65.45</v>
      </c>
    </row>
    <row r="4815">
      <c r="A4815" s="4" t="inlineStr">
        <is>
          <t>30/11/2023</t>
        </is>
      </c>
      <c r="B4815" s="31" t="n">
        <v>66.63</v>
      </c>
    </row>
    <row r="4816">
      <c r="A4816" s="4" t="inlineStr">
        <is>
          <t>01/12/2023</t>
        </is>
      </c>
      <c r="B4816" s="31" t="n">
        <v>66.03</v>
      </c>
    </row>
    <row r="4817">
      <c r="A4817" s="4" t="inlineStr">
        <is>
          <t>04/12/2023</t>
        </is>
      </c>
      <c r="B4817" s="31" t="n">
        <v>66.72</v>
      </c>
    </row>
    <row r="4818">
      <c r="A4818" s="4" t="inlineStr">
        <is>
          <t>05/12/2023</t>
        </is>
      </c>
      <c r="B4818" s="31" t="n">
        <v>68.18000000000001</v>
      </c>
    </row>
    <row r="4819">
      <c r="A4819" s="4" t="inlineStr">
        <is>
          <t>06/12/2023</t>
        </is>
      </c>
      <c r="B4819" s="31" t="n">
        <v>68.43000000000001</v>
      </c>
    </row>
    <row r="4820">
      <c r="A4820" s="4" t="inlineStr">
        <is>
          <t>07/12/2023</t>
        </is>
      </c>
      <c r="B4820" s="31" t="n">
        <v>69.36</v>
      </c>
    </row>
    <row r="4821">
      <c r="A4821" s="4" t="inlineStr">
        <is>
          <t>08/12/2023</t>
        </is>
      </c>
      <c r="B4821" s="31" t="n">
        <v>69.52</v>
      </c>
    </row>
    <row r="4822">
      <c r="A4822" s="4" t="inlineStr">
        <is>
          <t>11/12/2023</t>
        </is>
      </c>
      <c r="B4822" s="31" t="n">
        <v>70.91</v>
      </c>
    </row>
    <row r="4823">
      <c r="A4823" s="4" t="inlineStr">
        <is>
          <t>12/12/2023</t>
        </is>
      </c>
      <c r="B4823" s="31" t="n">
        <v>71.16</v>
      </c>
    </row>
    <row r="4824">
      <c r="A4824" s="4" t="inlineStr">
        <is>
          <t>13/12/2023</t>
        </is>
      </c>
      <c r="B4824" s="31" t="n">
        <v>71.83</v>
      </c>
    </row>
    <row r="4825">
      <c r="A4825" s="4" t="inlineStr">
        <is>
          <t>14/12/2023</t>
        </is>
      </c>
      <c r="B4825" s="31" t="n">
        <v>71.91</v>
      </c>
    </row>
    <row r="4826">
      <c r="A4826" s="4" t="inlineStr">
        <is>
          <t>15/12/2023</t>
        </is>
      </c>
      <c r="B4826" s="31" t="n">
        <v>71.23999999999999</v>
      </c>
    </row>
    <row r="4827">
      <c r="A4827" s="4" t="inlineStr">
        <is>
          <t>18/12/2023</t>
        </is>
      </c>
      <c r="B4827" s="31" t="n">
        <v>71.23</v>
      </c>
    </row>
    <row r="4828">
      <c r="A4828" s="4" t="inlineStr">
        <is>
          <t>19/12/2023</t>
        </is>
      </c>
      <c r="B4828" s="31" t="n">
        <v>71.08</v>
      </c>
    </row>
    <row r="4829">
      <c r="A4829" s="4" t="inlineStr">
        <is>
          <t>20/12/2023</t>
        </is>
      </c>
      <c r="B4829" s="31" t="n">
        <v>71.22</v>
      </c>
    </row>
    <row r="4830">
      <c r="A4830" s="4" t="inlineStr">
        <is>
          <t>21/12/2023</t>
        </is>
      </c>
      <c r="B4830" s="31" t="n">
        <v>71.26000000000001</v>
      </c>
    </row>
    <row r="4831">
      <c r="A4831" s="4" t="inlineStr">
        <is>
          <t>22/12/2023</t>
        </is>
      </c>
      <c r="B4831" s="31" t="n">
        <v>71.23</v>
      </c>
    </row>
    <row r="4832">
      <c r="A4832" s="4" t="inlineStr">
        <is>
          <t>26/12/2023</t>
        </is>
      </c>
      <c r="B4832" s="31" t="n">
        <v>71.52</v>
      </c>
    </row>
    <row r="4833">
      <c r="A4833" s="4" t="inlineStr">
        <is>
          <t>27/12/2023</t>
        </is>
      </c>
      <c r="B4833" s="31" t="n">
        <v>71.70999999999999</v>
      </c>
    </row>
    <row r="4834">
      <c r="A4834" s="4" t="inlineStr">
        <is>
          <t>28/12/2023</t>
        </is>
      </c>
      <c r="B4834" s="31" t="n">
        <v>72.97</v>
      </c>
    </row>
    <row r="4835">
      <c r="A4835" s="4" t="inlineStr">
        <is>
          <t>02/01/2024</t>
        </is>
      </c>
      <c r="B4835" s="31" t="n">
        <v>73.48</v>
      </c>
    </row>
    <row r="4836">
      <c r="A4836" s="4" t="inlineStr">
        <is>
          <t>03/01/2024</t>
        </is>
      </c>
      <c r="B4836" s="31" t="n">
        <v>73.5</v>
      </c>
    </row>
    <row r="4837">
      <c r="A4837" s="4" t="inlineStr">
        <is>
          <t>04/01/2024</t>
        </is>
      </c>
      <c r="B4837" s="31" t="n">
        <v>75.14</v>
      </c>
    </row>
    <row r="4838">
      <c r="A4838" s="4" t="inlineStr">
        <is>
          <t>05/01/2024</t>
        </is>
      </c>
      <c r="B4838" s="31" t="n">
        <v>74.23999999999999</v>
      </c>
    </row>
    <row r="4839">
      <c r="A4839" s="4" t="inlineStr">
        <is>
          <t>08/01/2024</t>
        </is>
      </c>
      <c r="B4839" s="31" t="n">
        <v>73.87</v>
      </c>
    </row>
    <row r="4840">
      <c r="A4840" s="4" t="inlineStr">
        <is>
          <t>09/01/2024</t>
        </is>
      </c>
      <c r="B4840" s="31" t="n">
        <v>74</v>
      </c>
    </row>
    <row r="4841">
      <c r="A4841" s="4" t="inlineStr">
        <is>
          <t>10/01/2024</t>
        </is>
      </c>
      <c r="B4841" s="31" t="n">
        <v>73.01000000000001</v>
      </c>
    </row>
    <row r="4842">
      <c r="A4842" s="4" t="inlineStr">
        <is>
          <t>11/01/2024</t>
        </is>
      </c>
      <c r="B4842" s="31" t="n">
        <v>71.64</v>
      </c>
    </row>
    <row r="4843">
      <c r="A4843" s="4" t="inlineStr">
        <is>
          <t>12/01/2024</t>
        </is>
      </c>
      <c r="B4843" s="31" t="n">
        <v>70.84</v>
      </c>
    </row>
    <row r="4844">
      <c r="A4844" s="4" t="inlineStr">
        <is>
          <t>15/01/2024</t>
        </is>
      </c>
      <c r="B4844" s="31" t="n">
        <v>69.62</v>
      </c>
    </row>
    <row r="4845">
      <c r="A4845" s="4" t="inlineStr">
        <is>
          <t>16/01/2024</t>
        </is>
      </c>
      <c r="B4845" s="31" t="n">
        <v>69.04000000000001</v>
      </c>
    </row>
    <row r="4846">
      <c r="A4846" s="4" t="inlineStr">
        <is>
          <t>17/01/2024</t>
        </is>
      </c>
      <c r="B4846" s="31" t="n">
        <v>68.27</v>
      </c>
    </row>
    <row r="4847">
      <c r="A4847" s="4" t="inlineStr">
        <is>
          <t>18/01/2024</t>
        </is>
      </c>
      <c r="B4847" s="31" t="n">
        <v>67.52</v>
      </c>
    </row>
    <row r="4848">
      <c r="A4848" s="4" t="inlineStr">
        <is>
          <t>19/01/2024</t>
        </is>
      </c>
      <c r="B4848" s="31" t="n">
        <v>66.37</v>
      </c>
    </row>
    <row r="4849">
      <c r="A4849" s="4" t="inlineStr">
        <is>
          <t>22/01/2024</t>
        </is>
      </c>
      <c r="B4849" s="31" t="n">
        <v>65.61</v>
      </c>
    </row>
    <row r="4850">
      <c r="A4850" s="4" t="inlineStr">
        <is>
          <t>23/01/2024</t>
        </is>
      </c>
      <c r="B4850" s="31" t="n">
        <v>65.43000000000001</v>
      </c>
    </row>
    <row r="4851">
      <c r="A4851" s="4" t="inlineStr">
        <is>
          <t>24/01/2024</t>
        </is>
      </c>
      <c r="B4851" s="31" t="n">
        <v>65.98999999999999</v>
      </c>
    </row>
    <row r="4852">
      <c r="A4852" s="4" t="inlineStr">
        <is>
          <t>25/01/2024</t>
        </is>
      </c>
      <c r="B4852" s="31" t="n">
        <v>65.56999999999999</v>
      </c>
    </row>
    <row r="4853">
      <c r="A4853" s="4" t="inlineStr">
        <is>
          <t>26/01/2024</t>
        </is>
      </c>
      <c r="B4853" s="31" t="n">
        <v>65.27</v>
      </c>
    </row>
    <row r="4854">
      <c r="A4854" s="4" t="inlineStr">
        <is>
          <t>29/01/2024</t>
        </is>
      </c>
      <c r="B4854" s="31" t="n">
        <v>65.48</v>
      </c>
    </row>
    <row r="4855">
      <c r="A4855" s="4" t="inlineStr">
        <is>
          <t>30/01/2024</t>
        </is>
      </c>
      <c r="B4855" s="31" t="n">
        <v>66.17</v>
      </c>
    </row>
    <row r="4856">
      <c r="A4856" s="4" t="inlineStr">
        <is>
          <t>31/01/2024</t>
        </is>
      </c>
      <c r="B4856" s="31" t="n">
        <v>65.68000000000001</v>
      </c>
    </row>
    <row r="4857">
      <c r="A4857" s="4" t="inlineStr">
        <is>
          <t>01/02/2024</t>
        </is>
      </c>
      <c r="B4857" s="31" t="n">
        <v>65.08</v>
      </c>
    </row>
    <row r="4858">
      <c r="A4858" s="4" t="inlineStr">
        <is>
          <t>02/02/2024</t>
        </is>
      </c>
      <c r="B4858" s="31" t="n">
        <v>65.8</v>
      </c>
    </row>
    <row r="4859">
      <c r="A4859" s="4" t="inlineStr">
        <is>
          <t>05/02/2024</t>
        </is>
      </c>
      <c r="B4859" s="31" t="n">
        <v>66.42</v>
      </c>
    </row>
    <row r="4860">
      <c r="A4860" s="4" t="inlineStr">
        <is>
          <t>06/02/2024</t>
        </is>
      </c>
      <c r="B4860" s="31" t="n">
        <v>66.53</v>
      </c>
    </row>
    <row r="4861">
      <c r="A4861" s="4" t="inlineStr">
        <is>
          <t>07/02/2024</t>
        </is>
      </c>
      <c r="B4861" s="31" t="n">
        <v>67.02</v>
      </c>
    </row>
    <row r="4862">
      <c r="A4862" s="4" t="inlineStr">
        <is>
          <t>08/02/2024</t>
        </is>
      </c>
      <c r="B4862" s="31" t="n">
        <v>66.41</v>
      </c>
    </row>
    <row r="4863">
      <c r="A4863" s="4" t="inlineStr">
        <is>
          <t>09/02/2024</t>
        </is>
      </c>
      <c r="B4863" s="31" t="n">
        <v>65.84</v>
      </c>
    </row>
    <row r="4864">
      <c r="A4864" s="4" t="inlineStr">
        <is>
          <t>14/02/2024</t>
        </is>
      </c>
      <c r="B4864" s="31" t="n">
        <v>65.8</v>
      </c>
    </row>
    <row r="4865">
      <c r="A4865" s="4" t="inlineStr">
        <is>
          <t>15/02/2024</t>
        </is>
      </c>
      <c r="B4865" s="31" t="n">
        <v>65.79000000000001</v>
      </c>
    </row>
    <row r="4866">
      <c r="A4866" s="4" t="inlineStr">
        <is>
          <t>16/02/2024</t>
        </is>
      </c>
      <c r="B4866" s="31" t="n">
        <v>66.16</v>
      </c>
    </row>
    <row r="4867">
      <c r="A4867" s="4" t="inlineStr">
        <is>
          <t>19/02/2024</t>
        </is>
      </c>
      <c r="B4867" s="31" t="n">
        <v>66.26000000000001</v>
      </c>
    </row>
    <row r="4868">
      <c r="A4868" s="4" t="inlineStr">
        <is>
          <t>20/02/2024</t>
        </is>
      </c>
      <c r="B4868" s="31" t="n">
        <v>66.56</v>
      </c>
    </row>
    <row r="4869">
      <c r="A4869" s="4" t="inlineStr">
        <is>
          <t>21/02/2024</t>
        </is>
      </c>
      <c r="B4869" s="31" t="n">
        <v>66.84</v>
      </c>
    </row>
    <row r="4870">
      <c r="A4870" s="4" t="inlineStr">
        <is>
          <t>22/02/2024</t>
        </is>
      </c>
      <c r="B4870" s="31" t="n">
        <v>66.58</v>
      </c>
    </row>
    <row r="4871">
      <c r="A4871" s="4" t="inlineStr">
        <is>
          <t>23/02/2024</t>
        </is>
      </c>
      <c r="B4871" s="31" t="n">
        <v>66.78</v>
      </c>
    </row>
    <row r="4872">
      <c r="A4872" s="4" t="inlineStr">
        <is>
          <t>26/02/2024</t>
        </is>
      </c>
      <c r="B4872" s="31" t="n">
        <v>66.84</v>
      </c>
    </row>
    <row r="4873">
      <c r="A4873" s="4" t="inlineStr">
        <is>
          <t>27/02/2024</t>
        </is>
      </c>
      <c r="B4873" s="31" t="n">
        <v>66.62</v>
      </c>
    </row>
    <row r="4874">
      <c r="A4874" s="4" t="inlineStr">
        <is>
          <t>28/02/2024</t>
        </is>
      </c>
      <c r="B4874" s="31" t="n">
        <v>65.98</v>
      </c>
    </row>
    <row r="4875">
      <c r="A4875" s="4" t="inlineStr">
        <is>
          <t>29/02/2024</t>
        </is>
      </c>
      <c r="B4875" s="31" t="n">
        <v>65.90000000000001</v>
      </c>
    </row>
    <row r="4876">
      <c r="A4876" s="4" t="inlineStr">
        <is>
          <t>01/03/2024</t>
        </is>
      </c>
      <c r="B4876" s="31" t="n">
        <v>66.73999999999999</v>
      </c>
    </row>
    <row r="4877">
      <c r="A4877" s="4" t="inlineStr">
        <is>
          <t>04/03/2024</t>
        </is>
      </c>
      <c r="B4877" s="31" t="n">
        <v>67.04000000000001</v>
      </c>
    </row>
    <row r="4878">
      <c r="A4878" s="4" t="inlineStr">
        <is>
          <t>05/03/2024</t>
        </is>
      </c>
      <c r="B4878" s="31" t="n">
        <v>66.79000000000001</v>
      </c>
    </row>
    <row r="4879">
      <c r="A4879" s="4" t="inlineStr">
        <is>
          <t>06/03/2024</t>
        </is>
      </c>
      <c r="B4879" s="31" t="n">
        <v>66.77</v>
      </c>
    </row>
    <row r="4880">
      <c r="A4880" s="4" t="inlineStr">
        <is>
          <t>07/03/2024</t>
        </is>
      </c>
      <c r="B4880" s="31" t="n">
        <v>66.86</v>
      </c>
    </row>
    <row r="4881">
      <c r="A4881" s="4" t="inlineStr">
        <is>
          <t>08/03/2024</t>
        </is>
      </c>
      <c r="B4881" s="31" t="n">
        <v>66.90000000000001</v>
      </c>
    </row>
    <row r="4882">
      <c r="A4882" s="4" t="inlineStr">
        <is>
          <t>11/03/2024</t>
        </is>
      </c>
      <c r="B4882" s="31" t="n">
        <v>66.93000000000001</v>
      </c>
    </row>
    <row r="4883">
      <c r="A4883" s="4" t="inlineStr">
        <is>
          <t>12/03/2024</t>
        </is>
      </c>
      <c r="B4883" s="31" t="n">
        <v>67.11</v>
      </c>
    </row>
    <row r="4884">
      <c r="A4884" s="4" t="inlineStr">
        <is>
          <t>13/03/2024</t>
        </is>
      </c>
      <c r="B4884" s="31" t="n">
        <v>67.03</v>
      </c>
    </row>
    <row r="4885">
      <c r="A4885" s="4" t="inlineStr">
        <is>
          <t>14/03/2024</t>
        </is>
      </c>
      <c r="B4885" s="31" t="n">
        <v>67.29000000000001</v>
      </c>
    </row>
    <row r="4886">
      <c r="A4886" s="4" t="inlineStr">
        <is>
          <t>15/03/2024</t>
        </is>
      </c>
      <c r="B4886" s="31" t="n">
        <v>67.20999999999999</v>
      </c>
    </row>
    <row r="4887">
      <c r="A4887" s="4" t="inlineStr">
        <is>
          <t>18/03/2024</t>
        </is>
      </c>
      <c r="B4887" s="31" t="n">
        <v>66.90000000000001</v>
      </c>
    </row>
    <row r="4888">
      <c r="A4888" s="4" t="inlineStr">
        <is>
          <t>19/03/2024</t>
        </is>
      </c>
      <c r="B4888" s="31" t="n">
        <v>66.88</v>
      </c>
    </row>
    <row r="4889">
      <c r="A4889" s="4" t="inlineStr">
        <is>
          <t>20/03/2024</t>
        </is>
      </c>
      <c r="B4889" s="31" t="n">
        <v>66.77</v>
      </c>
    </row>
    <row r="4890">
      <c r="A4890" s="4" t="inlineStr">
        <is>
          <t>21/03/2024</t>
        </is>
      </c>
      <c r="B4890" s="31" t="n">
        <v>66.63</v>
      </c>
    </row>
    <row r="4891">
      <c r="A4891" s="4" t="inlineStr">
        <is>
          <t>22/03/2024</t>
        </is>
      </c>
      <c r="B4891" s="31" t="n">
        <v>66.45</v>
      </c>
    </row>
    <row r="4892">
      <c r="A4892" s="4" t="inlineStr">
        <is>
          <t>25/03/2024</t>
        </is>
      </c>
      <c r="B4892" s="31" t="n">
        <v>66.61</v>
      </c>
    </row>
    <row r="4893">
      <c r="A4893" s="4" t="inlineStr">
        <is>
          <t>26/03/2024</t>
        </is>
      </c>
      <c r="B4893" s="31" t="n">
        <v>66.29000000000001</v>
      </c>
    </row>
    <row r="4894">
      <c r="A4894" s="4" t="inlineStr">
        <is>
          <t>27/03/2024</t>
        </is>
      </c>
      <c r="B4894" s="31" t="n">
        <v>65.78</v>
      </c>
    </row>
    <row r="4895">
      <c r="A4895" s="4" t="inlineStr">
        <is>
          <t>28/03/2024</t>
        </is>
      </c>
      <c r="B4895" s="31" t="n">
        <v>65.73999999999999</v>
      </c>
    </row>
    <row r="4896">
      <c r="A4896" s="4" t="inlineStr">
        <is>
          <t>01/04/2024</t>
        </is>
      </c>
      <c r="B4896" s="31" t="n">
        <v>65.45999999999999</v>
      </c>
    </row>
    <row r="4897">
      <c r="A4897" s="4" t="inlineStr">
        <is>
          <t>02/04/2024</t>
        </is>
      </c>
      <c r="B4897" s="31" t="n">
        <v>65.31</v>
      </c>
    </row>
    <row r="4898">
      <c r="A4898" s="4" t="inlineStr">
        <is>
          <t>03/04/2024</t>
        </is>
      </c>
      <c r="B4898" s="31" t="n">
        <v>65.22</v>
      </c>
    </row>
    <row r="4899">
      <c r="A4899" s="4" t="inlineStr">
        <is>
          <t>04/04/2024</t>
        </is>
      </c>
      <c r="B4899" s="31" t="n">
        <v>65.20999999999999</v>
      </c>
    </row>
    <row r="4900">
      <c r="A4900" s="4" t="inlineStr">
        <is>
          <t>05/04/2024</t>
        </is>
      </c>
      <c r="B4900" s="31" t="n">
        <v>64.69</v>
      </c>
    </row>
    <row r="4901">
      <c r="A4901" s="4" t="inlineStr">
        <is>
          <t>08/04/2024</t>
        </is>
      </c>
      <c r="B4901" s="31" t="n">
        <v>64.3</v>
      </c>
    </row>
    <row r="4902">
      <c r="A4902" s="4" t="inlineStr">
        <is>
          <t>09/04/2024</t>
        </is>
      </c>
      <c r="B4902" s="31" t="n">
        <v>63.79</v>
      </c>
    </row>
    <row r="4903">
      <c r="A4903" s="4" t="inlineStr">
        <is>
          <t>10/04/2024</t>
        </is>
      </c>
      <c r="B4903" s="31" t="n">
        <v>63.46</v>
      </c>
    </row>
    <row r="4904">
      <c r="A4904" s="4" t="inlineStr">
        <is>
          <t>11/04/2024</t>
        </is>
      </c>
      <c r="B4904" s="31" t="n">
        <v>63.15</v>
      </c>
    </row>
    <row r="4905">
      <c r="A4905" s="4" t="inlineStr">
        <is>
          <t>12/04/2024</t>
        </is>
      </c>
      <c r="B4905" s="31" t="n">
        <v>63.24</v>
      </c>
    </row>
    <row r="4906">
      <c r="A4906" s="4" t="inlineStr">
        <is>
          <t>15/04/2024</t>
        </is>
      </c>
      <c r="B4906" s="31" t="n">
        <v>63.33</v>
      </c>
    </row>
    <row r="4907">
      <c r="A4907" s="4" t="inlineStr">
        <is>
          <t>16/04/2024</t>
        </is>
      </c>
      <c r="B4907" s="31" t="n">
        <v>63.37</v>
      </c>
    </row>
    <row r="4908">
      <c r="A4908" s="4" t="inlineStr">
        <is>
          <t>17/04/2024</t>
        </is>
      </c>
      <c r="B4908" s="31" t="n">
        <v>63.02</v>
      </c>
    </row>
    <row r="4909">
      <c r="A4909" s="4" t="inlineStr">
        <is>
          <t>18/04/2024</t>
        </is>
      </c>
      <c r="B4909" s="31" t="n">
        <v>62.89</v>
      </c>
    </row>
    <row r="4910">
      <c r="A4910" s="4" t="inlineStr">
        <is>
          <t>19/04/2024</t>
        </is>
      </c>
      <c r="B4910" s="31" t="n">
        <v>62.7</v>
      </c>
    </row>
    <row r="4911">
      <c r="A4911" s="4" t="inlineStr">
        <is>
          <t>22/04/2024</t>
        </is>
      </c>
      <c r="B4911" s="31" t="n">
        <v>62.33</v>
      </c>
    </row>
    <row r="4912">
      <c r="A4912" s="4" t="inlineStr">
        <is>
          <t>23/04/2024</t>
        </is>
      </c>
      <c r="B4912" s="31" t="n">
        <v>62.04</v>
      </c>
    </row>
    <row r="4913">
      <c r="A4913" s="4" t="inlineStr">
        <is>
          <t>24/04/2024</t>
        </is>
      </c>
      <c r="B4913" s="31" t="n">
        <v>61.81</v>
      </c>
    </row>
    <row r="4914">
      <c r="A4914" s="4" t="inlineStr">
        <is>
          <t>25/04/2024</t>
        </is>
      </c>
      <c r="B4914" s="31" t="n">
        <v>61.53</v>
      </c>
    </row>
    <row r="4915">
      <c r="A4915" s="4" t="inlineStr">
        <is>
          <t>26/04/2024</t>
        </is>
      </c>
      <c r="B4915" s="31" t="n">
        <v>61.62</v>
      </c>
    </row>
    <row r="4916">
      <c r="A4916" s="4" t="inlineStr">
        <is>
          <t>29/04/2024</t>
        </is>
      </c>
      <c r="B4916" s="31" t="n">
        <v>61.64</v>
      </c>
    </row>
    <row r="4917">
      <c r="A4917" s="4" t="inlineStr">
        <is>
          <t>30/04/2024</t>
        </is>
      </c>
      <c r="B4917" s="31" t="n">
        <v>61.45</v>
      </c>
    </row>
    <row r="4918">
      <c r="A4918" s="4" t="inlineStr">
        <is>
          <t>02/05/2024</t>
        </is>
      </c>
      <c r="B4918" s="31" t="n">
        <v>60.52</v>
      </c>
    </row>
    <row r="4919">
      <c r="A4919" s="4" t="inlineStr">
        <is>
          <t>03/05/2024</t>
        </is>
      </c>
      <c r="B4919" s="31" t="n">
        <v>61.09</v>
      </c>
    </row>
    <row r="4920">
      <c r="A4920" s="4" t="inlineStr">
        <is>
          <t>06/05/2024</t>
        </is>
      </c>
      <c r="B4920" s="31" t="n">
        <v>61.19</v>
      </c>
    </row>
    <row r="4921">
      <c r="A4921" s="4" t="inlineStr">
        <is>
          <t>07/05/2024</t>
        </is>
      </c>
      <c r="B4921" s="31" t="n">
        <v>61.15</v>
      </c>
    </row>
    <row r="4922">
      <c r="A4922" s="4" t="inlineStr">
        <is>
          <t>08/05/2024</t>
        </is>
      </c>
      <c r="B4922" s="31" t="n">
        <v>61.09</v>
      </c>
    </row>
    <row r="4923">
      <c r="A4923" s="4" t="inlineStr">
        <is>
          <t>09/05/2024</t>
        </is>
      </c>
      <c r="B4923" s="31" t="n">
        <v>61.18</v>
      </c>
    </row>
    <row r="4924">
      <c r="A4924" s="4" t="inlineStr">
        <is>
          <t>10/05/2024</t>
        </is>
      </c>
      <c r="B4924" s="31" t="n">
        <v>61.91</v>
      </c>
    </row>
    <row r="4925">
      <c r="A4925" s="4" t="inlineStr">
        <is>
          <t>13/05/2024</t>
        </is>
      </c>
      <c r="B4925" s="31" t="n">
        <v>61.85</v>
      </c>
    </row>
    <row r="4926">
      <c r="A4926" s="4" t="inlineStr">
        <is>
          <t>14/05/2024</t>
        </is>
      </c>
      <c r="B4926" s="31" t="n">
        <v>61.68</v>
      </c>
    </row>
    <row r="4927">
      <c r="A4927" s="4" t="inlineStr">
        <is>
          <t>15/05/2024</t>
        </is>
      </c>
      <c r="B4927" s="31" t="n">
        <v>61.99</v>
      </c>
    </row>
    <row r="4928">
      <c r="A4928" s="4" t="inlineStr">
        <is>
          <t>16/05/2024</t>
        </is>
      </c>
      <c r="B4928" s="31" t="n">
        <v>61.87</v>
      </c>
    </row>
    <row r="4929">
      <c r="A4929" s="4" t="inlineStr">
        <is>
          <t>17/05/2024</t>
        </is>
      </c>
      <c r="B4929" s="31" t="n">
        <v>62.17</v>
      </c>
    </row>
    <row r="4930">
      <c r="A4930" s="4" t="inlineStr">
        <is>
          <t>20/05/2024</t>
        </is>
      </c>
      <c r="B4930" s="31" t="n">
        <v>62.75</v>
      </c>
    </row>
    <row r="4931">
      <c r="A4931" s="4" t="inlineStr">
        <is>
          <t>21/05/2024</t>
        </is>
      </c>
      <c r="B4931" s="31" t="n">
        <v>62.54</v>
      </c>
    </row>
    <row r="4932">
      <c r="A4932" s="4" t="inlineStr">
        <is>
          <t>22/05/2024</t>
        </is>
      </c>
      <c r="B4932" s="31" t="n">
        <v>62.41</v>
      </c>
    </row>
    <row r="4933">
      <c r="A4933" s="4" t="inlineStr">
        <is>
          <t>23/05/2024</t>
        </is>
      </c>
      <c r="B4933" s="31" t="n">
        <v>62.84</v>
      </c>
    </row>
    <row r="4934">
      <c r="A4934" s="4" t="inlineStr">
        <is>
          <t>24/05/2024</t>
        </is>
      </c>
      <c r="B4934" s="31" t="n">
        <v>62.81</v>
      </c>
    </row>
    <row r="4935">
      <c r="A4935" s="4" t="inlineStr">
        <is>
          <t>27/05/2024</t>
        </is>
      </c>
      <c r="B4935" s="31" t="n">
        <v>62.74</v>
      </c>
    </row>
    <row r="4936">
      <c r="A4936" s="4" t="inlineStr">
        <is>
          <t>28/05/2024</t>
        </is>
      </c>
      <c r="B4936" s="31" t="n">
        <v>62.48</v>
      </c>
    </row>
    <row r="4937">
      <c r="A4937" s="4" t="inlineStr">
        <is>
          <t>29/05/2024</t>
        </is>
      </c>
      <c r="B4937" s="31" t="n">
        <v>62.34</v>
      </c>
    </row>
    <row r="4938">
      <c r="A4938" s="4" t="inlineStr">
        <is>
          <t>31/05/2024</t>
        </is>
      </c>
      <c r="B4938" s="31" t="n">
        <v>62.41</v>
      </c>
    </row>
    <row r="4939">
      <c r="A4939" s="4" t="inlineStr">
        <is>
          <t>03/06/2024</t>
        </is>
      </c>
      <c r="B4939" s="31" t="n">
        <v>61.48</v>
      </c>
    </row>
    <row r="4940">
      <c r="A4940" s="4" t="inlineStr">
        <is>
          <t>04/06/2024</t>
        </is>
      </c>
      <c r="B4940" s="31" t="n">
        <v>61.1</v>
      </c>
    </row>
    <row r="4941">
      <c r="A4941" s="4" t="inlineStr">
        <is>
          <t>05/06/2024</t>
        </is>
      </c>
      <c r="B4941" s="31" t="n">
        <v>61.06</v>
      </c>
    </row>
    <row r="4942">
      <c r="A4942" s="4" t="inlineStr">
        <is>
          <t>06/06/2024</t>
        </is>
      </c>
      <c r="B4942" s="31" t="n">
        <v>60.77</v>
      </c>
    </row>
    <row r="4943">
      <c r="A4943" s="4" t="inlineStr">
        <is>
          <t>07/06/2024</t>
        </is>
      </c>
      <c r="B4943" s="31" t="n">
        <v>60.33</v>
      </c>
    </row>
    <row r="4944">
      <c r="A4944" s="4" t="inlineStr">
        <is>
          <t>10/06/2024</t>
        </is>
      </c>
      <c r="B4944" s="31" t="n">
        <v>60.72</v>
      </c>
    </row>
    <row r="4945">
      <c r="A4945" s="4" t="inlineStr">
        <is>
          <t>11/06/2024</t>
        </is>
      </c>
      <c r="B4945" s="31" t="n">
        <v>60.43</v>
      </c>
    </row>
    <row r="4946">
      <c r="A4946" s="4" t="inlineStr">
        <is>
          <t>12/06/2024</t>
        </is>
      </c>
      <c r="B4946" s="31" t="n">
        <v>59.98</v>
      </c>
    </row>
    <row r="4947">
      <c r="A4947" s="4" t="inlineStr">
        <is>
          <t>13/06/2024</t>
        </is>
      </c>
      <c r="B4947" s="31" t="n">
        <v>60</v>
      </c>
    </row>
    <row r="4948">
      <c r="A4948" s="4" t="inlineStr">
        <is>
          <t>14/06/2024</t>
        </is>
      </c>
      <c r="B4948" s="31" t="n">
        <v>60.25</v>
      </c>
    </row>
    <row r="4949">
      <c r="A4949" s="4" t="inlineStr">
        <is>
          <t>17/06/2024</t>
        </is>
      </c>
      <c r="B4949" s="31" t="n">
        <v>60.2</v>
      </c>
    </row>
    <row r="4950">
      <c r="A4950" s="4" t="inlineStr">
        <is>
          <t>18/06/2024</t>
        </is>
      </c>
      <c r="B4950" s="31" t="n">
        <v>60.19</v>
      </c>
    </row>
    <row r="4951">
      <c r="A4951" s="4" t="inlineStr">
        <is>
          <t>19/06/2024</t>
        </is>
      </c>
      <c r="B4951" s="31" t="n">
        <v>60.55</v>
      </c>
    </row>
    <row r="4952">
      <c r="A4952" s="4" t="inlineStr">
        <is>
          <t>20/06/2024</t>
        </is>
      </c>
      <c r="B4952" s="31" t="n">
        <v>60.65</v>
      </c>
    </row>
    <row r="4953">
      <c r="A4953" s="4" t="inlineStr">
        <is>
          <t>21/06/2024</t>
        </is>
      </c>
      <c r="B4953" s="31" t="n">
        <v>60.63</v>
      </c>
    </row>
    <row r="4954">
      <c r="A4954" s="4" t="inlineStr">
        <is>
          <t>24/06/2024</t>
        </is>
      </c>
      <c r="B4954" s="31" t="n">
        <v>59.72</v>
      </c>
    </row>
    <row r="4955">
      <c r="A4955" s="4" t="inlineStr">
        <is>
          <t>25/06/2024</t>
        </is>
      </c>
      <c r="B4955" s="31" t="n">
        <v>59.32</v>
      </c>
    </row>
    <row r="4956">
      <c r="A4956" s="4" t="inlineStr">
        <is>
          <t>26/06/2024</t>
        </is>
      </c>
      <c r="B4956" s="31" t="n">
        <v>59.83</v>
      </c>
    </row>
    <row r="4957">
      <c r="A4957" s="4" t="inlineStr">
        <is>
          <t>27/06/2024</t>
        </is>
      </c>
      <c r="B4957" s="31" t="n">
        <v>60.01</v>
      </c>
    </row>
    <row r="4958">
      <c r="A4958" s="4" t="inlineStr">
        <is>
          <t>28/06/2024</t>
        </is>
      </c>
      <c r="B4958" s="31" t="n">
        <v>59.68</v>
      </c>
    </row>
    <row r="4959">
      <c r="A4959" s="4" t="inlineStr">
        <is>
          <t>01/07/2024</t>
        </is>
      </c>
      <c r="B4959" s="31" t="n">
        <v>59.42</v>
      </c>
    </row>
    <row r="4960">
      <c r="A4960" s="4" t="inlineStr">
        <is>
          <t>02/07/2024</t>
        </is>
      </c>
      <c r="B4960" s="31" t="n">
        <v>58.95</v>
      </c>
    </row>
    <row r="4961">
      <c r="A4961" s="4" t="inlineStr">
        <is>
          <t>03/07/2024</t>
        </is>
      </c>
      <c r="B4961" s="31" t="n">
        <v>58.46</v>
      </c>
    </row>
    <row r="4962">
      <c r="A4962" s="4" t="inlineStr">
        <is>
          <t>04/07/2024</t>
        </is>
      </c>
      <c r="B4962" s="31" t="n">
        <v>58.17</v>
      </c>
    </row>
    <row r="4963">
      <c r="A4963" s="4" t="inlineStr">
        <is>
          <t>05/07/2024</t>
        </is>
      </c>
      <c r="B4963" s="31" t="n">
        <v>58.16</v>
      </c>
    </row>
    <row r="4964">
      <c r="A4964" s="4" t="inlineStr">
        <is>
          <t>08/07/2024</t>
        </is>
      </c>
      <c r="B4964" s="31" t="n">
        <v>58.2</v>
      </c>
    </row>
    <row r="4965">
      <c r="A4965" s="4" t="inlineStr">
        <is>
          <t>09/07/2024</t>
        </is>
      </c>
      <c r="B4965" s="31" t="n">
        <v>58.27</v>
      </c>
    </row>
    <row r="4966">
      <c r="A4966" s="4" t="inlineStr">
        <is>
          <t>10/07/2024</t>
        </is>
      </c>
      <c r="B4966" s="31" t="n">
        <v>57.88</v>
      </c>
    </row>
    <row r="4967">
      <c r="A4967" s="4" t="inlineStr">
        <is>
          <t>11/07/2024</t>
        </is>
      </c>
      <c r="B4967" s="31" t="n">
        <v>58.56</v>
      </c>
    </row>
    <row r="4968">
      <c r="A4968" s="4" t="inlineStr">
        <is>
          <t>12/07/2024</t>
        </is>
      </c>
      <c r="B4968" s="31" t="n">
        <v>58.78</v>
      </c>
    </row>
    <row r="4969">
      <c r="A4969" s="4" t="inlineStr">
        <is>
          <t>15/07/2024</t>
        </is>
      </c>
      <c r="B4969" s="31" t="n">
        <v>58.41</v>
      </c>
    </row>
    <row r="4970">
      <c r="A4970" s="4" t="inlineStr">
        <is>
          <t>16/07/2024</t>
        </is>
      </c>
      <c r="B4970" s="31" t="n">
        <v>58.39</v>
      </c>
    </row>
    <row r="4971">
      <c r="A4971" s="4" t="inlineStr">
        <is>
          <t>17/07/2024</t>
        </is>
      </c>
      <c r="B4971" s="31" t="n">
        <v>58.23</v>
      </c>
    </row>
    <row r="4972">
      <c r="A4972" s="4" t="inlineStr">
        <is>
          <t>18/07/2024</t>
        </is>
      </c>
      <c r="B4972" s="31" t="n">
        <v>59.34</v>
      </c>
    </row>
    <row r="4973">
      <c r="A4973" s="4" t="inlineStr">
        <is>
          <t>19/07/2024</t>
        </is>
      </c>
      <c r="B4973" s="31" t="n">
        <v>59.58</v>
      </c>
    </row>
    <row r="4974">
      <c r="A4974" s="4" t="inlineStr">
        <is>
          <t>22/07/2024</t>
        </is>
      </c>
      <c r="B4974" s="31" t="n">
        <v>59.67</v>
      </c>
    </row>
    <row r="4975">
      <c r="A4975" s="4" t="inlineStr">
        <is>
          <t>23/07/2024</t>
        </is>
      </c>
      <c r="B4975" s="31" t="n">
        <v>60.55</v>
      </c>
    </row>
    <row r="4976">
      <c r="A4976" s="4" t="inlineStr">
        <is>
          <t>24/07/2024</t>
        </is>
      </c>
      <c r="B4976" s="31" t="n">
        <v>60.7</v>
      </c>
    </row>
    <row r="4977">
      <c r="A4977" s="4" t="inlineStr">
        <is>
          <t>25/07/2024</t>
        </is>
      </c>
      <c r="B4977" s="31" t="n">
        <v>61.07</v>
      </c>
    </row>
    <row r="4978">
      <c r="A4978" s="4" t="inlineStr">
        <is>
          <t>26/07/2024</t>
        </is>
      </c>
      <c r="B4978" s="31" t="n">
        <v>60.96</v>
      </c>
    </row>
    <row r="4979">
      <c r="A4979" s="4" t="inlineStr">
        <is>
          <t>29/07/2024</t>
        </is>
      </c>
      <c r="B4979" s="31" t="n">
        <v>60.59</v>
      </c>
    </row>
    <row r="4980">
      <c r="A4980" s="4" t="inlineStr">
        <is>
          <t>30/07/2024</t>
        </is>
      </c>
      <c r="B4980" s="31" t="n">
        <v>60.49</v>
      </c>
    </row>
    <row r="4981">
      <c r="A4981" s="4" t="inlineStr">
        <is>
          <t>31/07/2024</t>
        </is>
      </c>
      <c r="B4981" s="31" t="n">
        <v>61.37</v>
      </c>
    </row>
    <row r="4982">
      <c r="A4982" s="4" t="inlineStr">
        <is>
          <t>01/08/2024</t>
        </is>
      </c>
      <c r="B4982" s="31" t="n">
        <v>61.44</v>
      </c>
    </row>
    <row r="4983">
      <c r="A4983" s="4" t="inlineStr">
        <is>
          <t>02/08/2024</t>
        </is>
      </c>
      <c r="B4983" s="31" t="n">
        <v>61.33</v>
      </c>
    </row>
    <row r="4984">
      <c r="A4984" s="4" t="inlineStr">
        <is>
          <t>05/08/2024</t>
        </is>
      </c>
      <c r="B4984" s="31" t="n">
        <v>61.13</v>
      </c>
    </row>
    <row r="4985">
      <c r="A4985" s="4" t="inlineStr">
        <is>
          <t>06/08/2024</t>
        </is>
      </c>
      <c r="B4985" s="31" t="n">
        <v>61.18</v>
      </c>
    </row>
    <row r="4986">
      <c r="A4986" s="4" t="inlineStr">
        <is>
          <t>07/08/2024</t>
        </is>
      </c>
      <c r="B4986" s="31" t="n">
        <v>61.19</v>
      </c>
    </row>
    <row r="4987">
      <c r="A4987" s="4" t="inlineStr">
        <is>
          <t>08/08/2024</t>
        </is>
      </c>
      <c r="B4987" s="31" t="n">
        <v>61</v>
      </c>
    </row>
    <row r="4988">
      <c r="A4988" s="4" t="inlineStr">
        <is>
          <t>09/08/2024</t>
        </is>
      </c>
      <c r="B4988" s="31" t="n">
        <v>60.84</v>
      </c>
    </row>
    <row r="4989">
      <c r="A4989" s="4" t="inlineStr">
        <is>
          <t>12/08/2024</t>
        </is>
      </c>
      <c r="B4989" s="31" t="n">
        <v>61.06</v>
      </c>
    </row>
    <row r="4990">
      <c r="A4990" s="4" t="inlineStr">
        <is>
          <t>13/08/2024</t>
        </is>
      </c>
      <c r="B4990" s="31" t="n">
        <v>61.21</v>
      </c>
    </row>
    <row r="4991">
      <c r="A4991" s="4" t="inlineStr">
        <is>
          <t>14/08/2024</t>
        </is>
      </c>
      <c r="B4991" s="31" t="n">
        <v>61.39</v>
      </c>
    </row>
    <row r="4992">
      <c r="A4992" s="4" t="inlineStr">
        <is>
          <t>15/08/2024</t>
        </is>
      </c>
      <c r="B4992" s="31" t="n">
        <v>60.99</v>
      </c>
    </row>
    <row r="4993">
      <c r="A4993" s="4" t="inlineStr">
        <is>
          <t>16/08/2024</t>
        </is>
      </c>
      <c r="B4993" s="31" t="n">
        <v>61.76</v>
      </c>
    </row>
    <row r="4994">
      <c r="A4994" s="4" t="inlineStr">
        <is>
          <t>19/08/2024</t>
        </is>
      </c>
      <c r="B4994" s="31" t="n">
        <v>61.84</v>
      </c>
    </row>
    <row r="4995">
      <c r="A4995" s="4" t="inlineStr">
        <is>
          <t>20/08/2024</t>
        </is>
      </c>
      <c r="B4995" s="31" t="n">
        <v>61.7</v>
      </c>
    </row>
    <row r="4996">
      <c r="A4996" s="4" t="inlineStr">
        <is>
          <t>21/08/2024</t>
        </is>
      </c>
      <c r="B4996" s="31" t="n">
        <v>61.9</v>
      </c>
    </row>
    <row r="4997">
      <c r="A4997" s="4" t="inlineStr">
        <is>
          <t>22/08/2024</t>
        </is>
      </c>
      <c r="B4997" s="31" t="n">
        <v>62.14</v>
      </c>
    </row>
    <row r="4998">
      <c r="A4998" s="4" t="inlineStr">
        <is>
          <t>23/08/2024</t>
        </is>
      </c>
      <c r="B4998" s="31" t="n">
        <v>62.04</v>
      </c>
    </row>
    <row r="4999">
      <c r="A4999" s="4" t="inlineStr">
        <is>
          <t>26/08/2024</t>
        </is>
      </c>
      <c r="B4999" s="31" t="n">
        <v>61.75</v>
      </c>
    </row>
    <row r="5000">
      <c r="A5000" s="4" t="inlineStr">
        <is>
          <t>27/08/2024</t>
        </is>
      </c>
      <c r="B5000" s="31" t="n">
        <v>62</v>
      </c>
    </row>
    <row r="5001">
      <c r="A5001" s="4" t="inlineStr">
        <is>
          <t>28/08/2024</t>
        </is>
      </c>
      <c r="B5001" s="31" t="n">
        <v>61.93</v>
      </c>
    </row>
    <row r="5002">
      <c r="A5002" s="4" t="inlineStr">
        <is>
          <t>29/08/2024</t>
        </is>
      </c>
      <c r="B5002" s="31" t="n">
        <v>62.3</v>
      </c>
    </row>
    <row r="5003">
      <c r="A5003" s="4" t="inlineStr">
        <is>
          <t>30/08/2024</t>
        </is>
      </c>
      <c r="B5003" s="31" t="n">
        <v>62.63</v>
      </c>
    </row>
    <row r="5004">
      <c r="A5004" s="4" t="inlineStr">
        <is>
          <t>02/09/2024</t>
        </is>
      </c>
      <c r="B5004" s="31" t="n">
        <v>62.35</v>
      </c>
    </row>
    <row r="5005">
      <c r="A5005" s="4" t="inlineStr">
        <is>
          <t>03/09/2024</t>
        </is>
      </c>
      <c r="B5005" s="31" t="n">
        <v>62.81</v>
      </c>
    </row>
    <row r="5006">
      <c r="A5006" s="4" t="inlineStr">
        <is>
          <t>04/09/2024</t>
        </is>
      </c>
      <c r="B5006" s="31" t="n">
        <v>63.25</v>
      </c>
    </row>
    <row r="5007">
      <c r="A5007" s="4" t="inlineStr">
        <is>
          <t>05/09/2024</t>
        </is>
      </c>
      <c r="B5007" s="31" t="n">
        <v>63.58</v>
      </c>
    </row>
    <row r="5008">
      <c r="A5008" s="4" t="inlineStr">
        <is>
          <t>06/09/2024</t>
        </is>
      </c>
      <c r="B5008" s="31" t="n">
        <v>63.86</v>
      </c>
    </row>
    <row r="5009">
      <c r="A5009" s="4" t="inlineStr">
        <is>
          <t>09/09/2024</t>
        </is>
      </c>
      <c r="B5009" s="31" t="n">
        <v>64.03</v>
      </c>
    </row>
    <row r="5010">
      <c r="A5010" s="4" t="inlineStr">
        <is>
          <t>10/09/2024</t>
        </is>
      </c>
      <c r="B5010" s="31" t="n">
        <v>64.53</v>
      </c>
    </row>
    <row r="5011">
      <c r="A5011" s="4" t="inlineStr">
        <is>
          <t>11/09/2024</t>
        </is>
      </c>
      <c r="B5011" s="31" t="n">
        <v>65.15000000000001</v>
      </c>
    </row>
    <row r="5012">
      <c r="A5012" s="4" t="inlineStr">
        <is>
          <t>12/09/2024</t>
        </is>
      </c>
      <c r="B5012" s="31" t="n">
        <v>65.23</v>
      </c>
    </row>
    <row r="5013">
      <c r="A5013" s="4" t="inlineStr">
        <is>
          <t>13/09/2024</t>
        </is>
      </c>
      <c r="B5013" s="31" t="n">
        <v>64.45</v>
      </c>
    </row>
    <row r="5014">
      <c r="A5014" s="4" t="inlineStr">
        <is>
          <t>16/09/2024</t>
        </is>
      </c>
      <c r="B5014" s="31" t="n">
        <v>64.12</v>
      </c>
    </row>
    <row r="5015">
      <c r="A5015" s="4" t="inlineStr">
        <is>
          <t>17/09/2024</t>
        </is>
      </c>
      <c r="B5015" s="31" t="n">
        <v>63.71</v>
      </c>
    </row>
    <row r="5016">
      <c r="A5016" s="4" t="inlineStr">
        <is>
          <t>18/09/2024</t>
        </is>
      </c>
      <c r="B5016" s="31" t="n">
        <v>64.04000000000001</v>
      </c>
    </row>
    <row r="5017">
      <c r="A5017" s="4" t="inlineStr">
        <is>
          <t>19/09/2024</t>
        </is>
      </c>
      <c r="B5017" s="31" t="n">
        <v>64.01000000000001</v>
      </c>
    </row>
    <row r="5018">
      <c r="A5018" s="4" t="inlineStr">
        <is>
          <t>20/09/2024</t>
        </is>
      </c>
      <c r="B5018" s="31" t="n">
        <v>63.89</v>
      </c>
    </row>
    <row r="5019">
      <c r="A5019" s="4" t="inlineStr">
        <is>
          <t>23/09/2024</t>
        </is>
      </c>
      <c r="B5019" s="31" t="n">
        <v>64.40000000000001</v>
      </c>
    </row>
    <row r="5020">
      <c r="A5020" s="4" t="inlineStr">
        <is>
          <t>24/09/2024</t>
        </is>
      </c>
      <c r="B5020" s="31" t="n">
        <v>64.95999999999999</v>
      </c>
    </row>
    <row r="5021">
      <c r="A5021" s="4" t="inlineStr">
        <is>
          <t>25/09/2024</t>
        </is>
      </c>
      <c r="B5021" s="31" t="n">
        <v>65.06999999999999</v>
      </c>
    </row>
    <row r="5022">
      <c r="A5022" s="4" t="inlineStr">
        <is>
          <t>26/09/2024</t>
        </is>
      </c>
      <c r="B5022" s="31" t="n">
        <v>65.3</v>
      </c>
    </row>
    <row r="5023">
      <c r="A5023" s="4" t="inlineStr">
        <is>
          <t>27/09/2024</t>
        </is>
      </c>
      <c r="B5023" s="31" t="n">
        <v>65.62</v>
      </c>
    </row>
    <row r="5024">
      <c r="A5024" s="4" t="inlineStr">
        <is>
          <t>30/09/2024</t>
        </is>
      </c>
      <c r="B5024" s="31" t="n">
        <v>66.05</v>
      </c>
    </row>
    <row r="5025">
      <c r="A5025" s="4" t="inlineStr">
        <is>
          <t>01/10/2024</t>
        </is>
      </c>
      <c r="B5025" s="31" t="n">
        <v>65.81</v>
      </c>
    </row>
    <row r="5026">
      <c r="A5026" s="4" t="inlineStr">
        <is>
          <t>02/10/2024</t>
        </is>
      </c>
      <c r="B5026" s="31" t="n">
        <v>66.3</v>
      </c>
    </row>
    <row r="5027">
      <c r="A5027" s="4" t="inlineStr">
        <is>
          <t>03/10/2024</t>
        </is>
      </c>
      <c r="B5027" s="31" t="n">
        <v>66.48999999999999</v>
      </c>
    </row>
    <row r="5028">
      <c r="A5028" s="4" t="inlineStr">
        <is>
          <t>04/10/2024</t>
        </is>
      </c>
      <c r="B5028" s="31" t="n">
        <v>67</v>
      </c>
    </row>
    <row r="5029">
      <c r="A5029" s="4" t="inlineStr">
        <is>
          <t>07/10/2024</t>
        </is>
      </c>
      <c r="B5029" s="31" t="n">
        <v>66.83</v>
      </c>
    </row>
    <row r="5030">
      <c r="A5030" s="4" t="inlineStr">
        <is>
          <t>08/10/2024</t>
        </is>
      </c>
      <c r="B5030" s="31" t="n">
        <v>67</v>
      </c>
    </row>
    <row r="5031">
      <c r="A5031" s="4" t="inlineStr">
        <is>
          <t>09/10/2024</t>
        </is>
      </c>
      <c r="B5031" s="31" t="n">
        <v>67.87</v>
      </c>
    </row>
    <row r="5032">
      <c r="A5032" s="4" t="inlineStr">
        <is>
          <t>10/10/2024</t>
        </is>
      </c>
      <c r="B5032" s="31" t="n">
        <v>68.48999999999999</v>
      </c>
    </row>
    <row r="5033">
      <c r="A5033" s="4" t="inlineStr">
        <is>
          <t>11/10/2024</t>
        </is>
      </c>
      <c r="B5033" s="31" t="n">
        <v>68.55</v>
      </c>
    </row>
    <row r="5034">
      <c r="A5034" s="4" t="inlineStr">
        <is>
          <t>14/10/2024</t>
        </is>
      </c>
      <c r="B5034" s="31" t="n">
        <v>68.61</v>
      </c>
    </row>
    <row r="5035">
      <c r="A5035" s="4" t="inlineStr">
        <is>
          <t>15/10/2024</t>
        </is>
      </c>
      <c r="B5035" s="31" t="n">
        <v>68.77</v>
      </c>
    </row>
    <row r="5036">
      <c r="A5036" s="4" t="inlineStr">
        <is>
          <t>16/10/2024</t>
        </is>
      </c>
      <c r="B5036" s="31" t="n">
        <v>69.25</v>
      </c>
    </row>
    <row r="5037">
      <c r="A5037" s="4" t="inlineStr">
        <is>
          <t>17/10/2024</t>
        </is>
      </c>
      <c r="B5037" s="31" t="n">
        <v>69.23</v>
      </c>
    </row>
    <row r="5038">
      <c r="A5038" s="4" t="inlineStr">
        <is>
          <t>18/10/2024</t>
        </is>
      </c>
      <c r="B5038" s="31" t="n">
        <v>69.59</v>
      </c>
    </row>
    <row r="5039">
      <c r="A5039" s="4" t="inlineStr">
        <is>
          <t>21/10/2024</t>
        </is>
      </c>
      <c r="B5039" s="31" t="n">
        <v>70.59</v>
      </c>
    </row>
    <row r="5040">
      <c r="A5040" s="4" t="inlineStr">
        <is>
          <t>22/10/2024</t>
        </is>
      </c>
      <c r="B5040" s="31" t="n">
        <v>70.77</v>
      </c>
    </row>
    <row r="5041">
      <c r="A5041" s="4" t="inlineStr">
        <is>
          <t>23/10/2024</t>
        </is>
      </c>
      <c r="B5041" s="31" t="n">
        <v>71.43000000000001</v>
      </c>
    </row>
    <row r="5042">
      <c r="A5042" s="4" t="inlineStr">
        <is>
          <t>24/10/2024</t>
        </is>
      </c>
      <c r="B5042" s="31" t="n">
        <v>72.20999999999999</v>
      </c>
    </row>
    <row r="5043">
      <c r="A5043" s="4" t="inlineStr">
        <is>
          <t>25/10/2024</t>
        </is>
      </c>
      <c r="B5043" s="31" t="n">
        <v>72.52</v>
      </c>
    </row>
    <row r="5044">
      <c r="A5044" s="4" t="inlineStr">
        <is>
          <t>28/10/2024</t>
        </is>
      </c>
      <c r="B5044" s="31" t="n">
        <v>73.03</v>
      </c>
    </row>
    <row r="5045">
      <c r="A5045" s="4" t="inlineStr">
        <is>
          <t>29/10/2024</t>
        </is>
      </c>
      <c r="B5045" s="31" t="n">
        <v>73.23</v>
      </c>
    </row>
    <row r="5046">
      <c r="A5046" s="4" t="inlineStr">
        <is>
          <t>30/10/2024</t>
        </is>
      </c>
      <c r="B5046" s="31" t="n">
        <v>73.53</v>
      </c>
    </row>
    <row r="5047">
      <c r="A5047" s="4" t="inlineStr">
        <is>
          <t>31/10/2024</t>
        </is>
      </c>
      <c r="B5047" s="31" t="n">
        <v>73.81</v>
      </c>
    </row>
    <row r="5048">
      <c r="A5048" s="4" t="inlineStr">
        <is>
          <t>01/11/2024</t>
        </is>
      </c>
      <c r="B5048" s="31" t="n">
        <v>73.03</v>
      </c>
    </row>
    <row r="5049">
      <c r="A5049" s="4" t="inlineStr">
        <is>
          <t>04/11/2024</t>
        </is>
      </c>
      <c r="B5049" s="31" t="n">
        <v>72.84999999999999</v>
      </c>
    </row>
    <row r="5050">
      <c r="A5050" s="4" t="inlineStr">
        <is>
          <t>05/11/2024</t>
        </is>
      </c>
      <c r="B5050" s="31" t="n">
        <v>72.98999999999999</v>
      </c>
    </row>
    <row r="5051">
      <c r="A5051" s="4" t="inlineStr">
        <is>
          <t>06/11/2024</t>
        </is>
      </c>
      <c r="B5051" s="31" t="n">
        <v>74.13</v>
      </c>
    </row>
    <row r="5052">
      <c r="A5052" s="4" t="inlineStr">
        <is>
          <t>07/11/2024</t>
        </is>
      </c>
      <c r="B5052" s="31" t="n">
        <v>74.33</v>
      </c>
    </row>
    <row r="5053">
      <c r="A5053" s="4" t="inlineStr">
        <is>
          <t>08/11/2024</t>
        </is>
      </c>
      <c r="B5053" s="31" t="n">
        <v>74.56</v>
      </c>
    </row>
    <row r="5054">
      <c r="A5054" s="4" t="inlineStr">
        <is>
          <t>11/11/2024</t>
        </is>
      </c>
      <c r="B5054" s="31" t="n">
        <v>74.47</v>
      </c>
    </row>
    <row r="5055">
      <c r="A5055" s="4" t="inlineStr">
        <is>
          <t>12/11/2024</t>
        </is>
      </c>
      <c r="B5055" s="31" t="n">
        <v>74.29000000000001</v>
      </c>
    </row>
    <row r="5056">
      <c r="A5056" s="4" t="inlineStr">
        <is>
          <t>13/11/2024</t>
        </is>
      </c>
      <c r="B5056" s="31" t="n">
        <v>74.37</v>
      </c>
    </row>
    <row r="5057">
      <c r="A5057" s="4" t="inlineStr">
        <is>
          <t>14/11/2024</t>
        </is>
      </c>
      <c r="B5057" s="31" t="n">
        <v>74.59</v>
      </c>
    </row>
    <row r="5058">
      <c r="A5058" s="4" t="inlineStr">
        <is>
          <t>18/11/2024</t>
        </is>
      </c>
      <c r="B5058" s="31" t="n">
        <v>74.58</v>
      </c>
    </row>
    <row r="5059">
      <c r="A5059" s="4" t="inlineStr">
        <is>
          <t>19/11/2024</t>
        </is>
      </c>
      <c r="B5059" s="31" t="n">
        <v>73.47</v>
      </c>
    </row>
    <row r="5060">
      <c r="A5060" s="4" t="inlineStr">
        <is>
          <t>21/11/2024</t>
        </is>
      </c>
      <c r="B5060" s="31" t="n">
        <v>73.38</v>
      </c>
    </row>
    <row r="5061">
      <c r="A5061" s="4" t="inlineStr">
        <is>
          <t>22/11/2024</t>
        </is>
      </c>
      <c r="B5061" s="31" t="n">
        <v>73.33</v>
      </c>
    </row>
    <row r="5062">
      <c r="A5062" s="4" t="inlineStr">
        <is>
          <t>25/11/2024</t>
        </is>
      </c>
      <c r="B5062" s="31" t="n">
        <v>73.40000000000001</v>
      </c>
    </row>
    <row r="5063">
      <c r="A5063" s="4" t="inlineStr">
        <is>
          <t>26/11/2024</t>
        </is>
      </c>
      <c r="B5063" s="31" t="n">
        <v>73.04000000000001</v>
      </c>
    </row>
    <row r="5064">
      <c r="A5064" s="4" t="inlineStr">
        <is>
          <t>27/11/2024</t>
        </is>
      </c>
      <c r="B5064" s="31" t="n">
        <v>72.43000000000001</v>
      </c>
    </row>
    <row r="5065">
      <c r="A5065" s="4" t="inlineStr">
        <is>
          <t>28/11/2024</t>
        </is>
      </c>
      <c r="B5065" s="31" t="n">
        <v>72.38</v>
      </c>
    </row>
    <row r="5066">
      <c r="A5066" s="4" t="inlineStr">
        <is>
          <t>29/11/2024</t>
        </is>
      </c>
      <c r="B5066" s="31" t="n">
        <v>72.69</v>
      </c>
    </row>
    <row r="5067">
      <c r="A5067" s="4" t="inlineStr">
        <is>
          <t>02/12/2024</t>
        </is>
      </c>
      <c r="B5067" s="31" t="n">
        <v>71.93000000000001</v>
      </c>
    </row>
    <row r="5068">
      <c r="A5068" s="4" t="inlineStr">
        <is>
          <t>03/12/2024</t>
        </is>
      </c>
      <c r="B5068" s="31" t="n">
        <v>71.81</v>
      </c>
    </row>
    <row r="5069">
      <c r="A5069" s="4" t="inlineStr">
        <is>
          <t>04/12/2024</t>
        </is>
      </c>
      <c r="B5069" s="31" t="n">
        <v>71.70999999999999</v>
      </c>
    </row>
    <row r="5070">
      <c r="A5070" s="4" t="inlineStr">
        <is>
          <t>05/12/2024</t>
        </is>
      </c>
      <c r="B5070" s="31" t="n">
        <v>72.33</v>
      </c>
    </row>
    <row r="5071">
      <c r="A5071" s="4" t="inlineStr">
        <is>
          <t>06/12/2024</t>
        </is>
      </c>
      <c r="B5071" s="31" t="n">
        <v>72.44</v>
      </c>
    </row>
    <row r="5072">
      <c r="A5072" s="4" t="inlineStr">
        <is>
          <t>09/12/2024</t>
        </is>
      </c>
      <c r="B5072" s="31" t="n">
        <v>72.77</v>
      </c>
    </row>
    <row r="5073">
      <c r="A5073" s="4" t="inlineStr">
        <is>
          <t>10/12/2024</t>
        </is>
      </c>
      <c r="B5073" s="31" t="n">
        <v>72.84999999999999</v>
      </c>
    </row>
    <row r="5074">
      <c r="A5074" s="4" t="inlineStr">
        <is>
          <t>11/12/2024</t>
        </is>
      </c>
      <c r="B5074" s="31" t="n">
        <v>72.90000000000001</v>
      </c>
    </row>
    <row r="5075">
      <c r="A5075" s="4" t="inlineStr">
        <is>
          <t>12/12/2024</t>
        </is>
      </c>
      <c r="B5075" s="31" t="n">
        <v>72.48999999999999</v>
      </c>
    </row>
    <row r="5076">
      <c r="A5076" s="4" t="inlineStr">
        <is>
          <t>13/12/2024</t>
        </is>
      </c>
      <c r="B5076" s="31" t="n">
        <v>72.17</v>
      </c>
    </row>
    <row r="5077">
      <c r="A5077" s="4" t="inlineStr">
        <is>
          <t>16/12/2024</t>
        </is>
      </c>
      <c r="B5077" s="31" t="n">
        <v>72.13</v>
      </c>
    </row>
    <row r="5078">
      <c r="A5078" s="4" t="inlineStr">
        <is>
          <t>17/12/2024</t>
        </is>
      </c>
      <c r="B5078" s="31" t="n">
        <v>71.97</v>
      </c>
    </row>
    <row r="5079">
      <c r="A5079" s="4" t="inlineStr">
        <is>
          <t>18/12/2024</t>
        </is>
      </c>
      <c r="B5079" s="31" t="n">
        <v>71.98</v>
      </c>
    </row>
    <row r="5080">
      <c r="A5080" s="4" t="inlineStr">
        <is>
          <t>19/12/2024</t>
        </is>
      </c>
      <c r="B5080" s="31" t="n">
        <v>71.69</v>
      </c>
    </row>
    <row r="5081">
      <c r="A5081" s="4" t="inlineStr">
        <is>
          <t>20/12/2024</t>
        </is>
      </c>
      <c r="B5081" s="31" t="n">
        <v>71.97</v>
      </c>
    </row>
    <row r="5082">
      <c r="A5082" s="4" t="inlineStr">
        <is>
          <t>23/12/2024</t>
        </is>
      </c>
      <c r="B5082" s="31" t="n">
        <v>72.08</v>
      </c>
    </row>
    <row r="5083">
      <c r="A5083" s="4" t="inlineStr">
        <is>
          <t>26/12/2024</t>
        </is>
      </c>
      <c r="B5083" s="31" t="n">
        <v>71.93000000000001</v>
      </c>
    </row>
    <row r="5084">
      <c r="A5084" s="4" t="inlineStr">
        <is>
          <t>27/12/2024</t>
        </is>
      </c>
      <c r="B5084" s="31" t="n">
        <v>71.89</v>
      </c>
    </row>
    <row r="5085">
      <c r="A5085" s="4" t="inlineStr">
        <is>
          <t>30/12/2024</t>
        </is>
      </c>
      <c r="B5085" s="31" t="n">
        <v>71.93000000000001</v>
      </c>
    </row>
    <row r="5086">
      <c r="A5086" s="4" t="inlineStr">
        <is>
          <t>02/01/2025</t>
        </is>
      </c>
      <c r="B5086" s="31" t="n">
        <v>71.98999999999999</v>
      </c>
    </row>
    <row r="5087">
      <c r="A5087" s="4" t="inlineStr">
        <is>
          <t>03/01/2025</t>
        </is>
      </c>
      <c r="B5087" s="31" t="n">
        <v>72.03</v>
      </c>
    </row>
    <row r="5088">
      <c r="A5088" s="4" t="inlineStr">
        <is>
          <t>06/01/2025</t>
        </is>
      </c>
      <c r="B5088" s="31" t="n">
        <v>72.18000000000001</v>
      </c>
    </row>
    <row r="5089">
      <c r="A5089" s="4" t="inlineStr">
        <is>
          <t>07/01/2025</t>
        </is>
      </c>
      <c r="B5089" s="31" t="n">
        <v>73.01000000000001</v>
      </c>
    </row>
    <row r="5090">
      <c r="A5090" s="4" t="inlineStr">
        <is>
          <t>08/01/2025</t>
        </is>
      </c>
      <c r="B5090" s="31" t="n">
        <v>73.26000000000001</v>
      </c>
    </row>
    <row r="5091">
      <c r="A5091" s="4" t="inlineStr">
        <is>
          <t>09/01/2025</t>
        </is>
      </c>
      <c r="B5091" s="31" t="n">
        <v>73.34999999999999</v>
      </c>
    </row>
    <row r="5092">
      <c r="A5092" s="4" t="inlineStr">
        <is>
          <t>10/01/2025</t>
        </is>
      </c>
      <c r="B5092" s="31" t="n">
        <v>73.93000000000001</v>
      </c>
    </row>
    <row r="5093">
      <c r="A5093" s="4" t="inlineStr">
        <is>
          <t>13/01/2025</t>
        </is>
      </c>
      <c r="B5093" s="31" t="n">
        <v>73.94</v>
      </c>
    </row>
    <row r="5094">
      <c r="A5094" s="4" t="inlineStr">
        <is>
          <t>14/01/2025</t>
        </is>
      </c>
      <c r="B5094" s="31" t="n">
        <v>73.70999999999999</v>
      </c>
    </row>
    <row r="5095">
      <c r="A5095" s="4" t="inlineStr">
        <is>
          <t>15/01/2025</t>
        </is>
      </c>
      <c r="B5095" s="31" t="n">
        <v>73.98999999999999</v>
      </c>
    </row>
    <row r="5096">
      <c r="A5096" s="4" t="inlineStr">
        <is>
          <t>16/01/2025</t>
        </is>
      </c>
      <c r="B5096" s="31" t="n">
        <v>73.45</v>
      </c>
    </row>
    <row r="5097">
      <c r="A5097" s="4" t="inlineStr">
        <is>
          <t>17/01/2025</t>
        </is>
      </c>
      <c r="B5097" s="31" t="n">
        <v>73.28</v>
      </c>
    </row>
    <row r="5098">
      <c r="A5098" s="4" t="inlineStr">
        <is>
          <t>20/01/2025</t>
        </is>
      </c>
      <c r="B5098" s="31" t="n">
        <v>72.88</v>
      </c>
    </row>
    <row r="5099">
      <c r="A5099" s="4" t="inlineStr">
        <is>
          <t>21/01/2025</t>
        </is>
      </c>
      <c r="B5099" s="31" t="n">
        <v>73.05</v>
      </c>
    </row>
    <row r="5100">
      <c r="A5100" s="4" t="inlineStr">
        <is>
          <t>22/01/2025</t>
        </is>
      </c>
      <c r="B5100" s="31" t="n">
        <v>73.13</v>
      </c>
    </row>
    <row r="5101">
      <c r="A5101" s="4" t="inlineStr">
        <is>
          <t>23/01/2025</t>
        </is>
      </c>
      <c r="B5101" s="31" t="n">
        <v>72.91</v>
      </c>
    </row>
    <row r="5102">
      <c r="A5102" s="4" t="inlineStr">
        <is>
          <t>24/01/2025</t>
        </is>
      </c>
      <c r="B5102" s="31" t="n">
        <v>72.89</v>
      </c>
    </row>
    <row r="5103">
      <c r="A5103" s="4" t="inlineStr">
        <is>
          <t>27/01/2025</t>
        </is>
      </c>
      <c r="B5103" s="31" t="n">
        <v>73.06999999999999</v>
      </c>
    </row>
    <row r="5104">
      <c r="A5104" s="4" t="inlineStr">
        <is>
          <t>28/01/2025</t>
        </is>
      </c>
      <c r="B5104" s="31" t="n">
        <v>73.08</v>
      </c>
    </row>
    <row r="5105">
      <c r="A5105" s="4" t="inlineStr">
        <is>
          <t>29/01/2025</t>
        </is>
      </c>
      <c r="B5105" s="31" t="n">
        <v>73.52</v>
      </c>
    </row>
    <row r="5106">
      <c r="A5106" s="4" t="inlineStr">
        <is>
          <t>30/01/2025</t>
        </is>
      </c>
      <c r="B5106" s="31" t="n">
        <v>73.81</v>
      </c>
    </row>
    <row r="5107">
      <c r="A5107" s="4" t="inlineStr">
        <is>
          <t>31/01/2025</t>
        </is>
      </c>
      <c r="B5107" s="31" t="n">
        <v>74.01000000000001</v>
      </c>
    </row>
    <row r="5108">
      <c r="A5108" s="4" t="inlineStr">
        <is>
          <t>03/02/2025</t>
        </is>
      </c>
      <c r="B5108" s="31" t="n">
        <v>73.55</v>
      </c>
    </row>
    <row r="5109">
      <c r="A5109" s="4" t="inlineStr">
        <is>
          <t>04/02/2025</t>
        </is>
      </c>
      <c r="B5109" s="31" t="n">
        <v>73.83</v>
      </c>
    </row>
    <row r="5110">
      <c r="A5110" s="4" t="inlineStr">
        <is>
          <t>05/02/2025</t>
        </is>
      </c>
      <c r="B5110" s="31" t="n">
        <v>74.26000000000001</v>
      </c>
    </row>
    <row r="5111">
      <c r="A5111" s="4" t="inlineStr">
        <is>
          <t>06/02/2025</t>
        </is>
      </c>
      <c r="B5111" s="31" t="n">
        <v>74.63</v>
      </c>
    </row>
    <row r="5112">
      <c r="A5112" s="4" t="inlineStr">
        <is>
          <t>07/02/2025</t>
        </is>
      </c>
      <c r="B5112" s="31" t="n">
        <v>75.43000000000001</v>
      </c>
    </row>
    <row r="5113">
      <c r="A5113" s="4" t="inlineStr">
        <is>
          <t>10/02/2025</t>
        </is>
      </c>
      <c r="B5113" s="31" t="n">
        <v>75.45</v>
      </c>
    </row>
    <row r="5114">
      <c r="A5114" s="4" t="inlineStr">
        <is>
          <t>11/02/2025</t>
        </is>
      </c>
      <c r="B5114" s="31" t="n">
        <v>76.13</v>
      </c>
    </row>
    <row r="5115">
      <c r="A5115" s="4" t="inlineStr">
        <is>
          <t>12/02/2025</t>
        </is>
      </c>
      <c r="B5115" s="31" t="n">
        <v>77.15000000000001</v>
      </c>
    </row>
    <row r="5116">
      <c r="A5116" s="4" t="inlineStr">
        <is>
          <t>13/02/2025</t>
        </is>
      </c>
      <c r="B5116" s="31" t="n">
        <v>77.27</v>
      </c>
    </row>
    <row r="5117">
      <c r="A5117" s="4" t="inlineStr">
        <is>
          <t>14/02/2025</t>
        </is>
      </c>
      <c r="B5117" s="31" t="n">
        <v>77.98999999999999</v>
      </c>
    </row>
    <row r="5118">
      <c r="A5118" s="4" t="inlineStr">
        <is>
          <t>17/02/2025</t>
        </is>
      </c>
      <c r="B5118" s="31" t="n">
        <v>77.75</v>
      </c>
    </row>
    <row r="5119">
      <c r="A5119" s="4" t="inlineStr">
        <is>
          <t>18/02/2025</t>
        </is>
      </c>
      <c r="B5119" s="31" t="n">
        <v>77.06</v>
      </c>
    </row>
    <row r="5120">
      <c r="A5120" s="4" t="inlineStr">
        <is>
          <t>19/02/2025</t>
        </is>
      </c>
      <c r="B5120" s="31" t="n">
        <v>79.36</v>
      </c>
    </row>
    <row r="5121">
      <c r="A5121" s="4" t="inlineStr">
        <is>
          <t>20/02/2025</t>
        </is>
      </c>
      <c r="B5121" s="31" t="n">
        <v>81.66</v>
      </c>
    </row>
    <row r="5122">
      <c r="A5122" s="4" t="inlineStr">
        <is>
          <t>21/02/2025</t>
        </is>
      </c>
      <c r="B5122" s="31" t="n">
        <v>82.22</v>
      </c>
    </row>
    <row r="5123">
      <c r="A5123" s="4" t="inlineStr">
        <is>
          <t>24/02/2025</t>
        </is>
      </c>
      <c r="B5123" s="31" t="n">
        <v>82.86</v>
      </c>
    </row>
    <row r="5124">
      <c r="A5124" s="4" t="inlineStr">
        <is>
          <t>25/02/2025</t>
        </is>
      </c>
      <c r="B5124" s="31" t="n">
        <v>84.64</v>
      </c>
    </row>
    <row r="5125">
      <c r="A5125" s="4" t="inlineStr">
        <is>
          <t>26/02/2025</t>
        </is>
      </c>
      <c r="B5125" s="31" t="n">
        <v>85.14</v>
      </c>
    </row>
    <row r="5126">
      <c r="A5126" s="4" t="inlineStr">
        <is>
          <t>27/02/2025</t>
        </is>
      </c>
      <c r="B5126" s="31" t="n">
        <v>85.62</v>
      </c>
    </row>
    <row r="5127">
      <c r="A5127" s="4" t="inlineStr">
        <is>
          <t>28/02/2025</t>
        </is>
      </c>
      <c r="B5127" s="31" t="n">
        <v>85.44</v>
      </c>
    </row>
    <row r="5128">
      <c r="A5128" s="4" t="inlineStr">
        <is>
          <t>05/03/2025</t>
        </is>
      </c>
      <c r="B5128" s="31" t="n">
        <v>85.91</v>
      </c>
    </row>
    <row r="5129">
      <c r="A5129" s="4" t="inlineStr">
        <is>
          <t>06/03/2025</t>
        </is>
      </c>
      <c r="B5129" s="31" t="n">
        <v>86.08</v>
      </c>
    </row>
    <row r="5130">
      <c r="A5130" s="4" t="inlineStr">
        <is>
          <t>07/03/2025</t>
        </is>
      </c>
      <c r="B5130" s="31" t="n">
        <v>86.93000000000001</v>
      </c>
    </row>
    <row r="5131">
      <c r="A5131" s="4" t="inlineStr">
        <is>
          <t>10/03/2025</t>
        </is>
      </c>
      <c r="B5131" s="31" t="n">
        <v>86.73999999999999</v>
      </c>
    </row>
    <row r="5132">
      <c r="A5132" s="4" t="inlineStr">
        <is>
          <t>11/03/2025</t>
        </is>
      </c>
      <c r="B5132" s="31" t="n">
        <v>87.29000000000001</v>
      </c>
    </row>
    <row r="5133">
      <c r="A5133" s="4" t="inlineStr">
        <is>
          <t>12/03/2025</t>
        </is>
      </c>
      <c r="B5133" s="31" t="n">
        <v>87.59</v>
      </c>
    </row>
    <row r="5134">
      <c r="A5134" s="4" t="inlineStr">
        <is>
          <t>13/03/2025</t>
        </is>
      </c>
      <c r="B5134" s="31" t="n">
        <v>88.06999999999999</v>
      </c>
    </row>
    <row r="5135">
      <c r="A5135" s="4" t="inlineStr">
        <is>
          <t>14/03/2025</t>
        </is>
      </c>
      <c r="B5135" s="31" t="n">
        <v>88.02</v>
      </c>
    </row>
    <row r="5136">
      <c r="A5136" s="4" t="inlineStr">
        <is>
          <t>17/03/2025</t>
        </is>
      </c>
      <c r="B5136" s="31" t="n">
        <v>88.45</v>
      </c>
    </row>
    <row r="5137">
      <c r="A5137" s="4" t="inlineStr">
        <is>
          <t>18/03/2025</t>
        </is>
      </c>
      <c r="B5137" s="31" t="n">
        <v>88.51000000000001</v>
      </c>
    </row>
    <row r="5138">
      <c r="A5138" s="4" t="inlineStr">
        <is>
          <t>19/03/2025</t>
        </is>
      </c>
      <c r="B5138" s="31" t="n">
        <v>88.37</v>
      </c>
    </row>
    <row r="5139">
      <c r="A5139" s="4" t="inlineStr">
        <is>
          <t>20/03/2025</t>
        </is>
      </c>
      <c r="B5139" s="31" t="n">
        <v>88.27</v>
      </c>
    </row>
    <row r="5140">
      <c r="A5140" s="4" t="inlineStr">
        <is>
          <t>21/03/2025</t>
        </is>
      </c>
      <c r="B5140" s="31" t="n">
        <v>88.33</v>
      </c>
    </row>
    <row r="5141">
      <c r="A5141" s="4" t="inlineStr">
        <is>
          <t>24/03/2025</t>
        </is>
      </c>
      <c r="B5141" s="31" t="n">
        <v>87.94</v>
      </c>
    </row>
    <row r="5142">
      <c r="A5142" s="4" t="inlineStr">
        <is>
          <t>25/03/2025</t>
        </is>
      </c>
      <c r="B5142" s="31" t="n">
        <v>87.33</v>
      </c>
    </row>
    <row r="5143">
      <c r="A5143" s="4" t="inlineStr">
        <is>
          <t>26/03/2025</t>
        </is>
      </c>
      <c r="B5143" s="31" t="n">
        <v>87.15000000000001</v>
      </c>
    </row>
    <row r="5144">
      <c r="A5144" s="4" t="inlineStr">
        <is>
          <t>27/03/2025</t>
        </is>
      </c>
      <c r="B5144" s="31" t="n">
        <v>86.15000000000001</v>
      </c>
    </row>
    <row r="5145">
      <c r="A5145" s="4" t="inlineStr">
        <is>
          <t>28/03/2025</t>
        </is>
      </c>
      <c r="B5145" s="31" t="n">
        <v>86.09999999999999</v>
      </c>
    </row>
    <row r="5146">
      <c r="A5146" s="4" t="inlineStr">
        <is>
          <t>31/03/2025</t>
        </is>
      </c>
      <c r="B5146" s="31" t="n">
        <v>85.95</v>
      </c>
    </row>
    <row r="5147">
      <c r="A5147" s="4" t="inlineStr">
        <is>
          <t>01/04/2025</t>
        </is>
      </c>
      <c r="B5147" s="31" t="n">
        <v>84.68000000000001</v>
      </c>
    </row>
    <row r="5148">
      <c r="A5148" s="4" t="inlineStr">
        <is>
          <t>02/04/2025</t>
        </is>
      </c>
      <c r="B5148" s="31" t="n">
        <v>84.04000000000001</v>
      </c>
    </row>
    <row r="5149">
      <c r="A5149" s="4" t="inlineStr">
        <is>
          <t>03/04/2025</t>
        </is>
      </c>
      <c r="B5149" s="31" t="n">
        <v>82.92</v>
      </c>
    </row>
    <row r="5150">
      <c r="A5150" s="4" t="inlineStr">
        <is>
          <t>04/04/2025</t>
        </is>
      </c>
      <c r="B5150" s="31" t="n">
        <v>82.73</v>
      </c>
    </row>
    <row r="5151">
      <c r="A5151" s="4" t="inlineStr">
        <is>
          <t>07/04/2025</t>
        </is>
      </c>
      <c r="B5151" s="31" t="n">
        <v>82.93000000000001</v>
      </c>
    </row>
    <row r="5152">
      <c r="A5152" s="4" t="inlineStr">
        <is>
          <t>08/04/2025</t>
        </is>
      </c>
      <c r="B5152" s="31" t="n">
        <v>83.34</v>
      </c>
    </row>
    <row r="5153">
      <c r="A5153" s="4" t="inlineStr">
        <is>
          <t>09/04/2025</t>
        </is>
      </c>
      <c r="B5153" s="31" t="n">
        <v>83.8</v>
      </c>
    </row>
    <row r="5154">
      <c r="A5154" s="4" t="inlineStr">
        <is>
          <t>10/04/2025</t>
        </is>
      </c>
      <c r="B5154" s="31" t="n">
        <v>83.65000000000001</v>
      </c>
    </row>
    <row r="5155">
      <c r="A5155" s="4" t="inlineStr">
        <is>
          <t>11/04/2025</t>
        </is>
      </c>
      <c r="B5155" s="31" t="n">
        <v>83.06999999999999</v>
      </c>
    </row>
    <row r="5156">
      <c r="A5156" s="4" t="inlineStr">
        <is>
          <t>14/04/2025</t>
        </is>
      </c>
      <c r="B5156" s="31" t="n">
        <v>83.38</v>
      </c>
    </row>
    <row r="5157">
      <c r="A5157" s="4" t="inlineStr">
        <is>
          <t>15/04/2025</t>
        </is>
      </c>
      <c r="B5157" s="31" t="n">
        <v>82.81</v>
      </c>
    </row>
    <row r="5158">
      <c r="A5158" s="4" t="inlineStr">
        <is>
          <t>16/04/2025</t>
        </is>
      </c>
      <c r="B5158" s="31" t="n">
        <v>81.90000000000001</v>
      </c>
    </row>
    <row r="5159">
      <c r="A5159" s="4" t="inlineStr">
        <is>
          <t>17/04/2025</t>
        </is>
      </c>
      <c r="B5159" s="31" t="n">
        <v>81.62</v>
      </c>
    </row>
    <row r="5160">
      <c r="A5160" s="4" t="inlineStr">
        <is>
          <t>22/04/2025</t>
        </is>
      </c>
      <c r="B5160" s="31" t="n">
        <v>80.72</v>
      </c>
    </row>
    <row r="5161">
      <c r="A5161" s="4" t="inlineStr">
        <is>
          <t>23/04/2025</t>
        </is>
      </c>
      <c r="B5161" s="31" t="n">
        <v>80.13</v>
      </c>
    </row>
    <row r="5162">
      <c r="A5162" s="4" t="inlineStr">
        <is>
          <t>24/04/2025</t>
        </is>
      </c>
      <c r="B5162" s="31" t="n">
        <v>79.77</v>
      </c>
    </row>
    <row r="5163">
      <c r="A5163" s="4" t="inlineStr">
        <is>
          <t>25/04/2025</t>
        </is>
      </c>
      <c r="B5163" s="31" t="n">
        <v>78.73</v>
      </c>
    </row>
    <row r="5164">
      <c r="A5164" s="4" t="inlineStr">
        <is>
          <t>28/04/2025</t>
        </is>
      </c>
      <c r="B5164" s="31" t="n">
        <v>78.68000000000001</v>
      </c>
    </row>
    <row r="5165">
      <c r="A5165" s="4" t="inlineStr">
        <is>
          <t>29/04/2025</t>
        </is>
      </c>
      <c r="B5165" s="31" t="n">
        <v>78.56999999999999</v>
      </c>
    </row>
    <row r="5166">
      <c r="A5166" s="4" t="inlineStr">
        <is>
          <t>30/04/2025</t>
        </is>
      </c>
      <c r="B5166" s="31" t="n">
        <v>78.33</v>
      </c>
    </row>
    <row r="5167">
      <c r="A5167" s="4" t="inlineStr">
        <is>
          <t>02/05/2025</t>
        </is>
      </c>
      <c r="B5167" s="31" t="n">
        <v>77.68000000000001</v>
      </c>
    </row>
    <row r="5168">
      <c r="A5168" s="4" t="inlineStr">
        <is>
          <t>05/05/2025</t>
        </is>
      </c>
      <c r="B5168" s="31" t="n">
        <v>77.66</v>
      </c>
    </row>
    <row r="5169">
      <c r="A5169" s="4" t="inlineStr">
        <is>
          <t>06/05/2025</t>
        </is>
      </c>
      <c r="B5169" s="31" t="n">
        <v>76.23999999999999</v>
      </c>
    </row>
    <row r="5170">
      <c r="A5170" s="4" t="inlineStr">
        <is>
          <t>07/05/2025</t>
        </is>
      </c>
      <c r="B5170" s="31" t="n">
        <v>75.03</v>
      </c>
    </row>
    <row r="5171">
      <c r="A5171" s="4" t="inlineStr">
        <is>
          <t>08/05/2025</t>
        </is>
      </c>
      <c r="B5171" s="31" t="n">
        <v>74.59</v>
      </c>
    </row>
    <row r="5172">
      <c r="A5172" s="4" t="inlineStr">
        <is>
          <t>09/05/2025</t>
        </is>
      </c>
      <c r="B5172" s="31" t="n">
        <v>73.75</v>
      </c>
    </row>
    <row r="5173">
      <c r="A5173" s="4" t="inlineStr">
        <is>
          <t>12/05/2025</t>
        </is>
      </c>
      <c r="B5173" s="31" t="n">
        <v>73.03</v>
      </c>
    </row>
    <row r="5174">
      <c r="A5174" s="4" t="inlineStr">
        <is>
          <t>13/05/2025</t>
        </is>
      </c>
      <c r="B5174" s="31" t="n">
        <v>72.27</v>
      </c>
    </row>
    <row r="5175">
      <c r="A5175" s="4" t="inlineStr">
        <is>
          <t>14/05/2025</t>
        </is>
      </c>
      <c r="B5175" s="31" t="n">
        <v>71.83</v>
      </c>
    </row>
    <row r="5176">
      <c r="A5176" s="4" t="inlineStr">
        <is>
          <t>15/05/2025</t>
        </is>
      </c>
      <c r="B5176" s="31" t="n">
        <v>71.78</v>
      </c>
    </row>
    <row r="5177">
      <c r="A5177" s="4" t="inlineStr">
        <is>
          <t>16/05/2025</t>
        </is>
      </c>
      <c r="B5177" s="31" t="n">
        <v>71.64</v>
      </c>
    </row>
    <row r="5178">
      <c r="A5178" s="4" t="inlineStr">
        <is>
          <t>19/05/2025</t>
        </is>
      </c>
      <c r="B5178" s="31" t="n">
        <v>71.40000000000001</v>
      </c>
    </row>
    <row r="5179">
      <c r="A5179" s="4" t="inlineStr">
        <is>
          <t>20/05/2025</t>
        </is>
      </c>
      <c r="B5179" s="31" t="n">
        <v>71.31</v>
      </c>
    </row>
    <row r="5180">
      <c r="A5180" s="4" t="inlineStr">
        <is>
          <t>21/05/2025</t>
        </is>
      </c>
      <c r="B5180" s="31" t="n">
        <v>70.76000000000001</v>
      </c>
    </row>
    <row r="5181">
      <c r="A5181" s="4" t="inlineStr">
        <is>
          <t>22/05/2025</t>
        </is>
      </c>
      <c r="B5181" s="31" t="n">
        <v>69.95999999999999</v>
      </c>
    </row>
    <row r="5182">
      <c r="A5182" s="4" t="inlineStr">
        <is>
          <t>23/05/2025</t>
        </is>
      </c>
      <c r="B5182" s="31" t="n">
        <v>69.88</v>
      </c>
    </row>
    <row r="5183">
      <c r="A5183" s="4" t="inlineStr">
        <is>
          <t>26/05/2025</t>
        </is>
      </c>
      <c r="B5183" s="31" t="n">
        <v>69.98</v>
      </c>
    </row>
    <row r="5184">
      <c r="A5184" s="4" t="inlineStr">
        <is>
          <t>27/05/2025</t>
        </is>
      </c>
      <c r="B5184" s="31" t="n">
        <v>69.56999999999999</v>
      </c>
    </row>
    <row r="5185">
      <c r="A5185" s="4" t="inlineStr">
        <is>
          <t>28/05/2025</t>
        </is>
      </c>
      <c r="B5185" s="31" t="n">
        <v>68.2</v>
      </c>
    </row>
    <row r="5186">
      <c r="A5186" s="4" t="inlineStr">
        <is>
          <t>29/05/2025</t>
        </is>
      </c>
      <c r="B5186" s="31" t="n">
        <v>67.95</v>
      </c>
    </row>
    <row r="5187">
      <c r="A5187" s="4" t="inlineStr">
        <is>
          <t>30/05/2025</t>
        </is>
      </c>
      <c r="B5187" s="31" t="n">
        <v>67.73</v>
      </c>
    </row>
    <row r="5188">
      <c r="A5188" s="4" t="inlineStr">
        <is>
          <t>02/06/2025</t>
        </is>
      </c>
      <c r="B5188" s="31" t="n">
        <v>68.78</v>
      </c>
    </row>
    <row r="5189">
      <c r="A5189" s="4" t="inlineStr">
        <is>
          <t>03/06/2025</t>
        </is>
      </c>
      <c r="B5189" s="31" t="n">
        <v>68.81999999999999</v>
      </c>
    </row>
    <row r="5190">
      <c r="A5190" s="4" t="inlineStr">
        <is>
          <t>04/06/2025</t>
        </is>
      </c>
      <c r="B5190" s="31" t="n">
        <v>68.95</v>
      </c>
    </row>
    <row r="5191">
      <c r="A5191" s="4" t="inlineStr">
        <is>
          <t>05/06/2025</t>
        </is>
      </c>
      <c r="B5191" s="31" t="n">
        <v>68.89</v>
      </c>
    </row>
    <row r="5192">
      <c r="A5192" s="4" t="inlineStr">
        <is>
          <t>06/06/2025</t>
        </is>
      </c>
      <c r="B5192" s="31" t="n">
        <v>69.45999999999999</v>
      </c>
    </row>
    <row r="5193">
      <c r="A5193" s="4" t="inlineStr">
        <is>
          <t>09/06/2025</t>
        </is>
      </c>
      <c r="B5193" s="31" t="n">
        <v>68.72</v>
      </c>
    </row>
    <row r="5194">
      <c r="A5194" s="4" t="inlineStr">
        <is>
          <t>10/06/2025</t>
        </is>
      </c>
      <c r="B5194" s="31" t="n">
        <v>67.67</v>
      </c>
    </row>
    <row r="5195">
      <c r="A5195" s="4" t="inlineStr">
        <is>
          <t>11/06/2025</t>
        </is>
      </c>
      <c r="B5195" s="31" t="n">
        <v>67.91</v>
      </c>
    </row>
    <row r="5196">
      <c r="A5196" s="4" t="inlineStr">
        <is>
          <t>12/06/2025</t>
        </is>
      </c>
      <c r="B5196" s="31" t="n">
        <v>67.58</v>
      </c>
    </row>
    <row r="5197">
      <c r="A5197" s="4" t="inlineStr">
        <is>
          <t>13/06/2025</t>
        </is>
      </c>
      <c r="B5197" s="31" t="n">
        <v>67.55</v>
      </c>
    </row>
    <row r="5198">
      <c r="A5198" s="4" t="inlineStr">
        <is>
          <t>16/06/2025</t>
        </is>
      </c>
      <c r="B5198" s="31" t="n">
        <v>67.44</v>
      </c>
    </row>
    <row r="5199">
      <c r="A5199" s="4" t="inlineStr">
        <is>
          <t>17/06/2025</t>
        </is>
      </c>
      <c r="B5199" s="31" t="n">
        <v>67.3</v>
      </c>
    </row>
    <row r="5200">
      <c r="A5200" s="4" t="inlineStr">
        <is>
          <t>18/06/2025</t>
        </is>
      </c>
      <c r="B5200" s="31" t="n">
        <v>68.01000000000001</v>
      </c>
    </row>
    <row r="5201">
      <c r="A5201" s="4" t="inlineStr">
        <is>
          <t>20/06/2025</t>
        </is>
      </c>
      <c r="B5201" s="31" t="n">
        <v>68.04000000000001</v>
      </c>
    </row>
    <row r="5202">
      <c r="A5202" s="4" t="inlineStr">
        <is>
          <t>23/06/2025</t>
        </is>
      </c>
      <c r="B5202" s="31" t="n">
        <v>68.36</v>
      </c>
    </row>
    <row r="5203">
      <c r="A5203" s="4" t="inlineStr">
        <is>
          <t>24/06/2025</t>
        </is>
      </c>
      <c r="B5203" s="31" t="n">
        <v>68.2</v>
      </c>
    </row>
    <row r="5204">
      <c r="A5204" s="4" t="inlineStr">
        <is>
          <t>25/06/2025</t>
        </is>
      </c>
      <c r="B5204" s="31" t="n">
        <v>67.98</v>
      </c>
    </row>
    <row r="5205">
      <c r="A5205" s="4" t="inlineStr">
        <is>
          <t>26/06/2025</t>
        </is>
      </c>
      <c r="B5205" s="31" t="n">
        <v>67.52</v>
      </c>
    </row>
    <row r="5206">
      <c r="A5206" s="4" t="inlineStr">
        <is>
          <t>27/06/2025</t>
        </is>
      </c>
      <c r="B5206" s="31" t="n">
        <v>67.59</v>
      </c>
    </row>
    <row r="5207">
      <c r="A5207" s="4" t="inlineStr">
        <is>
          <t>30/06/2025</t>
        </is>
      </c>
      <c r="B5207" s="31" t="n">
        <v>66.95999999999999</v>
      </c>
    </row>
    <row r="5208">
      <c r="A5208" s="4" t="inlineStr">
        <is>
          <t>01/07/2025</t>
        </is>
      </c>
      <c r="B5208" s="31" t="n">
        <v>66.13</v>
      </c>
    </row>
    <row r="5209">
      <c r="A5209" s="4" t="inlineStr">
        <is>
          <t>02/07/2025</t>
        </is>
      </c>
      <c r="B5209" s="31" t="n">
        <v>65.69</v>
      </c>
    </row>
    <row r="5210">
      <c r="A5210" s="4" t="inlineStr">
        <is>
          <t>03/07/2025</t>
        </is>
      </c>
      <c r="B5210" s="31" t="n">
        <v>64.59</v>
      </c>
    </row>
    <row r="5211">
      <c r="A5211" s="4" t="inlineStr">
        <is>
          <t>04/07/2025</t>
        </is>
      </c>
      <c r="B5211" s="31" t="n">
        <v>64.48999999999999</v>
      </c>
    </row>
    <row r="5212">
      <c r="A5212" s="4" t="inlineStr">
        <is>
          <t>07/07/2025</t>
        </is>
      </c>
      <c r="B5212" s="31" t="n">
        <v>63.87</v>
      </c>
    </row>
    <row r="5213">
      <c r="A5213" s="4" t="inlineStr">
        <is>
          <t>08/07/2025</t>
        </is>
      </c>
      <c r="B5213" s="31" t="n">
        <v>63.78</v>
      </c>
    </row>
    <row r="5214">
      <c r="A5214" s="4" t="inlineStr">
        <is>
          <t>09/07/2025</t>
        </is>
      </c>
      <c r="B5214" s="31" t="n">
        <v>63.62</v>
      </c>
    </row>
    <row r="5215">
      <c r="A5215" s="4" t="inlineStr">
        <is>
          <t>10/07/2025</t>
        </is>
      </c>
      <c r="B5215" s="31" t="n">
        <v>63.41</v>
      </c>
    </row>
    <row r="5216">
      <c r="A5216" s="4" t="inlineStr">
        <is>
          <t>11/07/2025</t>
        </is>
      </c>
      <c r="B5216" s="31" t="n">
        <v>63.34</v>
      </c>
    </row>
    <row r="5217">
      <c r="A5217" s="4" t="inlineStr">
        <is>
          <t>14/07/2025</t>
        </is>
      </c>
      <c r="B5217" s="31" t="n">
        <v>63.16</v>
      </c>
    </row>
    <row r="5218">
      <c r="A5218" s="4" t="inlineStr">
        <is>
          <t>15/07/2025</t>
        </is>
      </c>
      <c r="B5218" s="31" t="n">
        <v>63.21</v>
      </c>
    </row>
    <row r="5219">
      <c r="A5219" s="4" t="inlineStr">
        <is>
          <t>16/07/2025</t>
        </is>
      </c>
      <c r="B5219" s="31" t="n">
        <v>63.27</v>
      </c>
    </row>
    <row r="5220">
      <c r="A5220" s="4" t="inlineStr">
        <is>
          <t>17/07/2025</t>
        </is>
      </c>
      <c r="B5220" s="31" t="n">
        <v>63.36</v>
      </c>
    </row>
    <row r="5221">
      <c r="A5221" s="4" t="inlineStr">
        <is>
          <t>18/07/2025</t>
        </is>
      </c>
      <c r="B5221" s="31" t="n">
        <v>63.82</v>
      </c>
    </row>
    <row r="5222">
      <c r="A5222" s="4" t="inlineStr">
        <is>
          <t>21/07/2025</t>
        </is>
      </c>
      <c r="B5222" s="31" t="n">
        <v>63.99</v>
      </c>
    </row>
    <row r="5223">
      <c r="A5223" s="4" t="inlineStr">
        <is>
          <t>22/07/2025</t>
        </is>
      </c>
      <c r="B5223" s="31" t="n">
        <v>64.45999999999999</v>
      </c>
    </row>
    <row r="5224">
      <c r="A5224" s="4" t="inlineStr">
        <is>
          <t>23/07/2025</t>
        </is>
      </c>
      <c r="B5224" s="31" t="n">
        <v>64.44</v>
      </c>
    </row>
    <row r="5225">
      <c r="A5225" s="4" t="inlineStr">
        <is>
          <t>24/07/2025</t>
        </is>
      </c>
      <c r="B5225" s="31" t="n">
        <v>64.55</v>
      </c>
    </row>
    <row r="5226">
      <c r="A5226" s="4" t="inlineStr">
        <is>
          <t>25/07/2025</t>
        </is>
      </c>
      <c r="B5226" s="31" t="n">
        <v>64.17</v>
      </c>
    </row>
    <row r="5227">
      <c r="A5227" s="4" t="inlineStr">
        <is>
          <t>28/07/2025</t>
        </is>
      </c>
      <c r="B5227" s="31" t="n">
        <v>64.13</v>
      </c>
    </row>
    <row r="5228">
      <c r="A5228" s="4" t="inlineStr">
        <is>
          <t>29/07/2025</t>
        </is>
      </c>
      <c r="B5228" s="31" t="n">
        <v>64.06999999999999</v>
      </c>
    </row>
    <row r="5229">
      <c r="A5229" s="4" t="inlineStr">
        <is>
          <t>30/07/2025</t>
        </is>
      </c>
      <c r="B5229" s="31" t="n">
        <v>63.94</v>
      </c>
    </row>
    <row r="5230">
      <c r="A5230" s="4" t="inlineStr">
        <is>
          <t>31/07/2025</t>
        </is>
      </c>
      <c r="B5230" s="31" t="n">
        <v>63.97</v>
      </c>
    </row>
    <row r="5231">
      <c r="A5231" s="4" t="inlineStr">
        <is>
          <t>01/08/2025</t>
        </is>
      </c>
      <c r="B5231" s="31" t="n">
        <v>63.91</v>
      </c>
    </row>
    <row r="5232">
      <c r="A5232" s="4" t="inlineStr">
        <is>
          <t>04/08/2025</t>
        </is>
      </c>
      <c r="B5232" s="31" t="n">
        <v>64.2</v>
      </c>
    </row>
    <row r="5233">
      <c r="A5233" s="4" t="inlineStr">
        <is>
          <t>05/08/2025</t>
        </is>
      </c>
      <c r="B5233" s="31" t="n">
        <v>64.20999999999999</v>
      </c>
    </row>
    <row r="5234">
      <c r="A5234" s="4" t="inlineStr">
        <is>
          <t>06/08/2025</t>
        </is>
      </c>
      <c r="B5234" s="31" t="n">
        <v>63.87</v>
      </c>
    </row>
    <row r="5235">
      <c r="A5235" s="4" t="inlineStr">
        <is>
          <t>07/08/2025</t>
        </is>
      </c>
      <c r="B5235" s="31" t="n">
        <v>63.78</v>
      </c>
    </row>
    <row r="5236">
      <c r="A5236" s="4" t="inlineStr">
        <is>
          <t>08/08/2025</t>
        </is>
      </c>
      <c r="B5236" s="31" t="n">
        <v>63.81</v>
      </c>
    </row>
    <row r="5237">
      <c r="A5237" s="4" t="inlineStr">
        <is>
          <t>11/08/2025</t>
        </is>
      </c>
      <c r="B5237" s="31" t="n">
        <v>63.85</v>
      </c>
    </row>
    <row r="5238">
      <c r="A5238" s="4" t="inlineStr">
        <is>
          <t>12/08/2025</t>
        </is>
      </c>
      <c r="B5238" s="31" t="n">
        <v>64.09</v>
      </c>
    </row>
    <row r="5239">
      <c r="A5239" s="4" t="inlineStr">
        <is>
          <t>13/08/2025</t>
        </is>
      </c>
      <c r="B5239" s="31" t="n">
        <v>63.9</v>
      </c>
    </row>
    <row r="5240">
      <c r="A5240" s="4" t="inlineStr">
        <is>
          <t>14/08/2025</t>
        </is>
      </c>
      <c r="B5240" s="31" t="n">
        <v>63.57</v>
      </c>
    </row>
    <row r="5241">
      <c r="A5241" s="4" t="inlineStr">
        <is>
          <t>15/08/2025</t>
        </is>
      </c>
      <c r="B5241" s="31" t="n">
        <v>63.46</v>
      </c>
    </row>
    <row r="5242">
      <c r="A5242" s="4" t="inlineStr">
        <is>
          <t>18/08/2025</t>
        </is>
      </c>
      <c r="B5242" s="31" t="n">
        <v>63.53</v>
      </c>
    </row>
    <row r="5243">
      <c r="A5243" s="4" t="inlineStr">
        <is>
          <t>19/08/2025</t>
        </is>
      </c>
      <c r="B5243" s="31" t="n">
        <v>64.03</v>
      </c>
    </row>
    <row r="5244">
      <c r="A5244" s="4" t="inlineStr">
        <is>
          <t>20/08/2025</t>
        </is>
      </c>
      <c r="B5244" s="31" t="n">
        <v>64.06999999999999</v>
      </c>
    </row>
    <row r="5245">
      <c r="A5245" s="4" t="inlineStr">
        <is>
          <t>21/08/2025</t>
        </is>
      </c>
      <c r="B5245" s="31" t="n">
        <v>64.23</v>
      </c>
    </row>
    <row r="5246">
      <c r="A5246" s="4" t="inlineStr">
        <is>
          <t>22/08/2025</t>
        </is>
      </c>
      <c r="B5246" s="31" t="n">
        <v>64.25</v>
      </c>
    </row>
    <row r="5247">
      <c r="A5247" s="4" t="inlineStr">
        <is>
          <t>25/08/2025</t>
        </is>
      </c>
      <c r="B5247" s="31" t="n">
        <v>64.52</v>
      </c>
    </row>
    <row r="5248">
      <c r="A5248" s="4" t="inlineStr">
        <is>
          <t>26/08/2025</t>
        </is>
      </c>
      <c r="B5248" s="31" t="n">
        <v>64.54000000000001</v>
      </c>
    </row>
    <row r="5249">
      <c r="A5249" s="4" t="inlineStr">
        <is>
          <t>27/08/2025</t>
        </is>
      </c>
      <c r="B5249" s="31" t="n">
        <v>64.7</v>
      </c>
    </row>
    <row r="5250">
      <c r="A5250" s="4" t="inlineStr">
        <is>
          <t>28/08/2025</t>
        </is>
      </c>
      <c r="B5250" s="31" t="n">
        <v>64.45999999999999</v>
      </c>
    </row>
    <row r="5251">
      <c r="A5251" s="4" t="inlineStr">
        <is>
          <t>29/08/2025</t>
        </is>
      </c>
      <c r="B5251" s="31" t="n">
        <v>64.48999999999999</v>
      </c>
    </row>
    <row r="5252">
      <c r="A5252" s="4" t="inlineStr">
        <is>
          <t>01/09/2025</t>
        </is>
      </c>
      <c r="B5252" s="31" t="n">
        <v>64.28</v>
      </c>
    </row>
    <row r="5253">
      <c r="A5253" s="4" t="inlineStr">
        <is>
          <t>02/09/2025</t>
        </is>
      </c>
      <c r="B5253" s="31" t="n">
        <v>64.45999999999999</v>
      </c>
    </row>
    <row r="5254">
      <c r="A5254" s="4" t="inlineStr">
        <is>
          <t>03/09/2025</t>
        </is>
      </c>
      <c r="B5254" s="31" t="n">
        <v>64.51000000000001</v>
      </c>
    </row>
    <row r="5255">
      <c r="A5255" s="4" t="inlineStr">
        <is>
          <t>04/09/2025</t>
        </is>
      </c>
      <c r="B5255" s="31" t="n">
        <v>64.63</v>
      </c>
    </row>
    <row r="5256">
      <c r="A5256" s="4" t="inlineStr">
        <is>
          <t>05/09/2025</t>
        </is>
      </c>
      <c r="B5256" s="31" t="n">
        <v>64.70999999999999</v>
      </c>
    </row>
    <row r="5257">
      <c r="A5257" s="4" t="inlineStr">
        <is>
          <t>08/09/2025</t>
        </is>
      </c>
      <c r="B5257" s="31" t="n">
        <v>64.75</v>
      </c>
    </row>
    <row r="5258">
      <c r="A5258" s="4" t="inlineStr">
        <is>
          <t>09/09/2025</t>
        </is>
      </c>
      <c r="B5258" s="31" t="n">
        <v>65.08</v>
      </c>
    </row>
    <row r="5259">
      <c r="A5259" s="4" t="inlineStr">
        <is>
          <t>10/09/2025</t>
        </is>
      </c>
      <c r="B5259" s="31" t="n">
        <v>65</v>
      </c>
    </row>
    <row r="5260">
      <c r="A5260" s="4" t="inlineStr">
        <is>
          <t>11/09/2025</t>
        </is>
      </c>
      <c r="B5260" s="31" t="n">
        <v>64.90000000000001</v>
      </c>
    </row>
    <row r="5261">
      <c r="A5261" s="4" t="inlineStr">
        <is>
          <t>12/09/2025</t>
        </is>
      </c>
      <c r="B5261" s="31" t="n">
        <v>64.95999999999999</v>
      </c>
    </row>
    <row r="5262">
      <c r="A5262" s="4" t="inlineStr">
        <is>
          <t>15/09/2025</t>
        </is>
      </c>
      <c r="B5262" s="31" t="n">
        <v>65.01000000000001</v>
      </c>
    </row>
    <row r="5263">
      <c r="A5263" s="4" t="inlineStr">
        <is>
          <t>16/09/2025</t>
        </is>
      </c>
      <c r="B5263" s="31" t="n">
        <v>65.12</v>
      </c>
    </row>
    <row r="5264">
      <c r="A5264" s="4" t="inlineStr">
        <is>
          <t>17/09/2025</t>
        </is>
      </c>
      <c r="B5264" s="31" t="n">
        <v>65.29000000000001</v>
      </c>
    </row>
    <row r="5265">
      <c r="A5265" s="4" t="inlineStr">
        <is>
          <t>18/09/2025</t>
        </is>
      </c>
      <c r="B5265" s="31" t="n">
        <v>65.26000000000001</v>
      </c>
    </row>
    <row r="5266">
      <c r="A5266" s="4" t="inlineStr">
        <is>
          <t>19/09/2025</t>
        </is>
      </c>
      <c r="B5266" s="31" t="n">
        <v>65.25</v>
      </c>
    </row>
    <row r="5267">
      <c r="A5267" s="4" t="inlineStr">
        <is>
          <t>22/09/2025</t>
        </is>
      </c>
      <c r="B5267" s="31" t="n">
        <v>64.68000000000001</v>
      </c>
    </row>
    <row r="5268">
      <c r="A5268" s="4" t="inlineStr">
        <is>
          <t>23/09/2025</t>
        </is>
      </c>
      <c r="B5268" s="31" t="n">
        <v>64.26000000000001</v>
      </c>
    </row>
    <row r="5269">
      <c r="A5269" s="4" t="inlineStr">
        <is>
          <t>24/09/2025</t>
        </is>
      </c>
      <c r="B5269" s="31" t="n">
        <v>64.27</v>
      </c>
    </row>
    <row r="5270">
      <c r="A5270" s="4" t="inlineStr">
        <is>
          <t>25/09/2025</t>
        </is>
      </c>
      <c r="B5270" s="31" t="n">
        <v>64.3</v>
      </c>
    </row>
    <row r="5271">
      <c r="A5271" s="4" t="inlineStr">
        <is>
          <t>26/09/2025</t>
        </is>
      </c>
      <c r="B5271" s="31" t="n">
        <v>64.28</v>
      </c>
    </row>
    <row r="5272">
      <c r="A5272" s="4" t="inlineStr">
        <is>
          <t>29/09/2025</t>
        </is>
      </c>
      <c r="B5272" s="31" t="n">
        <v>64.3</v>
      </c>
    </row>
    <row r="5273">
      <c r="A5273" s="4" t="inlineStr">
        <is>
          <t>30/09/2025</t>
        </is>
      </c>
      <c r="B5273" s="31" t="n">
        <v>64.2</v>
      </c>
    </row>
    <row r="5274">
      <c r="A5274" s="4" t="inlineStr">
        <is>
          <t>01/10/2025</t>
        </is>
      </c>
      <c r="B5274" s="31" t="n">
        <v>64.48</v>
      </c>
    </row>
    <row r="5275">
      <c r="A5275" s="4" t="inlineStr">
        <is>
          <t>02/10/2025</t>
        </is>
      </c>
      <c r="B5275" s="31" t="n">
        <v>64.73999999999999</v>
      </c>
    </row>
    <row r="5276">
      <c r="A5276" s="4" t="inlineStr">
        <is>
          <t>03/10/2025</t>
        </is>
      </c>
      <c r="B5276" s="31" t="n">
        <v>64.94</v>
      </c>
    </row>
    <row r="5277">
      <c r="A5277" s="4" t="inlineStr">
        <is>
          <t>06/10/2025</t>
        </is>
      </c>
      <c r="B5277" s="31" t="n">
        <v>65.09999999999999</v>
      </c>
    </row>
    <row r="5278">
      <c r="A5278" s="4" t="inlineStr">
        <is>
          <t>07/10/2025</t>
        </is>
      </c>
      <c r="B5278" s="31" t="n">
        <v>65.26000000000001</v>
      </c>
    </row>
    <row r="5279">
      <c r="A5279" s="4" t="inlineStr">
        <is>
          <t>08/10/2025</t>
        </is>
      </c>
      <c r="B5279" s="31" t="n">
        <v>65.47</v>
      </c>
    </row>
    <row r="5280">
      <c r="A5280" s="4" t="inlineStr">
        <is>
          <t>09/10/2025</t>
        </is>
      </c>
      <c r="B5280" s="31" t="n">
        <v>65.36</v>
      </c>
    </row>
    <row r="5281">
      <c r="A5281" s="4" t="inlineStr">
        <is>
          <t>10/10/2025</t>
        </is>
      </c>
      <c r="B5281" s="31" t="n">
        <v>65.38</v>
      </c>
    </row>
    <row r="5282">
      <c r="A5282" s="4" t="inlineStr">
        <is>
          <t>13/10/2025</t>
        </is>
      </c>
      <c r="B5282" s="31" t="n">
        <v>65.31999999999999</v>
      </c>
    </row>
    <row r="5283">
      <c r="A5283" s="4" t="inlineStr">
        <is>
          <t>14/10/2025</t>
        </is>
      </c>
      <c r="B5283" s="31" t="n">
        <v>65.15000000000001</v>
      </c>
    </row>
    <row r="5284">
      <c r="A5284" s="4" t="inlineStr">
        <is>
          <t>15/10/2025</t>
        </is>
      </c>
      <c r="B5284" s="31" t="n">
        <v>65.13</v>
      </c>
    </row>
    <row r="5285">
      <c r="A5285" s="4" t="inlineStr">
        <is>
          <t>16/10/2025</t>
        </is>
      </c>
      <c r="B5285" s="31" t="n">
        <v>65.29000000000001</v>
      </c>
    </row>
    <row r="5286">
      <c r="A5286" s="4" t="inlineStr">
        <is>
          <t>17/10/2025</t>
        </is>
      </c>
      <c r="B5286" s="31" t="n">
        <v>65.7</v>
      </c>
    </row>
    <row r="5287">
      <c r="A5287" s="4" t="inlineStr">
        <is>
          <t>20/10/2025</t>
        </is>
      </c>
      <c r="B5287" s="31" t="n">
        <v>65.66</v>
      </c>
    </row>
    <row r="5288">
      <c r="A5288" s="4" t="inlineStr">
        <is>
          <t>21/10/2025</t>
        </is>
      </c>
      <c r="B5288" s="31" t="n">
        <v>65.78</v>
      </c>
    </row>
    <row r="5289">
      <c r="A5289" s="4" t="inlineStr">
        <is>
          <t>22/10/2025</t>
        </is>
      </c>
      <c r="B5289" s="31" t="n">
        <v>65.64</v>
      </c>
    </row>
    <row r="5290">
      <c r="A5290" s="4" t="inlineStr">
        <is>
          <t>23/10/2025</t>
        </is>
      </c>
      <c r="B5290" s="31" t="n">
        <v>65.8</v>
      </c>
    </row>
    <row r="5291">
      <c r="A5291" s="4" t="inlineStr">
        <is>
          <t>24/10/2025</t>
        </is>
      </c>
      <c r="B5291" s="31" t="n">
        <v>65.83</v>
      </c>
    </row>
    <row r="5292">
      <c r="A5292" s="4" t="inlineStr">
        <is>
          <t>27/10/2025</t>
        </is>
      </c>
      <c r="B5292" s="31" t="n">
        <v>65.88</v>
      </c>
    </row>
    <row r="5293">
      <c r="A5293" s="4" t="inlineStr">
        <is>
          <t>28/10/2025</t>
        </is>
      </c>
      <c r="B5293" s="31" t="n">
        <v>66.01000000000001</v>
      </c>
    </row>
    <row r="5294">
      <c r="A5294" s="4" t="inlineStr">
        <is>
          <t>29/10/2025</t>
        </is>
      </c>
      <c r="B5294" s="31" t="n">
        <v>66.2</v>
      </c>
    </row>
    <row r="5295">
      <c r="A5295" s="4" t="inlineStr">
        <is>
          <t>30/10/2025</t>
        </is>
      </c>
      <c r="B5295" s="31" t="n">
        <v>66.41</v>
      </c>
    </row>
    <row r="5296">
      <c r="A5296" s="4" t="inlineStr">
        <is>
          <t>31/10/2025</t>
        </is>
      </c>
      <c r="B5296" s="31" t="n">
        <v>66.31999999999999</v>
      </c>
    </row>
    <row r="5297">
      <c r="A5297" s="4" t="inlineStr">
        <is>
          <t>03/11/2025</t>
        </is>
      </c>
      <c r="B5297" s="31" t="n">
        <v>66.42</v>
      </c>
    </row>
    <row r="5298">
      <c r="A5298" s="4" t="inlineStr">
        <is>
          <t>04/11/2025</t>
        </is>
      </c>
      <c r="B5298" s="31" t="n">
        <v>66.68000000000001</v>
      </c>
    </row>
    <row r="5299">
      <c r="A5299" s="4" t="inlineStr">
        <is>
          <t>05/11/2025</t>
        </is>
      </c>
      <c r="B5299" s="31" t="n">
        <v>66.79000000000001</v>
      </c>
    </row>
    <row r="5300">
      <c r="A5300" s="4" t="inlineStr">
        <is>
          <t>06/11/2025</t>
        </is>
      </c>
      <c r="B5300" s="31" t="n">
        <v>66.84</v>
      </c>
    </row>
    <row r="5301">
      <c r="A5301" s="4" t="inlineStr">
        <is>
          <t>07/11/2025</t>
        </is>
      </c>
      <c r="B5301" s="31" t="n">
        <v>67.06999999999999</v>
      </c>
    </row>
    <row r="5302">
      <c r="A5302" s="4" t="inlineStr">
        <is>
          <t>10/11/2025</t>
        </is>
      </c>
      <c r="B5302" s="31" t="n">
        <v>67.3</v>
      </c>
    </row>
    <row r="5303">
      <c r="A5303" s="4" t="inlineStr">
        <is>
          <t>11/11/2025</t>
        </is>
      </c>
      <c r="B5303" s="31" t="n">
        <v>67.33</v>
      </c>
    </row>
    <row r="5304">
      <c r="A5304" s="4" t="inlineStr">
        <is>
          <t>12/11/2025</t>
        </is>
      </c>
      <c r="B5304" s="31" t="n">
        <v>67.34999999999999</v>
      </c>
    </row>
    <row r="5305">
      <c r="A5305" s="4" t="inlineStr">
        <is>
          <t>13/11/2025</t>
        </is>
      </c>
      <c r="B5305" s="31" t="n">
        <v>67.45</v>
      </c>
    </row>
    <row r="5306">
      <c r="A5306" s="4" t="inlineStr">
        <is>
          <t>14/11/2025</t>
        </is>
      </c>
      <c r="B5306" s="31" t="n">
        <v>67.51000000000001</v>
      </c>
    </row>
    <row r="5307">
      <c r="A5307" s="4" t="inlineStr">
        <is>
          <t>17/11/2025</t>
        </is>
      </c>
      <c r="B5307" s="31" t="n">
        <v>67.61</v>
      </c>
    </row>
    <row r="5308">
      <c r="A5308" s="4" t="inlineStr">
        <is>
          <t>18/11/2025</t>
        </is>
      </c>
      <c r="B5308" s="31" t="n">
        <v>67.59999999999999</v>
      </c>
    </row>
    <row r="5309">
      <c r="A5309" s="4" t="inlineStr">
        <is>
          <t>19/11/2025</t>
        </is>
      </c>
      <c r="B5309" s="31" t="n">
        <v>67.63</v>
      </c>
    </row>
    <row r="5310">
      <c r="A5310" s="4" t="inlineStr">
        <is>
          <t>21/11/2025</t>
        </is>
      </c>
      <c r="B5310" s="31" t="n">
        <v>67.66</v>
      </c>
    </row>
    <row r="5311">
      <c r="A5311" s="4" t="inlineStr">
        <is>
          <t>24/11/2025</t>
        </is>
      </c>
      <c r="B5311" s="31" t="n">
        <v>67.81</v>
      </c>
    </row>
    <row r="5312">
      <c r="A5312" s="4" t="inlineStr">
        <is>
          <t>25/11/2025</t>
        </is>
      </c>
      <c r="B5312" s="31" t="n">
        <v>68.23</v>
      </c>
    </row>
    <row r="5313">
      <c r="A5313" s="4" t="inlineStr">
        <is>
          <t>26/11/2025</t>
        </is>
      </c>
      <c r="B5313" s="31" t="n">
        <v>68.39</v>
      </c>
    </row>
    <row r="5314">
      <c r="A5314" s="4" t="inlineStr">
        <is>
          <t>27/11/2025</t>
        </is>
      </c>
      <c r="B5314" s="31" t="n">
        <v>68.61</v>
      </c>
    </row>
    <row r="5315">
      <c r="A5315" s="4" t="inlineStr">
        <is>
          <t>28/11/2025</t>
        </is>
      </c>
      <c r="B5315" s="31" t="n">
        <v>68.75</v>
      </c>
    </row>
    <row r="5316">
      <c r="A5316" s="4" t="inlineStr">
        <is>
          <t>01/12/2025</t>
        </is>
      </c>
      <c r="B5316" s="31" t="n">
        <v>69.04000000000001</v>
      </c>
    </row>
    <row r="5317">
      <c r="A5317" s="4" t="inlineStr">
        <is>
          <t>02/12/2025</t>
        </is>
      </c>
      <c r="B5317" s="31" t="n">
        <v>69.54000000000001</v>
      </c>
    </row>
    <row r="5318">
      <c r="A5318" s="4" t="inlineStr">
        <is>
          <t>03/12/2025</t>
        </is>
      </c>
      <c r="B5318" s="31" t="n">
        <v>69.91</v>
      </c>
    </row>
    <row r="5319">
      <c r="A5319" s="4" t="inlineStr">
        <is>
          <t>04/12/2025</t>
        </is>
      </c>
      <c r="B5319" s="31" t="n">
        <v>69.97</v>
      </c>
    </row>
    <row r="5320">
      <c r="A5320" s="4" t="inlineStr">
        <is>
          <t>05/12/2025</t>
        </is>
      </c>
      <c r="B5320" s="31" t="n">
        <v>70.3</v>
      </c>
    </row>
    <row r="5321">
      <c r="A5321" s="4" t="inlineStr">
        <is>
          <t>08/12/2025</t>
        </is>
      </c>
      <c r="B5321" s="31" t="n">
        <v>70.15000000000001</v>
      </c>
    </row>
    <row r="5322">
      <c r="A5322" s="4" t="inlineStr">
        <is>
          <t>09/12/2025</t>
        </is>
      </c>
      <c r="B5322" s="31" t="n">
        <v>69.98999999999999</v>
      </c>
    </row>
    <row r="5323">
      <c r="A5323" s="4" t="inlineStr">
        <is>
          <t>10/12/2025</t>
        </is>
      </c>
      <c r="B5323" s="31" t="n">
        <v>69.76000000000001</v>
      </c>
    </row>
    <row r="5324">
      <c r="A5324" s="4" t="inlineStr">
        <is>
          <t>11/12/2025</t>
        </is>
      </c>
      <c r="B5324" s="31" t="n">
        <v>69.62</v>
      </c>
    </row>
    <row r="5325">
      <c r="A5325" s="4" t="inlineStr">
        <is>
          <t>12/12/2025</t>
        </is>
      </c>
      <c r="B5325" s="31" t="n">
        <v>69.45999999999999</v>
      </c>
    </row>
    <row r="5326">
      <c r="A5326" s="4" t="inlineStr">
        <is>
          <t>15/12/2025</t>
        </is>
      </c>
      <c r="B5326" s="31" t="n">
        <v>69.70999999999999</v>
      </c>
    </row>
    <row r="5327">
      <c r="A5327" s="4" t="inlineStr">
        <is>
          <t>16/12/2025</t>
        </is>
      </c>
      <c r="B5327" s="31" t="n">
        <v>69.56</v>
      </c>
    </row>
    <row r="5328">
      <c r="A5328" s="4" t="inlineStr">
        <is>
          <t>17/12/2025</t>
        </is>
      </c>
      <c r="B5328" s="31" t="n">
        <v>69.19</v>
      </c>
    </row>
    <row r="5329">
      <c r="A5329" s="4" t="inlineStr">
        <is>
          <t>18/12/2025</t>
        </is>
      </c>
      <c r="B5329" s="31" t="n">
        <v>69.27</v>
      </c>
    </row>
    <row r="5330">
      <c r="A5330" s="4" t="inlineStr">
        <is>
          <t>19/12/2025</t>
        </is>
      </c>
      <c r="B5330" s="31" t="n">
        <v>69.42</v>
      </c>
    </row>
    <row r="5331">
      <c r="A5331" s="4" t="inlineStr">
        <is>
          <t>22/12/2025</t>
        </is>
      </c>
      <c r="B5331" s="31" t="n">
        <v>69.47</v>
      </c>
    </row>
    <row r="5332">
      <c r="A5332" s="4" t="inlineStr">
        <is>
          <t>23/12/2025</t>
        </is>
      </c>
      <c r="B5332" s="31" t="n">
        <v>69.5</v>
      </c>
    </row>
    <row r="5333">
      <c r="A5333" s="4" t="inlineStr">
        <is>
          <t>26/12/2025</t>
        </is>
      </c>
      <c r="B5333" s="31" t="n">
        <v>69.48</v>
      </c>
    </row>
    <row r="5334">
      <c r="A5334" s="4" t="inlineStr">
        <is>
          <t>29/12/2025</t>
        </is>
      </c>
      <c r="B5334" s="31" t="n">
        <v>69.45999999999999</v>
      </c>
    </row>
    <row r="5335">
      <c r="A5335" s="4" t="inlineStr">
        <is>
          <t>30/12/2025</t>
        </is>
      </c>
      <c r="B5335" s="31" t="n">
        <v>69.5</v>
      </c>
    </row>
    <row r="5336">
      <c r="A5336" s="4" t="inlineStr">
        <is>
          <t>02/01/2026</t>
        </is>
      </c>
      <c r="B5336" s="31" t="n">
        <v>69.45</v>
      </c>
    </row>
    <row r="5337">
      <c r="A5337" s="4" t="inlineStr">
        <is>
          <t>05/01/2026</t>
        </is>
      </c>
      <c r="B5337" s="31" t="n">
        <v>69.38</v>
      </c>
    </row>
    <row r="5338">
      <c r="A5338" s="4" t="inlineStr">
        <is>
          <t>06/01/2026</t>
        </is>
      </c>
      <c r="B5338" s="31" t="n">
        <v>69.13</v>
      </c>
    </row>
    <row r="5339">
      <c r="A5339" s="4" t="inlineStr">
        <is>
          <t>07/01/2026</t>
        </is>
      </c>
      <c r="B5339" s="31" t="n">
        <v>69</v>
      </c>
    </row>
    <row r="5340">
      <c r="A5340" s="4" t="inlineStr">
        <is>
          <t>08/01/2026</t>
        </is>
      </c>
      <c r="B5340" s="31" t="n">
        <v>68.94</v>
      </c>
    </row>
    <row r="5341">
      <c r="A5341" s="4" t="inlineStr">
        <is>
          <t>09/01/2026</t>
        </is>
      </c>
      <c r="B5341" s="31" t="n">
        <v>69.02</v>
      </c>
    </row>
    <row r="5342">
      <c r="A5342" s="4" t="inlineStr">
        <is>
          <t>12/01/2026</t>
        </is>
      </c>
      <c r="B5342" s="31" t="n">
        <v>68.84</v>
      </c>
    </row>
    <row r="5343">
      <c r="A5343" s="4" t="inlineStr">
        <is>
          <t>13/01/2026</t>
        </is>
      </c>
      <c r="B5343" s="31" t="n">
        <v>68.79000000000001</v>
      </c>
    </row>
    <row r="5344">
      <c r="A5344" s="4" t="inlineStr">
        <is>
          <t>14/01/2026</t>
        </is>
      </c>
      <c r="B5344" s="31" t="n">
        <v>68.43000000000001</v>
      </c>
    </row>
    <row r="5345">
      <c r="A5345" s="4" t="inlineStr">
        <is>
          <t>15/01/2026</t>
        </is>
      </c>
      <c r="B5345" s="31" t="n">
        <v>68.37</v>
      </c>
    </row>
    <row r="5346">
      <c r="A5346" s="4" t="inlineStr">
        <is>
          <t>16/01/2026</t>
        </is>
      </c>
      <c r="B5346" s="31" t="n">
        <v>68.41</v>
      </c>
    </row>
    <row r="5347">
      <c r="A5347" s="4" t="inlineStr">
        <is>
          <t>19/01/2026</t>
        </is>
      </c>
      <c r="B5347" s="31" t="n">
        <v>68.12</v>
      </c>
    </row>
    <row r="5348">
      <c r="A5348" s="4" t="inlineStr">
        <is>
          <t>20/01/2026</t>
        </is>
      </c>
      <c r="B5348" s="31" t="n">
        <v>67.45999999999999</v>
      </c>
    </row>
    <row r="5349">
      <c r="A5349" s="4" t="inlineStr">
        <is>
          <t>21/01/2026</t>
        </is>
      </c>
      <c r="B5349" s="31" t="n">
        <v>67.04000000000001</v>
      </c>
    </row>
    <row r="5350">
      <c r="A5350" s="4" t="inlineStr">
        <is>
          <t>22/01/2026</t>
        </is>
      </c>
      <c r="B5350" s="31" t="n">
        <v>66.72</v>
      </c>
    </row>
    <row r="5351">
      <c r="A5351" s="4" t="inlineStr">
        <is>
          <t>23/01/2026</t>
        </is>
      </c>
      <c r="B5351" s="31" t="n">
        <v>66.63</v>
      </c>
    </row>
    <row r="5352">
      <c r="A5352" s="4" t="inlineStr">
        <is>
          <t>26/01/2026</t>
        </is>
      </c>
      <c r="B5352" s="31" t="n">
        <v>66.69</v>
      </c>
    </row>
    <row r="5353">
      <c r="A5353" s="4" t="inlineStr">
        <is>
          <t>27/01/2026</t>
        </is>
      </c>
      <c r="B5353" s="31" t="n">
        <v>66.22</v>
      </c>
    </row>
    <row r="5354">
      <c r="A5354" s="4" t="inlineStr">
        <is>
          <t>28/01/2026</t>
        </is>
      </c>
      <c r="B5354" s="31" t="n">
        <v>65.87</v>
      </c>
    </row>
    <row r="5355">
      <c r="A5355" s="4" t="inlineStr">
        <is>
          <t>29/01/2026</t>
        </is>
      </c>
      <c r="B5355" s="31" t="n">
        <v>65.95999999999999</v>
      </c>
    </row>
    <row r="5356">
      <c r="A5356" s="4" t="inlineStr">
        <is>
          <t>30/01/2026</t>
        </is>
      </c>
      <c r="B5356" s="31" t="n">
        <v>66.09999999999999</v>
      </c>
    </row>
    <row r="5357">
      <c r="A5357" s="4" t="inlineStr">
        <is>
          <t>02/02/2026</t>
        </is>
      </c>
      <c r="B5357" s="31" t="n">
        <v>66.17</v>
      </c>
    </row>
    <row r="5358">
      <c r="A5358" s="4" t="inlineStr">
        <is>
          <t>03/02/2026</t>
        </is>
      </c>
      <c r="B5358" s="31" t="n">
        <v>66.28</v>
      </c>
    </row>
    <row r="5359">
      <c r="A5359" s="4" t="inlineStr">
        <is>
          <t>04/02/2026</t>
        </is>
      </c>
      <c r="B5359" s="31" t="n">
        <v>66.44</v>
      </c>
    </row>
    <row r="5360">
      <c r="A5360" s="4" t="inlineStr">
        <is>
          <t>05/02/2026</t>
        </is>
      </c>
      <c r="B5360" s="31" t="n">
        <v>66.48999999999999</v>
      </c>
    </row>
    <row r="5361">
      <c r="A5361" s="4" t="inlineStr">
        <is>
          <t>06/02/2026</t>
        </is>
      </c>
      <c r="B5361" s="31" t="n">
        <v>66.78</v>
      </c>
    </row>
    <row r="5362">
      <c r="A5362" s="4" t="inlineStr">
        <is>
          <t>09/02/2026</t>
        </is>
      </c>
      <c r="B5362" s="31" t="n">
        <v>67.09</v>
      </c>
    </row>
    <row r="5363">
      <c r="A5363" s="4" t="inlineStr">
        <is>
          <t>10/02/2026</t>
        </is>
      </c>
      <c r="B5363" s="31" t="n">
        <v>67.06</v>
      </c>
    </row>
    <row r="5364">
      <c r="A5364" s="4" t="inlineStr">
        <is>
          <t>11/02/2026</t>
        </is>
      </c>
      <c r="B5364" s="31" t="n">
        <v>67.20999999999999</v>
      </c>
    </row>
    <row r="5365">
      <c r="A5365" s="4" t="inlineStr">
        <is>
          <t>12/02/2026</t>
        </is>
      </c>
      <c r="B5365" s="31" t="n">
        <v>67.67</v>
      </c>
    </row>
    <row r="5366">
      <c r="A5366" s="4" t="inlineStr">
        <is>
          <t>13/02/2026</t>
        </is>
      </c>
      <c r="B5366" s="31" t="n">
        <v>68.14</v>
      </c>
    </row>
    <row r="5367">
      <c r="A5367" s="4" t="inlineStr">
        <is>
          <t>18/02/2026</t>
        </is>
      </c>
      <c r="B5367" s="31" t="n">
        <v>68.39</v>
      </c>
    </row>
    <row r="5368">
      <c r="A5368" s="4" t="inlineStr">
        <is>
          <t>19/02/2026</t>
        </is>
      </c>
      <c r="B5368" s="31" t="n">
        <v>68.8</v>
      </c>
    </row>
    <row r="5369">
      <c r="A5369" s="4" t="inlineStr">
        <is>
          <t>20/02/2026</t>
        </is>
      </c>
      <c r="B5369" s="31" t="n">
        <v>68.73999999999999</v>
      </c>
    </row>
    <row r="5370">
      <c r="A5370" s="4" t="inlineStr">
        <is>
          <t>23/02/2026</t>
        </is>
      </c>
      <c r="B5370" s="31" t="n">
        <v>69.02</v>
      </c>
    </row>
    <row r="5371">
      <c r="A5371" s="4" t="inlineStr">
        <is>
          <t>24/02/2026</t>
        </is>
      </c>
      <c r="B5371" s="31" t="n">
        <v>69.14</v>
      </c>
    </row>
    <row r="5372">
      <c r="A5372" s="4" t="inlineStr">
        <is>
          <t>25/02/2026</t>
        </is>
      </c>
      <c r="B5372" s="31" t="n">
        <v>69.28</v>
      </c>
    </row>
    <row r="5373">
      <c r="A5373" s="4" t="inlineStr">
        <is>
          <t>26/02/2026</t>
        </is>
      </c>
      <c r="B5373" s="31" t="n">
        <v>69.28</v>
      </c>
    </row>
    <row r="5374">
      <c r="A5374" s="4" t="inlineStr">
        <is>
          <t>27/02/2026</t>
        </is>
      </c>
      <c r="B5374" s="31" t="n">
        <v>69.53</v>
      </c>
    </row>
    <row r="5375">
      <c r="A5375" s="4" t="inlineStr">
        <is>
          <t>02/03/2026</t>
        </is>
      </c>
      <c r="B5375" s="31" t="n">
        <v>69.75</v>
      </c>
    </row>
    <row r="5376">
      <c r="A5376" s="4" t="inlineStr">
        <is>
          <t>03/03/2026</t>
        </is>
      </c>
      <c r="B5376" s="31" t="n">
        <v>69.98</v>
      </c>
    </row>
    <row r="5377">
      <c r="A5377" s="4" t="inlineStr">
        <is>
          <t>04/03/2026</t>
        </is>
      </c>
      <c r="B5377" s="31" t="n">
        <v>70.23</v>
      </c>
    </row>
    <row r="5378">
      <c r="A5378" s="4" t="inlineStr">
        <is>
          <t>05/03/2026</t>
        </is>
      </c>
      <c r="B5378" s="31" t="n">
        <v>70.23999999999999</v>
      </c>
    </row>
    <row r="5379">
      <c r="A5379" s="4" t="inlineStr">
        <is>
          <t>06/03/2026</t>
        </is>
      </c>
      <c r="B5379" s="31" t="n">
        <v>70.56</v>
      </c>
    </row>
    <row r="5380">
      <c r="A5380" s="4" t="inlineStr">
        <is>
          <t>09/03/2026</t>
        </is>
      </c>
      <c r="B5380" s="31" t="n">
        <v>70.63</v>
      </c>
    </row>
    <row r="5381">
      <c r="A5381" s="4" t="inlineStr">
        <is>
          <t>10/03/2026</t>
        </is>
      </c>
      <c r="B5381" s="31" t="n">
        <v>71.09</v>
      </c>
    </row>
    <row r="5382">
      <c r="A5382" s="4" t="inlineStr">
        <is>
          <t>11/03/2026</t>
        </is>
      </c>
      <c r="B5382" s="31" t="n">
        <v>71.31999999999999</v>
      </c>
    </row>
    <row r="5383">
      <c r="A5383" s="4" t="inlineStr">
        <is>
          <t>12/03/2026</t>
        </is>
      </c>
      <c r="B5383" s="31" t="n">
        <v>71.56</v>
      </c>
    </row>
    <row r="5384">
      <c r="A5384" s="4" t="inlineStr">
        <is>
          <t>13/03/2026</t>
        </is>
      </c>
      <c r="B5384" s="31" t="n">
        <v>71.98</v>
      </c>
    </row>
    <row r="5385">
      <c r="A5385" s="4" t="inlineStr">
        <is>
          <t>16/03/2026</t>
        </is>
      </c>
      <c r="B5385" s="31" t="n">
        <v>72.09999999999999</v>
      </c>
    </row>
    <row r="5386">
      <c r="A5386" s="4" t="inlineStr">
        <is>
          <t>17/03/2026</t>
        </is>
      </c>
      <c r="B5386" s="31" t="n">
        <v>72.02</v>
      </c>
    </row>
    <row r="5387">
      <c r="A5387" s="4" t="inlineStr">
        <is>
          <t>18/03/2026</t>
        </is>
      </c>
      <c r="B5387" s="31" t="n">
        <v>71.2</v>
      </c>
    </row>
    <row r="5388">
      <c r="A5388" s="4" t="inlineStr">
        <is>
          <t>19/03/2026</t>
        </is>
      </c>
      <c r="B5388" s="31" t="n">
        <v>71.63</v>
      </c>
    </row>
    <row r="5389">
      <c r="A5389" s="4" t="inlineStr">
        <is>
          <t>20/03/2026</t>
        </is>
      </c>
      <c r="B5389" s="31" t="n">
        <v>71.37</v>
      </c>
    </row>
    <row r="5390">
      <c r="A5390" s="4" t="inlineStr">
        <is>
          <t>23/03/2026</t>
        </is>
      </c>
      <c r="B5390" s="31" t="n">
        <v>71.25</v>
      </c>
    </row>
    <row r="5391">
      <c r="A5391" s="4" t="inlineStr">
        <is>
          <t>24/03/2026</t>
        </is>
      </c>
      <c r="B5391" s="31" t="n">
        <v>71.01000000000001</v>
      </c>
    </row>
    <row r="5392">
      <c r="A5392" s="4" t="inlineStr">
        <is>
          <t>25/03/2026</t>
        </is>
      </c>
      <c r="B5392" s="31" t="n">
        <v>70.45</v>
      </c>
    </row>
    <row r="5393">
      <c r="A5393" s="4" t="inlineStr">
        <is>
          <t>26/03/2026</t>
        </is>
      </c>
      <c r="B5393" s="31" t="n">
        <v>70.33</v>
      </c>
    </row>
    <row r="5394">
      <c r="A5394" s="4" t="inlineStr">
        <is>
          <t>27/03/2026</t>
        </is>
      </c>
      <c r="B5394" s="31" t="n">
        <v>70.34</v>
      </c>
    </row>
    <row r="5395">
      <c r="A5395" s="4" t="inlineStr">
        <is>
          <t>30/03/2026</t>
        </is>
      </c>
      <c r="B5395" s="31" t="n">
        <v>70.29000000000001</v>
      </c>
    </row>
    <row r="5396">
      <c r="A5396" s="4" t="inlineStr">
        <is>
          <t>31/03/2026</t>
        </is>
      </c>
      <c r="B5396" s="31" t="n">
        <v>70.37</v>
      </c>
    </row>
    <row r="5397">
      <c r="A5397" s="4" t="inlineStr">
        <is>
          <t>01/04/2026</t>
        </is>
      </c>
      <c r="B5397" s="31" t="n">
        <v>70.31999999999999</v>
      </c>
    </row>
    <row r="5398">
      <c r="A5398" s="4" t="inlineStr">
        <is>
          <t>02/04/2026</t>
        </is>
      </c>
      <c r="B5398" s="31" t="n">
        <v>69.95999999999999</v>
      </c>
    </row>
    <row r="5399">
      <c r="A5399" s="4" t="inlineStr">
        <is>
          <t>06/04/2026</t>
        </is>
      </c>
      <c r="B5399" s="31" t="n">
        <v>69.88</v>
      </c>
    </row>
    <row r="5400">
      <c r="A5400" s="4" t="inlineStr">
        <is>
          <t>07/04/2026</t>
        </is>
      </c>
      <c r="B5400" s="31" t="n">
        <v>69.58</v>
      </c>
    </row>
    <row r="5401">
      <c r="A5401" s="4" t="inlineStr">
        <is>
          <t>08/04/2026</t>
        </is>
      </c>
      <c r="B5401" s="31" t="n">
        <v>69.79000000000001</v>
      </c>
    </row>
    <row r="5402">
      <c r="A5402" s="4" t="inlineStr">
        <is>
          <t>09/04/2026</t>
        </is>
      </c>
      <c r="B5402" s="31" t="n">
        <v>69.59</v>
      </c>
    </row>
    <row r="5403">
      <c r="A5403" s="4" t="inlineStr">
        <is>
          <t>10/04/2026</t>
        </is>
      </c>
      <c r="B5403" s="31" t="n">
        <v>69.06999999999999</v>
      </c>
    </row>
    <row r="5404">
      <c r="A5404" s="4" t="inlineStr">
        <is>
          <t>13/04/2026</t>
        </is>
      </c>
      <c r="B5404" s="31" t="n">
        <v>68.78</v>
      </c>
    </row>
    <row r="5405">
      <c r="A5405" s="4" t="inlineStr">
        <is>
          <t>14/04/2026</t>
        </is>
      </c>
      <c r="B5405" s="31" t="n">
        <v>67.73</v>
      </c>
    </row>
    <row r="5406">
      <c r="A5406" s="4" t="inlineStr">
        <is>
          <t>15/04/2026</t>
        </is>
      </c>
      <c r="B5406" s="31" t="n">
        <v>67.48</v>
      </c>
    </row>
    <row r="5407">
      <c r="A5407" s="4" t="inlineStr">
        <is>
          <t>16/04/2026</t>
        </is>
      </c>
      <c r="B5407" s="31" t="n">
        <v>67.01000000000001</v>
      </c>
    </row>
    <row r="5408">
      <c r="A5408" s="4" t="inlineStr">
        <is>
          <t>17/04/2026</t>
        </is>
      </c>
      <c r="B5408" s="31" t="n">
        <v>66.81</v>
      </c>
    </row>
    <row r="5409">
      <c r="A5409" s="4" t="inlineStr">
        <is>
          <t>20/04/2026</t>
        </is>
      </c>
      <c r="B5409" s="31" t="n">
        <v>66.45</v>
      </c>
    </row>
    <row r="5410">
      <c r="A5410" s="4" t="inlineStr">
        <is>
          <t>22/04/2026</t>
        </is>
      </c>
      <c r="B5410" s="31" t="n">
        <v>66.34</v>
      </c>
    </row>
    <row r="5411">
      <c r="A5411" s="4" t="inlineStr">
        <is>
          <t>23/04/2026</t>
        </is>
      </c>
      <c r="B5411" s="31" t="n">
        <v>66.36</v>
      </c>
    </row>
    <row r="5412">
      <c r="A5412" s="4" t="inlineStr">
        <is>
          <t>24/04/2026</t>
        </is>
      </c>
      <c r="B5412" s="31" t="n">
        <v>66.63</v>
      </c>
    </row>
    <row r="5413">
      <c r="A5413" s="4" t="inlineStr">
        <is>
          <t>27/04/2026</t>
        </is>
      </c>
      <c r="B5413" s="31" t="n">
        <v>66.67</v>
      </c>
    </row>
    <row r="5414">
      <c r="A5414" s="4" t="inlineStr">
        <is>
          <t>28/04/2026</t>
        </is>
      </c>
      <c r="B5414" s="31" t="n">
        <v>66.67</v>
      </c>
    </row>
    <row r="5415">
      <c r="A5415" s="4" t="inlineStr">
        <is>
          <t>29/04/2026</t>
        </is>
      </c>
      <c r="B5415" s="31" t="n">
        <v>66.90000000000001</v>
      </c>
    </row>
    <row r="5416">
      <c r="A5416" s="4" t="inlineStr">
        <is>
          <t>30/04/2026</t>
        </is>
      </c>
      <c r="B5416" s="31" t="n">
        <v>66.90000000000001</v>
      </c>
    </row>
    <row r="5417">
      <c r="A5417" s="4" t="inlineStr">
        <is>
          <t>04/05/2026</t>
        </is>
      </c>
      <c r="B5417" s="31" t="n">
        <v>67.05</v>
      </c>
    </row>
    <row r="5418">
      <c r="A5418" s="4" t="inlineStr">
        <is>
          <t>05/05/2026</t>
        </is>
      </c>
      <c r="B5418" s="31" t="n">
        <v>66.73</v>
      </c>
    </row>
    <row r="5419">
      <c r="A5419" s="4" t="inlineStr">
        <is>
          <t>06/05/2026</t>
        </is>
      </c>
      <c r="B5419" s="31" t="n">
        <v>66.41</v>
      </c>
    </row>
    <row r="5420">
      <c r="A5420" s="4" t="inlineStr">
        <is>
          <t>07/05/2026</t>
        </is>
      </c>
      <c r="B5420" s="31" t="n">
        <v>66.06999999999999</v>
      </c>
    </row>
    <row r="5421">
      <c r="A5421" s="4" t="inlineStr">
        <is>
          <t>08/05/2026</t>
        </is>
      </c>
      <c r="B5421" s="31" t="n">
        <v>65.98</v>
      </c>
    </row>
    <row r="5422">
      <c r="A5422" s="4" t="inlineStr">
        <is>
          <t>11/05/2026</t>
        </is>
      </c>
      <c r="B5422" s="31" t="n">
        <v>65.92</v>
      </c>
    </row>
    <row r="5423">
      <c r="A5423" s="4" t="inlineStr">
        <is>
          <t>12/05/2026</t>
        </is>
      </c>
      <c r="B5423" s="31" t="n">
        <v>65.51000000000001</v>
      </c>
    </row>
    <row r="5424">
      <c r="A5424" s="4" t="inlineStr">
        <is>
          <t>13/05/2026</t>
        </is>
      </c>
      <c r="B5424" s="31" t="n">
        <v>65.34999999999999</v>
      </c>
    </row>
    <row r="5425">
      <c r="A5425" s="4" t="inlineStr">
        <is>
          <t>14/05/2026</t>
        </is>
      </c>
      <c r="B5425" s="31" t="n">
        <v>65.42</v>
      </c>
    </row>
    <row r="5426">
      <c r="A5426" s="4" t="inlineStr">
        <is>
          <t>15/05/2026</t>
        </is>
      </c>
      <c r="B5426" s="31" t="n">
        <v>65.36</v>
      </c>
    </row>
    <row r="5427">
      <c r="A5427" s="4" t="inlineStr">
        <is>
          <t>18/05/2026</t>
        </is>
      </c>
      <c r="B5427" s="31" t="n">
        <v>65.31999999999999</v>
      </c>
    </row>
    <row r="5428">
      <c r="A5428" s="4" t="inlineStr">
        <is>
          <t>19/05/2026</t>
        </is>
      </c>
      <c r="B5428" s="31" t="n">
        <v>65.28</v>
      </c>
    </row>
    <row r="5429">
      <c r="A5429" s="4" t="inlineStr">
        <is>
          <t>20/05/2026</t>
        </is>
      </c>
      <c r="B5429" s="31" t="n">
        <v>65.34</v>
      </c>
    </row>
    <row r="5430">
      <c r="A5430" s="4" t="inlineStr">
        <is>
          <t>21/05/2026</t>
        </is>
      </c>
      <c r="B5430" s="31" t="n">
        <v>65.41</v>
      </c>
    </row>
    <row r="5431">
      <c r="A5431" s="4" t="inlineStr">
        <is>
          <t>22/05/2026</t>
        </is>
      </c>
      <c r="B5431" s="31" t="n">
        <v>65.47</v>
      </c>
    </row>
    <row r="5432">
      <c r="A5432" s="4" t="inlineStr">
        <is>
          <t>25/05/2026</t>
        </is>
      </c>
      <c r="B5432" s="31" t="n">
        <v>65.39</v>
      </c>
    </row>
    <row r="5433">
      <c r="A5433" s="4" t="inlineStr">
        <is>
          <t>26/05/2026</t>
        </is>
      </c>
      <c r="B5433" s="31" t="n">
        <v>64.98999999999999</v>
      </c>
    </row>
    <row r="5434">
      <c r="A5434" s="4" t="inlineStr">
        <is>
          <t>27/05/2026</t>
        </is>
      </c>
      <c r="B5434" s="31" t="n">
        <v>65.13</v>
      </c>
    </row>
    <row r="5435">
      <c r="A5435" s="4" t="inlineStr">
        <is>
          <t>28/05/2026</t>
        </is>
      </c>
      <c r="B5435" s="31" t="n">
        <v>64.90000000000001</v>
      </c>
    </row>
    <row r="5436">
      <c r="A5436" s="4" t="inlineStr">
        <is>
          <t>29/05/2026</t>
        </is>
      </c>
      <c r="B5436" s="31" t="n">
        <v>64.91</v>
      </c>
    </row>
    <row r="5437">
      <c r="A5437" s="4" t="inlineStr">
        <is>
          <t>01/06/2026</t>
        </is>
      </c>
      <c r="B5437" s="31" t="n">
        <v>64.76000000000001</v>
      </c>
    </row>
    <row r="5438">
      <c r="A5438" s="4" t="inlineStr">
        <is>
          <t>02/06/2026</t>
        </is>
      </c>
      <c r="B5438" s="31" t="n">
        <v>64.54000000000001</v>
      </c>
    </row>
    <row r="5439">
      <c r="A5439" s="4" t="inlineStr">
        <is>
          <t>03/06/2026</t>
        </is>
      </c>
      <c r="B5439" s="31" t="n">
        <v>64.51000000000001</v>
      </c>
    </row>
    <row r="5440">
      <c r="A5440" s="4" t="inlineStr">
        <is>
          <t>05/06/2026</t>
        </is>
      </c>
      <c r="B5440" s="31" t="n">
        <v>64.5</v>
      </c>
    </row>
    <row r="5441">
      <c r="A5441" s="4" t="inlineStr">
        <is>
          <t>08/06/2026</t>
        </is>
      </c>
      <c r="B5441" s="31" t="n">
        <v>64.54000000000001</v>
      </c>
    </row>
    <row r="5442">
      <c r="A5442" s="4" t="inlineStr">
        <is>
          <t>09/06/2026</t>
        </is>
      </c>
      <c r="B5442" s="31" t="n">
        <v>64.26000000000001</v>
      </c>
    </row>
    <row r="5443">
      <c r="A5443" s="4" t="inlineStr">
        <is>
          <t>10/06/2026</t>
        </is>
      </c>
      <c r="B5443" s="31" t="n">
        <v>64.09</v>
      </c>
    </row>
    <row r="5444">
      <c r="A5444" s="4" t="inlineStr">
        <is>
          <t>11/06/2026</t>
        </is>
      </c>
      <c r="B5444" s="31" t="n">
        <v>64.03</v>
      </c>
    </row>
    <row r="5445">
      <c r="A5445" s="4" t="inlineStr">
        <is>
          <t>12/06/2026</t>
        </is>
      </c>
      <c r="B5445" s="31" t="n">
        <v>64.20999999999999</v>
      </c>
    </row>
    <row r="5446">
      <c r="A5446" s="4" t="inlineStr">
        <is>
          <t>15/06/2026</t>
        </is>
      </c>
      <c r="B5446" s="31" t="n">
        <v>62.97</v>
      </c>
    </row>
    <row r="5447">
      <c r="A5447" s="4" t="inlineStr">
        <is>
          <t>16/06/2026</t>
        </is>
      </c>
      <c r="B5447" s="31" t="n">
        <v>63.05</v>
      </c>
    </row>
    <row r="5448">
      <c r="A5448" s="4">
        <f>IF('MILHO - CEPEA'!A113&gt;0,'MILHO - CEPEA'!A113,"")</f>
        <v/>
      </c>
      <c r="B5448" s="42">
        <f>IF('MILHO - CEPEA'!C113&gt;0,'MILHO - CEPEA'!C113,"")</f>
        <v/>
      </c>
    </row>
    <row r="5449">
      <c r="A5449" s="4">
        <f>IF('MILHO - CEPEA'!A114&gt;0,'MILHO - CEPEA'!A114,"")</f>
        <v/>
      </c>
      <c r="B5449" s="42">
        <f>IF('MILHO - CEPEA'!C114&gt;0,'MILHO - CEPEA'!C114,"")</f>
        <v/>
      </c>
    </row>
    <row r="5450">
      <c r="A5450" s="4">
        <f>IF('MILHO - CEPEA'!A115&gt;0,'MILHO - CEPEA'!A115,"")</f>
        <v/>
      </c>
      <c r="B5450" s="42">
        <f>IF('MILHO - CEPEA'!C115&gt;0,'MILHO - CEPEA'!C115,"")</f>
        <v/>
      </c>
    </row>
    <row r="5451">
      <c r="A5451" s="4">
        <f>IF('MILHO - CEPEA'!A116&gt;0,'MILHO - CEPEA'!A116,"")</f>
        <v/>
      </c>
      <c r="B5451" s="42">
        <f>IF('MILHO - CEPEA'!C116&gt;0,'MILHO - CEPEA'!C116,"")</f>
        <v/>
      </c>
    </row>
    <row r="5452">
      <c r="A5452" s="4">
        <f>IF('MILHO - CEPEA'!A117&gt;0,'MILHO - CEPEA'!A117,"")</f>
        <v/>
      </c>
      <c r="B5452" s="42">
        <f>IF('MILHO - CEPEA'!C117&gt;0,'MILHO - CEPEA'!C117,"")</f>
        <v/>
      </c>
    </row>
    <row r="5453">
      <c r="A5453" s="4">
        <f>IF('MILHO - CEPEA'!A118&gt;0,'MILHO - CEPEA'!A118,"")</f>
        <v/>
      </c>
      <c r="B5453" s="42">
        <f>IF('MILHO - CEPEA'!C118&gt;0,'MILHO - CEPEA'!C118,"")</f>
        <v/>
      </c>
    </row>
    <row r="5454">
      <c r="A5454" s="4">
        <f>IF('MILHO - CEPEA'!A119&gt;0,'MILHO - CEPEA'!A119,"")</f>
        <v/>
      </c>
      <c r="B5454" s="42">
        <f>IF('MILHO - CEPEA'!C119&gt;0,'MILHO - CEPEA'!C119,"")</f>
        <v/>
      </c>
    </row>
    <row r="5455">
      <c r="A5455" s="4">
        <f>IF('MILHO - CEPEA'!A120&gt;0,'MILHO - CEPEA'!A120,"")</f>
        <v/>
      </c>
      <c r="B5455" s="42">
        <f>IF('MILHO - CEPEA'!C120&gt;0,'MILHO - CEPEA'!C120,"")</f>
        <v/>
      </c>
    </row>
    <row r="5456">
      <c r="A5456" s="4">
        <f>IF('MILHO - CEPEA'!A121&gt;0,'MILHO - CEPEA'!A121,"")</f>
        <v/>
      </c>
      <c r="B5456" s="42">
        <f>IF('MILHO - CEPEA'!C121&gt;0,'MILHO - CEPEA'!C121,"")</f>
        <v/>
      </c>
    </row>
    <row r="5457">
      <c r="A5457" s="4">
        <f>IF('MILHO - CEPEA'!A122&gt;0,'MILHO - CEPEA'!A122,"")</f>
        <v/>
      </c>
      <c r="B5457" s="42">
        <f>IF('MILHO - CEPEA'!C122&gt;0,'MILHO - CEPEA'!C122,"")</f>
        <v/>
      </c>
    </row>
    <row r="5458">
      <c r="A5458" s="4">
        <f>IF('MILHO - CEPEA'!A123&gt;0,'MILHO - CEPEA'!A123,"")</f>
        <v/>
      </c>
      <c r="B5458" s="42">
        <f>IF('MILHO - CEPEA'!C123&gt;0,'MILHO - CEPEA'!C123,"")</f>
        <v/>
      </c>
    </row>
    <row r="5459">
      <c r="A5459" s="4">
        <f>IF('MILHO - CEPEA'!A124&gt;0,'MILHO - CEPEA'!A124,"")</f>
        <v/>
      </c>
      <c r="B5459" s="42">
        <f>IF('MILHO - CEPEA'!C124&gt;0,'MILHO - CEPEA'!C124,"")</f>
        <v/>
      </c>
    </row>
    <row r="5460">
      <c r="A5460" s="4">
        <f>IF('MILHO - CEPEA'!A125&gt;0,'MILHO - CEPEA'!A125,"")</f>
        <v/>
      </c>
      <c r="B5460" s="42">
        <f>IF('MILHO - CEPEA'!C125&gt;0,'MILHO - CEPEA'!C125,"")</f>
        <v/>
      </c>
    </row>
    <row r="5461">
      <c r="A5461" s="4">
        <f>IF('MILHO - CEPEA'!A126&gt;0,'MILHO - CEPEA'!A126,"")</f>
        <v/>
      </c>
      <c r="B5461" s="42">
        <f>IF('MILHO - CEPEA'!C126&gt;0,'MILHO - CEPEA'!C126,"")</f>
        <v/>
      </c>
    </row>
    <row r="5462">
      <c r="A5462" s="4">
        <f>IF('MILHO - CEPEA'!A127&gt;0,'MILHO - CEPEA'!A127,"")</f>
        <v/>
      </c>
      <c r="B5462" s="42">
        <f>IF('MILHO - CEPEA'!C127&gt;0,'MILHO - CEPEA'!C127,"")</f>
        <v/>
      </c>
    </row>
    <row r="5463">
      <c r="A5463" s="4">
        <f>IF('MILHO - CEPEA'!A128&gt;0,'MILHO - CEPEA'!A128,"")</f>
        <v/>
      </c>
      <c r="B5463" s="42">
        <f>IF('MILHO - CEPEA'!C128&gt;0,'MILHO - CEPEA'!C128,"")</f>
        <v/>
      </c>
    </row>
    <row r="5464">
      <c r="A5464" s="4">
        <f>IF('MILHO - CEPEA'!A128&gt;0,'MILHO - CEPEA'!A128,"")</f>
        <v/>
      </c>
      <c r="B5464" s="42">
        <f>IF('MILHO - CEPEA'!C128&gt;0,'MILHO - CEPEA'!C128,"")</f>
        <v/>
      </c>
    </row>
    <row r="5465">
      <c r="A5465" s="4">
        <f>IF('MILHO - CEPEA'!A129&gt;0,'MILHO - CEPEA'!A129,"")</f>
        <v/>
      </c>
      <c r="B5465" s="42">
        <f>IF('MILHO - CEPEA'!C129&gt;0,'MILHO - CEPEA'!C129,"")</f>
        <v/>
      </c>
    </row>
    <row r="5466">
      <c r="A5466" s="4">
        <f>IF('MILHO - CEPEA'!A130&gt;0,'MILHO - CEPEA'!A130,"")</f>
        <v/>
      </c>
      <c r="B5466" s="42">
        <f>IF('MILHO - CEPEA'!C130&gt;0,'MILHO - CEPEA'!C130,"")</f>
        <v/>
      </c>
    </row>
    <row r="5467">
      <c r="A5467" s="4">
        <f>IF('MILHO - CEPEA'!A131&gt;0,'MILHO - CEPEA'!A131,"")</f>
        <v/>
      </c>
      <c r="B5467" s="42">
        <f>IF('MILHO - CEPEA'!C131&gt;0,'MILHO - CEPEA'!C131,"")</f>
        <v/>
      </c>
    </row>
    <row r="5468">
      <c r="A5468" s="4">
        <f>IF('MILHO - CEPEA'!A132&gt;0,'MILHO - CEPEA'!A132,"")</f>
        <v/>
      </c>
      <c r="B5468" s="42">
        <f>IF('MILHO - CEPEA'!C132&gt;0,'MILHO - CEPEA'!C132,"")</f>
        <v/>
      </c>
    </row>
    <row r="5469">
      <c r="A5469" s="4">
        <f>IF('MILHO - CEPEA'!A133&gt;0,'MILHO - CEPEA'!A133,"")</f>
        <v/>
      </c>
      <c r="B5469" s="42">
        <f>IF('MILHO - CEPEA'!C133&gt;0,'MILHO - CEPEA'!C133,"")</f>
        <v/>
      </c>
    </row>
    <row r="5470">
      <c r="A5470" s="4">
        <f>IF('MILHO - CEPEA'!A134&gt;0,'MILHO - CEPEA'!A134,"")</f>
        <v/>
      </c>
      <c r="B5470" s="42">
        <f>IF('MILHO - CEPEA'!C134&gt;0,'MILHO - CEPEA'!C134,"")</f>
        <v/>
      </c>
    </row>
    <row r="5471">
      <c r="A5471" s="4">
        <f>IF('MILHO - CEPEA'!A135&gt;0,'MILHO - CEPEA'!A135,"")</f>
        <v/>
      </c>
      <c r="B5471" s="42">
        <f>IF('MILHO - CEPEA'!C135&gt;0,'MILHO - CEPEA'!C135,"")</f>
        <v/>
      </c>
    </row>
    <row r="5472">
      <c r="A5472" s="4">
        <f>IF('MILHO - CEPEA'!A136&gt;0,'MILHO - CEPEA'!A136,"")</f>
        <v/>
      </c>
      <c r="B5472" s="42">
        <f>IF('MILHO - CEPEA'!C136&gt;0,'MILHO - CEPEA'!C136,"")</f>
        <v/>
      </c>
    </row>
    <row r="5473">
      <c r="A5473" s="4">
        <f>IF('MILHO - CEPEA'!A137&gt;0,'MILHO - CEPEA'!A137,"")</f>
        <v/>
      </c>
      <c r="B5473" s="42">
        <f>IF('MILHO - CEPEA'!C137&gt;0,'MILHO - CEPEA'!C137,"")</f>
        <v/>
      </c>
    </row>
    <row r="5474">
      <c r="A5474" s="4">
        <f>IF('MILHO - CEPEA'!A138&gt;0,'MILHO - CEPEA'!A138,"")</f>
        <v/>
      </c>
      <c r="B5474" s="42">
        <f>IF('MILHO - CEPEA'!C138&gt;0,'MILHO - CEPEA'!C138,"")</f>
        <v/>
      </c>
    </row>
    <row r="5475">
      <c r="A5475" s="4">
        <f>IF('MILHO - CEPEA'!A139&gt;0,'MILHO - CEPEA'!A139,"")</f>
        <v/>
      </c>
      <c r="B5475" s="42">
        <f>IF('MILHO - CEPEA'!C139&gt;0,'MILHO - CEPEA'!C139,"")</f>
        <v/>
      </c>
    </row>
    <row r="5476">
      <c r="A5476" s="4">
        <f>IF('MILHO - CEPEA'!A140&gt;0,'MILHO - CEPEA'!A140,"")</f>
        <v/>
      </c>
      <c r="B5476" s="42">
        <f>IF('MILHO - CEPEA'!C140&gt;0,'MILHO - CEPEA'!C140,"")</f>
        <v/>
      </c>
    </row>
    <row r="5477">
      <c r="A5477" s="4">
        <f>IF('MILHO - CEPEA'!A141&gt;0,'MILHO - CEPEA'!A141,"")</f>
        <v/>
      </c>
      <c r="B5477" s="42">
        <f>IF('MILHO - CEPEA'!C141&gt;0,'MILHO - CEPEA'!C141,"")</f>
        <v/>
      </c>
    </row>
    <row r="5478">
      <c r="A5478" s="4">
        <f>IF('MILHO - CEPEA'!A142&gt;0,'MILHO - CEPEA'!A142,"")</f>
        <v/>
      </c>
      <c r="B5478" s="42">
        <f>IF('MILHO - CEPEA'!C142&gt;0,'MILHO - CEPEA'!C142,"")</f>
        <v/>
      </c>
    </row>
    <row r="5479">
      <c r="A5479" s="4">
        <f>IF('MILHO - CEPEA'!A143&gt;0,'MILHO - CEPEA'!A143,"")</f>
        <v/>
      </c>
      <c r="B5479" s="42">
        <f>IF('MILHO - CEPEA'!C143&gt;0,'MILHO - CEPEA'!C143,"")</f>
        <v/>
      </c>
    </row>
    <row r="5480">
      <c r="A5480" s="4">
        <f>IF('MILHO - CEPEA'!A144&gt;0,'MILHO - CEPEA'!A144,"")</f>
        <v/>
      </c>
      <c r="B5480" s="42">
        <f>IF('MILHO - CEPEA'!C144&gt;0,'MILHO - CEPEA'!C144,"")</f>
        <v/>
      </c>
    </row>
    <row r="5481">
      <c r="A5481" s="4">
        <f>IF('MILHO - CEPEA'!A145&gt;0,'MILHO - CEPEA'!A145,"")</f>
        <v/>
      </c>
      <c r="B5481" s="42">
        <f>IF('MILHO - CEPEA'!C145&gt;0,'MILHO - CEPEA'!C145,"")</f>
        <v/>
      </c>
    </row>
    <row r="5482">
      <c r="A5482" s="4">
        <f>IF('MILHO - CEPEA'!A146&gt;0,'MILHO - CEPEA'!A146,"")</f>
        <v/>
      </c>
      <c r="B5482" s="42">
        <f>IF('MILHO - CEPEA'!C146&gt;0,'MILHO - CEPEA'!C146,"")</f>
        <v/>
      </c>
    </row>
    <row r="5483">
      <c r="A5483" s="4">
        <f>IF('MILHO - CEPEA'!A147&gt;0,'MILHO - CEPEA'!A147,"")</f>
        <v/>
      </c>
      <c r="B5483" s="42">
        <f>IF('MILHO - CEPEA'!C147&gt;0,'MILHO - CEPEA'!C147,"")</f>
        <v/>
      </c>
    </row>
    <row r="5484">
      <c r="A5484" s="4">
        <f>IF('MILHO - CEPEA'!A148&gt;0,'MILHO - CEPEA'!A148,"")</f>
        <v/>
      </c>
      <c r="B5484" s="42">
        <f>IF('MILHO - CEPEA'!C148&gt;0,'MILHO - CEPEA'!C148,"")</f>
        <v/>
      </c>
    </row>
    <row r="5485">
      <c r="A5485" s="4">
        <f>IF('MILHO - CEPEA'!A149&gt;0,'MILHO - CEPEA'!A149,"")</f>
        <v/>
      </c>
      <c r="B5485" s="42">
        <f>IF('MILHO - CEPEA'!C149&gt;0,'MILHO - CEPEA'!C149,"")</f>
        <v/>
      </c>
    </row>
    <row r="5486">
      <c r="A5486" s="4">
        <f>IF('MILHO - CEPEA'!A150&gt;0,'MILHO - CEPEA'!A150,"")</f>
        <v/>
      </c>
      <c r="B5486" s="42">
        <f>IF('MILHO - CEPEA'!C150&gt;0,'MILHO - CEPEA'!C150,"")</f>
        <v/>
      </c>
    </row>
    <row r="5487">
      <c r="A5487" s="4">
        <f>IF('MILHO - CEPEA'!A151&gt;0,'MILHO - CEPEA'!A151,"")</f>
        <v/>
      </c>
      <c r="B5487" s="42">
        <f>IF('MILHO - CEPEA'!C151&gt;0,'MILHO - CEPEA'!C151,"")</f>
        <v/>
      </c>
    </row>
    <row r="5488">
      <c r="A5488" s="4">
        <f>IF('MILHO - CEPEA'!A152&gt;0,'MILHO - CEPEA'!A152,"")</f>
        <v/>
      </c>
      <c r="B5488" s="42">
        <f>IF('MILHO - CEPEA'!C152&gt;0,'MILHO - CEPEA'!C152,"")</f>
        <v/>
      </c>
    </row>
    <row r="5489">
      <c r="A5489" s="4">
        <f>IF('MILHO - CEPEA'!A153&gt;0,'MILHO - CEPEA'!A153,"")</f>
        <v/>
      </c>
      <c r="B5489" s="42">
        <f>IF('MILHO - CEPEA'!C153&gt;0,'MILHO - CEPEA'!C153,"")</f>
        <v/>
      </c>
    </row>
    <row r="5490">
      <c r="A5490" s="4">
        <f>IF('MILHO - CEPEA'!A154&gt;0,'MILHO - CEPEA'!A154,"")</f>
        <v/>
      </c>
      <c r="B5490" s="42">
        <f>IF('MILHO - CEPEA'!C154&gt;0,'MILHO - CEPEA'!C154,"")</f>
        <v/>
      </c>
    </row>
    <row r="5491">
      <c r="A5491" s="4">
        <f>IF('MILHO - CEPEA'!A155&gt;0,'MILHO - CEPEA'!A155,"")</f>
        <v/>
      </c>
      <c r="B5491" s="42">
        <f>IF('MILHO - CEPEA'!C155&gt;0,'MILHO - CEPEA'!C155,"")</f>
        <v/>
      </c>
    </row>
    <row r="5492">
      <c r="A5492" s="4">
        <f>IF('MILHO - CEPEA'!A156&gt;0,'MILHO - CEPEA'!A156,"")</f>
        <v/>
      </c>
      <c r="B5492" s="42">
        <f>IF('MILHO - CEPEA'!C156&gt;0,'MILHO - CEPEA'!C156,"")</f>
        <v/>
      </c>
    </row>
    <row r="5493">
      <c r="A5493" s="4">
        <f>IF('MILHO - CEPEA'!A157&gt;0,'MILHO - CEPEA'!A157,"")</f>
        <v/>
      </c>
      <c r="B5493" s="42">
        <f>IF('MILHO - CEPEA'!C157&gt;0,'MILHO - CEPEA'!C157,"")</f>
        <v/>
      </c>
    </row>
    <row r="5494">
      <c r="A5494" s="4">
        <f>IF('MILHO - CEPEA'!A158&gt;0,'MILHO - CEPEA'!A158,"")</f>
        <v/>
      </c>
      <c r="B5494" s="42">
        <f>IF('MILHO - CEPEA'!C158&gt;0,'MILHO - CEPEA'!C158,"")</f>
        <v/>
      </c>
    </row>
    <row r="5495">
      <c r="A5495" s="4">
        <f>IF('MILHO - CEPEA'!A159&gt;0,'MILHO - CEPEA'!A159,"")</f>
        <v/>
      </c>
      <c r="B5495" s="42">
        <f>IF('MILHO - CEPEA'!C159&gt;0,'MILHO - CEPEA'!C159,"")</f>
        <v/>
      </c>
    </row>
    <row r="5496">
      <c r="A5496" s="4">
        <f>IF('MILHO - CEPEA'!A160&gt;0,'MILHO - CEPEA'!A160,"")</f>
        <v/>
      </c>
      <c r="B5496" s="42">
        <f>IF('MILHO - CEPEA'!C160&gt;0,'MILHO - CEPEA'!C160,"")</f>
        <v/>
      </c>
    </row>
    <row r="5497">
      <c r="A5497" s="4">
        <f>IF('MILHO - CEPEA'!A161&gt;0,'MILHO - CEPEA'!A161,"")</f>
        <v/>
      </c>
      <c r="B5497" s="42">
        <f>IF('MILHO - CEPEA'!C161&gt;0,'MILHO - CEPEA'!C161,"")</f>
        <v/>
      </c>
    </row>
    <row r="5498">
      <c r="A5498" s="4">
        <f>IF('MILHO - CEPEA'!A162&gt;0,'MILHO - CEPEA'!A162,"")</f>
        <v/>
      </c>
      <c r="B5498" s="42">
        <f>IF('MILHO - CEPEA'!C162&gt;0,'MILHO - CEPEA'!C162,"")</f>
        <v/>
      </c>
    </row>
    <row r="5499">
      <c r="A5499" s="4">
        <f>IF('MILHO - CEPEA'!A163&gt;0,'MILHO - CEPEA'!A163,"")</f>
        <v/>
      </c>
      <c r="B5499" s="42">
        <f>IF('MILHO - CEPEA'!C163&gt;0,'MILHO - CEPEA'!C163,"")</f>
        <v/>
      </c>
    </row>
    <row r="5500">
      <c r="A5500" s="4">
        <f>IF('MILHO - CEPEA'!A164&gt;0,'MILHO - CEPEA'!A164,"")</f>
        <v/>
      </c>
      <c r="B5500" s="42">
        <f>IF('MILHO - CEPEA'!C164&gt;0,'MILHO - CEPEA'!C164,"")</f>
        <v/>
      </c>
    </row>
    <row r="5501">
      <c r="A5501" s="4">
        <f>IF('MILHO - CEPEA'!A165&gt;0,'MILHO - CEPEA'!A165,"")</f>
        <v/>
      </c>
      <c r="B5501" s="42">
        <f>IF('MILHO - CEPEA'!C165&gt;0,'MILHO - CEPEA'!C165,"")</f>
        <v/>
      </c>
    </row>
    <row r="5502">
      <c r="A5502" s="4">
        <f>IF('MILHO - CEPEA'!A166&gt;0,'MILHO - CEPEA'!A166,"")</f>
        <v/>
      </c>
      <c r="B5502" s="42">
        <f>IF('MILHO - CEPEA'!C166&gt;0,'MILHO - CEPEA'!C166,"")</f>
        <v/>
      </c>
    </row>
    <row r="5503">
      <c r="A5503" s="4">
        <f>IF('MILHO - CEPEA'!A167&gt;0,'MILHO - CEPEA'!A167,"")</f>
        <v/>
      </c>
      <c r="B5503" s="42">
        <f>IF('MILHO - CEPEA'!C167&gt;0,'MILHO - CEPEA'!C167,"")</f>
        <v/>
      </c>
    </row>
    <row r="5504">
      <c r="A5504" s="4">
        <f>IF('MILHO - CEPEA'!A168&gt;0,'MILHO - CEPEA'!A168,"")</f>
        <v/>
      </c>
      <c r="B5504" s="42">
        <f>IF('MILHO - CEPEA'!C168&gt;0,'MILHO - CEPEA'!C168,"")</f>
        <v/>
      </c>
    </row>
    <row r="5505">
      <c r="A5505" s="4">
        <f>IF('MILHO - CEPEA'!A169&gt;0,'MILHO - CEPEA'!A169,"")</f>
        <v/>
      </c>
      <c r="B5505" s="42">
        <f>IF('MILHO - CEPEA'!C169&gt;0,'MILHO - CEPEA'!C169,"")</f>
        <v/>
      </c>
    </row>
    <row r="5506">
      <c r="A5506" s="4">
        <f>IF('MILHO - CEPEA'!A170&gt;0,'MILHO - CEPEA'!A170,"")</f>
        <v/>
      </c>
      <c r="B5506" s="42">
        <f>IF('MILHO - CEPEA'!C170&gt;0,'MILHO - CEPEA'!C170,"")</f>
        <v/>
      </c>
    </row>
    <row r="5507">
      <c r="A5507" s="4">
        <f>IF('MILHO - CEPEA'!A171&gt;0,'MILHO - CEPEA'!A171,"")</f>
        <v/>
      </c>
      <c r="B5507" s="42">
        <f>IF('MILHO - CEPEA'!C171&gt;0,'MILHO - CEPEA'!C171,"")</f>
        <v/>
      </c>
    </row>
    <row r="5508">
      <c r="A5508" s="4">
        <f>IF('MILHO - CEPEA'!A172&gt;0,'MILHO - CEPEA'!A172,"")</f>
        <v/>
      </c>
      <c r="B5508" s="42">
        <f>IF('MILHO - CEPEA'!C172&gt;0,'MILHO - CEPEA'!C172,"")</f>
        <v/>
      </c>
    </row>
    <row r="5509">
      <c r="A5509" s="4">
        <f>IF('MILHO - CEPEA'!A173&gt;0,'MILHO - CEPEA'!A173,"")</f>
        <v/>
      </c>
      <c r="B5509" s="42">
        <f>IF('MILHO - CEPEA'!C173&gt;0,'MILHO - CEPEA'!C173,"")</f>
        <v/>
      </c>
    </row>
    <row r="5510">
      <c r="A5510" s="4">
        <f>IF('MILHO - CEPEA'!A174&gt;0,'MILHO - CEPEA'!A174,"")</f>
        <v/>
      </c>
      <c r="B5510" s="42">
        <f>IF('MILHO - CEPEA'!C174&gt;0,'MILHO - CEPEA'!C174,"")</f>
        <v/>
      </c>
    </row>
    <row r="5511">
      <c r="A5511" s="4">
        <f>IF('MILHO - CEPEA'!A175&gt;0,'MILHO - CEPEA'!A175,"")</f>
        <v/>
      </c>
      <c r="B5511" s="42">
        <f>IF('MILHO - CEPEA'!C175&gt;0,'MILHO - CEPEA'!C175,"")</f>
        <v/>
      </c>
    </row>
    <row r="5512">
      <c r="A5512" s="4">
        <f>IF('MILHO - CEPEA'!A176&gt;0,'MILHO - CEPEA'!A176,"")</f>
        <v/>
      </c>
      <c r="B5512" s="42">
        <f>IF('MILHO - CEPEA'!C176&gt;0,'MILHO - CEPEA'!C176,"")</f>
        <v/>
      </c>
    </row>
    <row r="5513">
      <c r="A5513" s="4">
        <f>IF('MILHO - CEPEA'!A177&gt;0,'MILHO - CEPEA'!A177,"")</f>
        <v/>
      </c>
      <c r="B5513" s="42">
        <f>IF('MILHO - CEPEA'!C177&gt;0,'MILHO - CEPEA'!C177,"")</f>
        <v/>
      </c>
    </row>
    <row r="5514">
      <c r="A5514" s="4">
        <f>IF('MILHO - CEPEA'!A178&gt;0,'MILHO - CEPEA'!A178,"")</f>
        <v/>
      </c>
      <c r="B5514" s="42">
        <f>IF('MILHO - CEPEA'!C178&gt;0,'MILHO - CEPEA'!C178,"")</f>
        <v/>
      </c>
    </row>
    <row r="5515">
      <c r="A5515" s="4">
        <f>IF('MILHO - CEPEA'!A179&gt;0,'MILHO - CEPEA'!A179,"")</f>
        <v/>
      </c>
      <c r="B5515" s="42">
        <f>IF('MILHO - CEPEA'!C179&gt;0,'MILHO - CEPEA'!C179,"")</f>
        <v/>
      </c>
    </row>
    <row r="5516">
      <c r="A5516" s="4">
        <f>IF('MILHO - CEPEA'!A180&gt;0,'MILHO - CEPEA'!A180,"")</f>
        <v/>
      </c>
      <c r="B5516" s="42">
        <f>IF('MILHO - CEPEA'!C180&gt;0,'MILHO - CEPEA'!C180,"")</f>
        <v/>
      </c>
    </row>
    <row r="5517">
      <c r="A5517" s="4">
        <f>IF('MILHO - CEPEA'!A181&gt;0,'MILHO - CEPEA'!A181,"")</f>
        <v/>
      </c>
      <c r="B5517" s="42">
        <f>IF('MILHO - CEPEA'!C181&gt;0,'MILHO - CEPEA'!C181,"")</f>
        <v/>
      </c>
    </row>
    <row r="5518">
      <c r="A5518" s="4">
        <f>IF('MILHO - CEPEA'!A182&gt;0,'MILHO - CEPEA'!A182,"")</f>
        <v/>
      </c>
      <c r="B5518" s="42">
        <f>IF('MILHO - CEPEA'!C182&gt;0,'MILHO - CEPEA'!C182,"")</f>
        <v/>
      </c>
    </row>
    <row r="5519">
      <c r="A5519" s="4">
        <f>IF('MILHO - CEPEA'!A183&gt;0,'MILHO - CEPEA'!A183,"")</f>
        <v/>
      </c>
      <c r="B5519" s="42">
        <f>IF('MILHO - CEPEA'!C183&gt;0,'MILHO - CEPEA'!C183,"")</f>
        <v/>
      </c>
    </row>
    <row r="5520">
      <c r="A5520" s="4">
        <f>IF('MILHO - CEPEA'!A184&gt;0,'MILHO - CEPEA'!A184,"")</f>
        <v/>
      </c>
      <c r="B5520" s="42">
        <f>IF('MILHO - CEPEA'!C184&gt;0,'MILHO - CEPEA'!C184,"")</f>
        <v/>
      </c>
    </row>
    <row r="5521">
      <c r="A5521" s="4">
        <f>IF('MILHO - CEPEA'!A185&gt;0,'MILHO - CEPEA'!A185,"")</f>
        <v/>
      </c>
      <c r="B5521" s="42">
        <f>IF('MILHO - CEPEA'!C185&gt;0,'MILHO - CEPEA'!C185,"")</f>
        <v/>
      </c>
    </row>
    <row r="5522">
      <c r="A5522" s="4">
        <f>IF('MILHO - CEPEA'!A186&gt;0,'MILHO - CEPEA'!A186,"")</f>
        <v/>
      </c>
      <c r="B5522" s="42">
        <f>IF('MILHO - CEPEA'!C186&gt;0,'MILHO - CEPEA'!C186,"")</f>
        <v/>
      </c>
    </row>
    <row r="5523">
      <c r="A5523" s="4">
        <f>IF('MILHO - CEPEA'!A187&gt;0,'MILHO - CEPEA'!A187,"")</f>
        <v/>
      </c>
      <c r="B5523" s="42">
        <f>IF('MILHO - CEPEA'!C187&gt;0,'MILHO - CEPEA'!C187,"")</f>
        <v/>
      </c>
    </row>
    <row r="5524">
      <c r="A5524" s="4">
        <f>IF('MILHO - CEPEA'!A188&gt;0,'MILHO - CEPEA'!A188,"")</f>
        <v/>
      </c>
      <c r="B5524" s="42">
        <f>IF('MILHO - CEPEA'!C188&gt;0,'MILHO - CEPEA'!C188,"")</f>
        <v/>
      </c>
    </row>
    <row r="5525">
      <c r="A5525" s="4">
        <f>IF('MILHO - CEPEA'!A189&gt;0,'MILHO - CEPEA'!A189,"")</f>
        <v/>
      </c>
      <c r="B5525" s="42">
        <f>IF('MILHO - CEPEA'!C189&gt;0,'MILHO - CEPEA'!C189,"")</f>
        <v/>
      </c>
    </row>
    <row r="5526">
      <c r="A5526" s="4">
        <f>IF('MILHO - CEPEA'!A190&gt;0,'MILHO - CEPEA'!A190,"")</f>
        <v/>
      </c>
      <c r="B5526" s="42">
        <f>IF('MILHO - CEPEA'!C190&gt;0,'MILHO - CEPEA'!C190,"")</f>
        <v/>
      </c>
    </row>
    <row r="5527">
      <c r="A5527" s="4">
        <f>IF('MILHO - CEPEA'!A191&gt;0,'MILHO - CEPEA'!A191,"")</f>
        <v/>
      </c>
      <c r="B5527" s="42">
        <f>IF('MILHO - CEPEA'!C191&gt;0,'MILHO - CEPEA'!C191,"")</f>
        <v/>
      </c>
    </row>
    <row r="5528">
      <c r="A5528" s="4">
        <f>IF('MILHO - CEPEA'!A192&gt;0,'MILHO - CEPEA'!A192,"")</f>
        <v/>
      </c>
      <c r="B5528" s="42">
        <f>IF('MILHO - CEPEA'!C192&gt;0,'MILHO - CEPEA'!C192,"")</f>
        <v/>
      </c>
    </row>
    <row r="5529">
      <c r="A5529" s="4">
        <f>IF('MILHO - CEPEA'!A193&gt;0,'MILHO - CEPEA'!A193,"")</f>
        <v/>
      </c>
      <c r="B5529" s="42">
        <f>IF('MILHO - CEPEA'!C193&gt;0,'MILHO - CEPEA'!C193,"")</f>
        <v/>
      </c>
    </row>
    <row r="5530">
      <c r="A5530" s="4">
        <f>IF('MILHO - CEPEA'!A194&gt;0,'MILHO - CEPEA'!A194,"")</f>
        <v/>
      </c>
      <c r="B5530" s="42">
        <f>IF('MILHO - CEPEA'!C194&gt;0,'MILHO - CEPEA'!C194,"")</f>
        <v/>
      </c>
    </row>
    <row r="5531">
      <c r="A5531" s="4">
        <f>IF('MILHO - CEPEA'!A195&gt;0,'MILHO - CEPEA'!A195,"")</f>
        <v/>
      </c>
      <c r="B5531" s="42">
        <f>IF('MILHO - CEPEA'!C195&gt;0,'MILHO - CEPEA'!C195,"")</f>
        <v/>
      </c>
    </row>
    <row r="5532">
      <c r="A5532" s="4">
        <f>IF('MILHO - CEPEA'!A196&gt;0,'MILHO - CEPEA'!A196,"")</f>
        <v/>
      </c>
      <c r="B5532" s="42">
        <f>IF('MILHO - CEPEA'!C196&gt;0,'MILHO - CEPEA'!C196,"")</f>
        <v/>
      </c>
    </row>
    <row r="5533">
      <c r="A5533" s="4">
        <f>IF('MILHO - CEPEA'!A197&gt;0,'MILHO - CEPEA'!A197,"")</f>
        <v/>
      </c>
      <c r="B5533" s="42">
        <f>IF('MILHO - CEPEA'!C197&gt;0,'MILHO - CEPEA'!C197,"")</f>
        <v/>
      </c>
    </row>
    <row r="5534">
      <c r="A5534" s="4">
        <f>IF('MILHO - CEPEA'!A198&gt;0,'MILHO - CEPEA'!A198,"")</f>
        <v/>
      </c>
      <c r="B5534" s="42">
        <f>IF('MILHO - CEPEA'!C198&gt;0,'MILHO - CEPEA'!C198,"")</f>
        <v/>
      </c>
    </row>
    <row r="5535">
      <c r="A5535" s="4">
        <f>IF('MILHO - CEPEA'!A199&gt;0,'MILHO - CEPEA'!A199,"")</f>
        <v/>
      </c>
      <c r="B5535" s="42">
        <f>IF('MILHO - CEPEA'!C199&gt;0,'MILHO - CEPEA'!C199,"")</f>
        <v/>
      </c>
    </row>
    <row r="5536">
      <c r="A5536" s="4">
        <f>IF('MILHO - CEPEA'!A200&gt;0,'MILHO - CEPEA'!A200,"")</f>
        <v/>
      </c>
      <c r="B5536" s="42">
        <f>IF('MILHO - CEPEA'!C200&gt;0,'MILHO - CEPEA'!C200,"")</f>
        <v/>
      </c>
    </row>
    <row r="5537">
      <c r="A5537" s="4">
        <f>IF('MILHO - CEPEA'!A201&gt;0,'MILHO - CEPEA'!A201,"")</f>
        <v/>
      </c>
      <c r="B5537" s="42">
        <f>IF('MILHO - CEPEA'!C201&gt;0,'MILHO - CEPEA'!C201,"")</f>
        <v/>
      </c>
    </row>
    <row r="5538">
      <c r="A5538" s="4">
        <f>IF('MILHO - CEPEA'!A202&gt;0,'MILHO - CEPEA'!A202,"")</f>
        <v/>
      </c>
      <c r="B5538" s="42">
        <f>IF('MILHO - CEPEA'!C202&gt;0,'MILHO - CEPEA'!C202,"")</f>
        <v/>
      </c>
    </row>
    <row r="5539">
      <c r="A5539" s="4">
        <f>IF('MILHO - CEPEA'!A203&gt;0,'MILHO - CEPEA'!A203,"")</f>
        <v/>
      </c>
      <c r="B5539" s="42">
        <f>IF('MILHO - CEPEA'!C203&gt;0,'MILHO - CEPEA'!C203,"")</f>
        <v/>
      </c>
    </row>
    <row r="5540">
      <c r="A5540" s="4">
        <f>IF('MILHO - CEPEA'!A204&gt;0,'MILHO - CEPEA'!A204,"")</f>
        <v/>
      </c>
      <c r="B5540" s="42">
        <f>IF('MILHO - CEPEA'!C204&gt;0,'MILHO - CEPEA'!C204,"")</f>
        <v/>
      </c>
    </row>
    <row r="5541">
      <c r="A5541" s="4">
        <f>IF('MILHO - CEPEA'!A205&gt;0,'MILHO - CEPEA'!A205,"")</f>
        <v/>
      </c>
      <c r="B5541" s="42">
        <f>IF('MILHO - CEPEA'!C205&gt;0,'MILHO - CEPEA'!C205,"")</f>
        <v/>
      </c>
    </row>
    <row r="5542">
      <c r="A5542" s="4">
        <f>IF('MILHO - CEPEA'!A206&gt;0,'MILHO - CEPEA'!A206,"")</f>
        <v/>
      </c>
      <c r="B5542" s="42">
        <f>IF('MILHO - CEPEA'!C206&gt;0,'MILHO - CEPEA'!C206,"")</f>
        <v/>
      </c>
    </row>
    <row r="5543">
      <c r="A5543" s="4">
        <f>IF('MILHO - CEPEA'!A207&gt;0,'MILHO - CEPEA'!A207,"")</f>
        <v/>
      </c>
      <c r="B5543" s="42">
        <f>IF('MILHO - CEPEA'!C207&gt;0,'MILHO - CEPEA'!C207,"")</f>
        <v/>
      </c>
    </row>
    <row r="5544">
      <c r="A5544" s="4">
        <f>IF('MILHO - CEPEA'!A208&gt;0,'MILHO - CEPEA'!A208,"")</f>
        <v/>
      </c>
      <c r="B5544" s="42">
        <f>IF('MILHO - CEPEA'!C208&gt;0,'MILHO - CEPEA'!C208,"")</f>
        <v/>
      </c>
    </row>
    <row r="5545">
      <c r="A5545" s="4">
        <f>IF('MILHO - CEPEA'!A209&gt;0,'MILHO - CEPEA'!A209,"")</f>
        <v/>
      </c>
      <c r="B5545" s="42">
        <f>IF('MILHO - CEPEA'!C209&gt;0,'MILHO - CEPEA'!C209,"")</f>
        <v/>
      </c>
    </row>
    <row r="5546">
      <c r="A5546" s="4">
        <f>IF('MILHO - CEPEA'!A210&gt;0,'MILHO - CEPEA'!A210,"")</f>
        <v/>
      </c>
      <c r="B5546" s="42">
        <f>IF('MILHO - CEPEA'!C210&gt;0,'MILHO - CEPEA'!C210,"")</f>
        <v/>
      </c>
    </row>
    <row r="5547">
      <c r="A5547" s="4">
        <f>IF('MILHO - CEPEA'!A211&gt;0,'MILHO - CEPEA'!A211,"")</f>
        <v/>
      </c>
      <c r="B5547" s="42">
        <f>IF('MILHO - CEPEA'!C211&gt;0,'MILHO - CEPEA'!C211,"")</f>
        <v/>
      </c>
    </row>
    <row r="5548">
      <c r="A5548" s="4">
        <f>IF('MILHO - CEPEA'!A212&gt;0,'MILHO - CEPEA'!A212,"")</f>
        <v/>
      </c>
      <c r="B5548" s="42">
        <f>IF('MILHO - CEPEA'!C212&gt;0,'MILHO - CEPEA'!C212,"")</f>
        <v/>
      </c>
    </row>
    <row r="5549">
      <c r="A5549" s="4">
        <f>IF('MILHO - CEPEA'!A213&gt;0,'MILHO - CEPEA'!A213,"")</f>
        <v/>
      </c>
      <c r="B5549" s="42">
        <f>IF('MILHO - CEPEA'!C213&gt;0,'MILHO - CEPEA'!C213,"")</f>
        <v/>
      </c>
    </row>
    <row r="5550">
      <c r="A5550" s="4">
        <f>IF('MILHO - CEPEA'!A214&gt;0,'MILHO - CEPEA'!A214,"")</f>
        <v/>
      </c>
      <c r="B5550" s="42">
        <f>IF('MILHO - CEPEA'!C214&gt;0,'MILHO - CEPEA'!C214,"")</f>
        <v/>
      </c>
    </row>
    <row r="5551">
      <c r="A5551" s="4">
        <f>IF('MILHO - CEPEA'!A215&gt;0,'MILHO - CEPEA'!A215,"")</f>
        <v/>
      </c>
      <c r="B5551" s="42">
        <f>IF('MILHO - CEPEA'!C215&gt;0,'MILHO - CEPEA'!C215,"")</f>
        <v/>
      </c>
    </row>
    <row r="5552">
      <c r="A5552" s="4">
        <f>IF('MILHO - CEPEA'!A216&gt;0,'MILHO - CEPEA'!A216,"")</f>
        <v/>
      </c>
      <c r="B5552" s="42">
        <f>IF('MILHO - CEPEA'!C216&gt;0,'MILHO - CEPEA'!C216,"")</f>
        <v/>
      </c>
    </row>
    <row r="5553">
      <c r="A5553" s="4">
        <f>IF('MILHO - CEPEA'!A217&gt;0,'MILHO - CEPEA'!A217,"")</f>
        <v/>
      </c>
      <c r="B5553" s="42">
        <f>IF('MILHO - CEPEA'!C217&gt;0,'MILHO - CEPEA'!C217,"")</f>
        <v/>
      </c>
    </row>
    <row r="5554">
      <c r="A5554" s="4">
        <f>IF('MILHO - CEPEA'!A218&gt;0,'MILHO - CEPEA'!A218,"")</f>
        <v/>
      </c>
      <c r="B5554" s="42">
        <f>IF('MILHO - CEPEA'!C218&gt;0,'MILHO - CEPEA'!C218,"")</f>
        <v/>
      </c>
    </row>
    <row r="5555">
      <c r="A5555" s="4">
        <f>IF('MILHO - CEPEA'!A219&gt;0,'MILHO - CEPEA'!A219,"")</f>
        <v/>
      </c>
      <c r="B5555" s="42">
        <f>IF('MILHO - CEPEA'!C219&gt;0,'MILHO - CEPEA'!C219,"")</f>
        <v/>
      </c>
    </row>
    <row r="5556">
      <c r="A5556" s="4">
        <f>IF('MILHO - CEPEA'!A220&gt;0,'MILHO - CEPEA'!A220,"")</f>
        <v/>
      </c>
      <c r="B5556" s="42">
        <f>IF('MILHO - CEPEA'!C220&gt;0,'MILHO - CEPEA'!C220,"")</f>
        <v/>
      </c>
    </row>
    <row r="5557">
      <c r="A5557" s="4">
        <f>IF('MILHO - CEPEA'!A221&gt;0,'MILHO - CEPEA'!A221,"")</f>
        <v/>
      </c>
      <c r="B5557" s="42">
        <f>IF('MILHO - CEPEA'!C221&gt;0,'MILHO - CEPEA'!C221,"")</f>
        <v/>
      </c>
    </row>
    <row r="5558">
      <c r="A5558" s="4">
        <f>IF('MILHO - CEPEA'!A222&gt;0,'MILHO - CEPEA'!A222,"")</f>
        <v/>
      </c>
      <c r="B5558" s="42">
        <f>IF('MILHO - CEPEA'!C222&gt;0,'MILHO - CEPEA'!C222,"")</f>
        <v/>
      </c>
    </row>
    <row r="5559">
      <c r="A5559" s="4">
        <f>IF('MILHO - CEPEA'!A223&gt;0,'MILHO - CEPEA'!A223,"")</f>
        <v/>
      </c>
      <c r="B5559" s="42">
        <f>IF('MILHO - CEPEA'!C223&gt;0,'MILHO - CEPEA'!C223,"")</f>
        <v/>
      </c>
    </row>
    <row r="5560">
      <c r="A5560" s="4">
        <f>IF('MILHO - CEPEA'!A224&gt;0,'MILHO - CEPEA'!A224,"")</f>
        <v/>
      </c>
      <c r="B5560" s="42">
        <f>IF('MILHO - CEPEA'!C224&gt;0,'MILHO - CEPEA'!C224,"")</f>
        <v/>
      </c>
    </row>
    <row r="5561">
      <c r="A5561" s="4">
        <f>IF('MILHO - CEPEA'!A225&gt;0,'MILHO - CEPEA'!A225,"")</f>
        <v/>
      </c>
      <c r="B5561" s="42">
        <f>IF('MILHO - CEPEA'!C225&gt;0,'MILHO - CEPEA'!C225,"")</f>
        <v/>
      </c>
    </row>
    <row r="5562">
      <c r="A5562" s="4">
        <f>IF('MILHO - CEPEA'!A226&gt;0,'MILHO - CEPEA'!A226,"")</f>
        <v/>
      </c>
      <c r="B5562" s="42">
        <f>IF('MILHO - CEPEA'!C226&gt;0,'MILHO - CEPEA'!C226,"")</f>
        <v/>
      </c>
    </row>
    <row r="5563">
      <c r="A5563" s="4">
        <f>IF('MILHO - CEPEA'!A227&gt;0,'MILHO - CEPEA'!A227,"")</f>
        <v/>
      </c>
      <c r="B5563" s="42">
        <f>IF('MILHO - CEPEA'!C227&gt;0,'MILHO - CEPEA'!C227,"")</f>
        <v/>
      </c>
    </row>
    <row r="5564">
      <c r="A5564" s="4">
        <f>IF('MILHO - CEPEA'!A228&gt;0,'MILHO - CEPEA'!A228,"")</f>
        <v/>
      </c>
      <c r="B5564" s="42">
        <f>IF('MILHO - CEPEA'!C228&gt;0,'MILHO - CEPEA'!C228,"")</f>
        <v/>
      </c>
    </row>
    <row r="5565">
      <c r="A5565" s="4">
        <f>IF('MILHO - CEPEA'!A229&gt;0,'MILHO - CEPEA'!A229,"")</f>
        <v/>
      </c>
      <c r="B5565" s="42">
        <f>IF('MILHO - CEPEA'!C229&gt;0,'MILHO - CEPEA'!C229,"")</f>
        <v/>
      </c>
    </row>
    <row r="5566">
      <c r="A5566" s="4">
        <f>IF('MILHO - CEPEA'!A230&gt;0,'MILHO - CEPEA'!A230,"")</f>
        <v/>
      </c>
      <c r="B5566" s="42">
        <f>IF('MILHO - CEPEA'!C230&gt;0,'MILHO - CEPEA'!C230,"")</f>
        <v/>
      </c>
    </row>
    <row r="5567">
      <c r="A5567" s="4">
        <f>IF('MILHO - CEPEA'!A231&gt;0,'MILHO - CEPEA'!A231,"")</f>
        <v/>
      </c>
      <c r="B5567" s="42">
        <f>IF('MILHO - CEPEA'!C231&gt;0,'MILHO - CEPEA'!C231,"")</f>
        <v/>
      </c>
    </row>
    <row r="5568">
      <c r="A5568" s="4">
        <f>IF('MILHO - CEPEA'!A232&gt;0,'MILHO - CEPEA'!A232,"")</f>
        <v/>
      </c>
      <c r="B5568" s="42">
        <f>IF('MILHO - CEPEA'!C232&gt;0,'MILHO - CEPEA'!C232,"")</f>
        <v/>
      </c>
    </row>
    <row r="5569">
      <c r="A5569" s="4">
        <f>IF('MILHO - CEPEA'!A233&gt;0,'MILHO - CEPEA'!A233,"")</f>
        <v/>
      </c>
      <c r="B5569" s="42">
        <f>IF('MILHO - CEPEA'!C233&gt;0,'MILHO - CEPEA'!C233,"")</f>
        <v/>
      </c>
    </row>
    <row r="5570">
      <c r="A5570" s="4">
        <f>IF('MILHO - CEPEA'!A234&gt;0,'MILHO - CEPEA'!A234,"")</f>
        <v/>
      </c>
      <c r="B5570" s="42">
        <f>IF('MILHO - CEPEA'!C234&gt;0,'MILHO - CEPEA'!C234,"")</f>
        <v/>
      </c>
    </row>
    <row r="5571">
      <c r="A5571" s="4">
        <f>IF('MILHO - CEPEA'!A235&gt;0,'MILHO - CEPEA'!A235,"")</f>
        <v/>
      </c>
      <c r="B5571" s="42">
        <f>IF('MILHO - CEPEA'!C235&gt;0,'MILHO - CEPEA'!C235,"")</f>
        <v/>
      </c>
    </row>
  </sheetData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38"/>
  <sheetViews>
    <sheetView topLeftCell="A320" zoomScale="60" zoomScaleNormal="60" workbookViewId="0">
      <selection activeCell="B300" sqref="B300:B322"/>
    </sheetView>
  </sheetViews>
  <sheetFormatPr baseColWidth="8" defaultRowHeight="15"/>
  <cols>
    <col width="12.5703125" bestFit="1" customWidth="1" style="11" min="1" max="1"/>
    <col width="9.140625" customWidth="1" style="1" min="2" max="29"/>
    <col width="9.140625" customWidth="1" style="1" min="30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6" t="n">
        <v>46087</v>
      </c>
      <c r="B295" t="inlineStr">
        <is>
          <t>BEZERRO</t>
        </is>
      </c>
      <c r="C295" s="23" t="n">
        <v>3267.63</v>
      </c>
    </row>
    <row r="296">
      <c r="A296" s="26" t="n">
        <v>46090</v>
      </c>
      <c r="B296" t="inlineStr">
        <is>
          <t>BEZERRO</t>
        </is>
      </c>
      <c r="C296" s="23" t="n">
        <v>3263.92</v>
      </c>
    </row>
    <row r="297">
      <c r="A297" s="26" t="n">
        <v>46091</v>
      </c>
      <c r="B297" t="inlineStr">
        <is>
          <t>BEZERRO</t>
        </is>
      </c>
      <c r="C297" s="23" t="n">
        <v>3252.9</v>
      </c>
    </row>
    <row r="298">
      <c r="A298" s="26" t="n">
        <v>46092</v>
      </c>
      <c r="B298" t="inlineStr">
        <is>
          <t>BEZERRO</t>
        </is>
      </c>
      <c r="C298" s="23" t="n">
        <v>3251.73</v>
      </c>
    </row>
    <row r="299">
      <c r="A299" s="26" t="n">
        <v>46093</v>
      </c>
      <c r="B299" t="inlineStr">
        <is>
          <t>BEZERRO</t>
        </is>
      </c>
      <c r="C299" s="23" t="n">
        <v>3253.4</v>
      </c>
    </row>
    <row r="300">
      <c r="A300" s="30" t="inlineStr">
        <is>
          <t>13/03/2026</t>
        </is>
      </c>
      <c r="B300" t="inlineStr">
        <is>
          <t>BEZERRO</t>
        </is>
      </c>
      <c r="C300" s="23" t="n">
        <v>3257.48</v>
      </c>
    </row>
    <row r="301">
      <c r="A301" s="30" t="inlineStr">
        <is>
          <t>16/03/2026</t>
        </is>
      </c>
      <c r="B301" t="inlineStr">
        <is>
          <t>BEZERRO</t>
        </is>
      </c>
      <c r="C301" s="23" t="n">
        <v>3256.1</v>
      </c>
    </row>
    <row r="302">
      <c r="A302" s="30" t="inlineStr">
        <is>
          <t>17/03/2026</t>
        </is>
      </c>
      <c r="B302" t="inlineStr">
        <is>
          <t>BEZERRO</t>
        </is>
      </c>
      <c r="C302" s="23" t="n">
        <v>3253.44</v>
      </c>
    </row>
    <row r="303">
      <c r="A303" s="30" t="inlineStr">
        <is>
          <t>18/03/2026</t>
        </is>
      </c>
      <c r="B303" t="inlineStr">
        <is>
          <t>BEZERRO</t>
        </is>
      </c>
      <c r="C303" s="23" t="n">
        <v>3258.37</v>
      </c>
    </row>
    <row r="304">
      <c r="A304" s="30" t="inlineStr">
        <is>
          <t>19/03/2026</t>
        </is>
      </c>
      <c r="B304" t="inlineStr">
        <is>
          <t>BEZERRO</t>
        </is>
      </c>
      <c r="C304" s="23" t="n">
        <v>3264.36</v>
      </c>
    </row>
    <row r="305">
      <c r="A305" s="30" t="inlineStr">
        <is>
          <t>20/03/2026</t>
        </is>
      </c>
      <c r="B305" t="inlineStr">
        <is>
          <t>BEZERRO</t>
        </is>
      </c>
      <c r="C305" s="23" t="n">
        <v>3266.08</v>
      </c>
    </row>
    <row r="306">
      <c r="A306" s="30" t="inlineStr">
        <is>
          <t>23/03/2026</t>
        </is>
      </c>
      <c r="B306" t="inlineStr">
        <is>
          <t>BEZERRO</t>
        </is>
      </c>
      <c r="C306" s="23" t="n">
        <v>3273.13</v>
      </c>
    </row>
    <row r="307">
      <c r="A307" s="30" t="inlineStr">
        <is>
          <t>24/03/2026</t>
        </is>
      </c>
      <c r="B307" t="inlineStr">
        <is>
          <t>BEZERRO</t>
        </is>
      </c>
      <c r="C307" s="23" t="n">
        <v>3277.02</v>
      </c>
    </row>
    <row r="308">
      <c r="A308" s="30" t="inlineStr">
        <is>
          <t>25/03/2026</t>
        </is>
      </c>
      <c r="B308" t="inlineStr">
        <is>
          <t>BEZERRO</t>
        </is>
      </c>
      <c r="C308" s="23" t="n">
        <v>3278.85</v>
      </c>
    </row>
    <row r="309">
      <c r="A309" s="30" t="inlineStr">
        <is>
          <t>26/03/2026</t>
        </is>
      </c>
      <c r="B309" t="inlineStr">
        <is>
          <t>BEZERRO</t>
        </is>
      </c>
      <c r="C309" s="23" t="n">
        <v>3274.3</v>
      </c>
    </row>
    <row r="310">
      <c r="A310" s="30" t="inlineStr">
        <is>
          <t>27/03/2026</t>
        </is>
      </c>
      <c r="B310" t="inlineStr">
        <is>
          <t>BEZERRO</t>
        </is>
      </c>
      <c r="C310" s="23" t="n">
        <v>3285.53</v>
      </c>
    </row>
    <row r="311">
      <c r="A311" s="30" t="inlineStr">
        <is>
          <t>30/03/2026</t>
        </is>
      </c>
      <c r="B311" t="inlineStr">
        <is>
          <t>BEZERRO</t>
        </is>
      </c>
      <c r="C311" s="23" t="n">
        <v>3295.07</v>
      </c>
    </row>
    <row r="312">
      <c r="A312" s="30" t="inlineStr">
        <is>
          <t>31/03/2026</t>
        </is>
      </c>
      <c r="B312" t="inlineStr">
        <is>
          <t>BEZERRO</t>
        </is>
      </c>
      <c r="C312" s="23" t="n">
        <v>3293.86</v>
      </c>
    </row>
    <row r="313">
      <c r="A313" s="30" t="inlineStr">
        <is>
          <t>01/04/2026</t>
        </is>
      </c>
      <c r="B313" t="inlineStr">
        <is>
          <t>BEZERRO</t>
        </is>
      </c>
      <c r="C313" s="23" t="n">
        <v>3298.07</v>
      </c>
    </row>
    <row r="314">
      <c r="A314" s="30" t="inlineStr">
        <is>
          <t>02/04/2026</t>
        </is>
      </c>
      <c r="B314" t="inlineStr">
        <is>
          <t>BEZERRO</t>
        </is>
      </c>
      <c r="C314" s="23" t="n">
        <v>3297.48</v>
      </c>
    </row>
    <row r="315">
      <c r="A315" s="30" t="inlineStr">
        <is>
          <t>06/04/2026</t>
        </is>
      </c>
      <c r="B315" t="inlineStr">
        <is>
          <t>BEZERRO</t>
        </is>
      </c>
      <c r="C315" s="23" t="n">
        <v>3300.76</v>
      </c>
    </row>
    <row r="316">
      <c r="A316" s="30" t="inlineStr">
        <is>
          <t>07/04/2026</t>
        </is>
      </c>
      <c r="B316" t="inlineStr">
        <is>
          <t>BEZERRO</t>
        </is>
      </c>
      <c r="C316" s="23" t="n">
        <v>3305.87</v>
      </c>
    </row>
    <row r="317">
      <c r="A317" s="30" t="inlineStr">
        <is>
          <t>08/04/2026</t>
        </is>
      </c>
      <c r="B317" t="inlineStr">
        <is>
          <t>BEZERRO</t>
        </is>
      </c>
      <c r="C317" s="23" t="n">
        <v>3305.75</v>
      </c>
    </row>
    <row r="318">
      <c r="A318" s="30" t="inlineStr">
        <is>
          <t>09/04/2026</t>
        </is>
      </c>
      <c r="B318" t="inlineStr">
        <is>
          <t>BEZERRO</t>
        </is>
      </c>
      <c r="C318" s="23" t="n">
        <v>3310.49</v>
      </c>
    </row>
    <row r="319">
      <c r="A319" s="30" t="inlineStr">
        <is>
          <t>10/04/2026</t>
        </is>
      </c>
      <c r="B319" t="inlineStr">
        <is>
          <t>BEZERRO</t>
        </is>
      </c>
      <c r="C319" s="23" t="n">
        <v>3328.66</v>
      </c>
    </row>
    <row r="320">
      <c r="A320" s="30" t="inlineStr">
        <is>
          <t>13/04/2026</t>
        </is>
      </c>
      <c r="B320" t="inlineStr">
        <is>
          <t>BEZERRO</t>
        </is>
      </c>
      <c r="C320" s="23" t="n">
        <v>3346.72</v>
      </c>
    </row>
    <row r="321">
      <c r="A321" s="30" t="inlineStr">
        <is>
          <t>14/04/2026</t>
        </is>
      </c>
      <c r="B321" t="inlineStr">
        <is>
          <t>BEZERRO</t>
        </is>
      </c>
      <c r="C321" s="23" t="n">
        <v>3356.62</v>
      </c>
    </row>
    <row r="322">
      <c r="A322" s="30" t="inlineStr">
        <is>
          <t>15/04/2026</t>
        </is>
      </c>
      <c r="B322" t="inlineStr">
        <is>
          <t>BEZERRO</t>
        </is>
      </c>
      <c r="C322" s="23" t="n">
        <v>3366.17</v>
      </c>
    </row>
    <row r="323">
      <c r="A323" s="26" t="n">
        <v>46128</v>
      </c>
      <c r="B323" t="inlineStr">
        <is>
          <t>BEZERRO</t>
        </is>
      </c>
      <c r="C323" s="23" t="n">
        <v>3372.59</v>
      </c>
    </row>
    <row r="324">
      <c r="A324" s="26" t="n">
        <v>46132</v>
      </c>
      <c r="B324" t="inlineStr">
        <is>
          <t>BEZERRO</t>
        </is>
      </c>
      <c r="C324" s="23" t="n">
        <v>3380.72</v>
      </c>
    </row>
    <row r="325">
      <c r="A325" s="26" t="n">
        <v>46134</v>
      </c>
      <c r="B325" t="inlineStr">
        <is>
          <t>BEZERRO</t>
        </is>
      </c>
      <c r="C325" s="23" t="n">
        <v>3381.64</v>
      </c>
    </row>
    <row r="326">
      <c r="A326" s="26" t="n">
        <v>46135</v>
      </c>
      <c r="B326" t="inlineStr">
        <is>
          <t>BEZERRO</t>
        </is>
      </c>
      <c r="C326" s="23" t="n">
        <v>3384.07</v>
      </c>
    </row>
    <row r="327">
      <c r="A327" s="26" t="n">
        <v>46136</v>
      </c>
      <c r="B327" t="inlineStr">
        <is>
          <t>BEZERRO</t>
        </is>
      </c>
      <c r="C327" s="23" t="n">
        <v>3389.87</v>
      </c>
    </row>
    <row r="328">
      <c r="A328" s="26" t="n">
        <v>46139</v>
      </c>
      <c r="B328" t="inlineStr">
        <is>
          <t>BEZERRO</t>
        </is>
      </c>
      <c r="C328" s="23" t="n">
        <v>3401.32</v>
      </c>
    </row>
    <row r="329">
      <c r="A329" s="26" t="n">
        <v>46140</v>
      </c>
      <c r="B329" t="inlineStr">
        <is>
          <t>BEZERRO</t>
        </is>
      </c>
      <c r="C329" s="23" t="n">
        <v>3403.82</v>
      </c>
    </row>
    <row r="330">
      <c r="A330" s="26" t="n">
        <v>46141</v>
      </c>
      <c r="B330" t="inlineStr">
        <is>
          <t>BEZERRO</t>
        </is>
      </c>
      <c r="C330" s="23" t="n">
        <v>3405.14</v>
      </c>
    </row>
    <row r="331">
      <c r="A331" s="26" t="n">
        <v>46142</v>
      </c>
      <c r="B331" t="inlineStr">
        <is>
          <t>BEZERRO</t>
        </is>
      </c>
      <c r="C331" s="23" t="n">
        <v>3408.7</v>
      </c>
    </row>
    <row r="332">
      <c r="A332" s="26" t="n">
        <v>46146</v>
      </c>
      <c r="B332" t="inlineStr">
        <is>
          <t>BEZERRO</t>
        </is>
      </c>
      <c r="C332" s="23" t="n">
        <v>3416.74</v>
      </c>
    </row>
    <row r="333">
      <c r="A333" s="26" t="n">
        <v>46147</v>
      </c>
      <c r="B333" t="inlineStr">
        <is>
          <t>BEZERRO</t>
        </is>
      </c>
      <c r="C333" s="23" t="n">
        <v>3419.59</v>
      </c>
    </row>
    <row r="334">
      <c r="A334" s="26" t="n">
        <v>46148</v>
      </c>
      <c r="B334" t="inlineStr">
        <is>
          <t>BEZERRO</t>
        </is>
      </c>
      <c r="C334" s="23" t="n">
        <v>3420.24</v>
      </c>
    </row>
    <row r="335">
      <c r="A335" s="26" t="n">
        <v>46149</v>
      </c>
      <c r="B335" t="inlineStr">
        <is>
          <t>BEZERRO</t>
        </is>
      </c>
      <c r="C335" s="23" t="n">
        <v>3417.44</v>
      </c>
    </row>
    <row r="336">
      <c r="A336" s="26" t="n">
        <v>46150</v>
      </c>
      <c r="B336" t="inlineStr">
        <is>
          <t>BEZERRO</t>
        </is>
      </c>
      <c r="C336" s="23" t="n">
        <v>3424.97</v>
      </c>
    </row>
    <row r="337">
      <c r="A337" s="26" t="n">
        <v>46153</v>
      </c>
      <c r="B337" t="inlineStr">
        <is>
          <t>BEZERRO</t>
        </is>
      </c>
      <c r="C337" s="23" t="n">
        <v>3422.29</v>
      </c>
    </row>
    <row r="338">
      <c r="A338" s="26" t="n">
        <v>46154</v>
      </c>
      <c r="B338" t="inlineStr">
        <is>
          <t>BEZERRO</t>
        </is>
      </c>
      <c r="C338" s="23" t="n">
        <v>3431.33</v>
      </c>
    </row>
    <row r="339">
      <c r="A339" s="26" t="n">
        <v>46155</v>
      </c>
      <c r="B339" t="inlineStr">
        <is>
          <t>BEZERRO</t>
        </is>
      </c>
      <c r="C339" s="23" t="n">
        <v>3427.14</v>
      </c>
    </row>
    <row r="340">
      <c r="A340" s="26" t="n">
        <v>46156</v>
      </c>
      <c r="B340" t="inlineStr">
        <is>
          <t>BEZERRO</t>
        </is>
      </c>
      <c r="C340" s="23" t="n">
        <v>3430.49</v>
      </c>
    </row>
    <row r="341">
      <c r="A341" s="26" t="n">
        <v>46157</v>
      </c>
      <c r="B341" t="inlineStr">
        <is>
          <t>BEZERRO</t>
        </is>
      </c>
      <c r="C341" s="23" t="n">
        <v>3433.13</v>
      </c>
    </row>
    <row r="342">
      <c r="A342" s="26" t="n">
        <v>46160</v>
      </c>
      <c r="B342" t="inlineStr">
        <is>
          <t>BEZERRO</t>
        </is>
      </c>
      <c r="C342" s="23" t="n">
        <v>3433.52</v>
      </c>
    </row>
    <row r="343">
      <c r="A343" s="26" t="n">
        <v>46161</v>
      </c>
      <c r="B343" t="inlineStr">
        <is>
          <t>BEZERRO</t>
        </is>
      </c>
      <c r="C343" s="23" t="n">
        <v>3416.03</v>
      </c>
    </row>
    <row r="344">
      <c r="A344" s="26" t="n">
        <v>46162</v>
      </c>
      <c r="B344" t="inlineStr">
        <is>
          <t>BEZERRO</t>
        </is>
      </c>
      <c r="C344" s="23" t="n">
        <v>3410.92</v>
      </c>
    </row>
    <row r="345">
      <c r="A345" s="26" t="n">
        <v>46163</v>
      </c>
      <c r="B345" t="inlineStr">
        <is>
          <t>BEZERRO</t>
        </is>
      </c>
      <c r="C345" s="23" t="n">
        <v>3424.72</v>
      </c>
    </row>
    <row r="346">
      <c r="A346" s="26" t="n">
        <v>46164</v>
      </c>
      <c r="B346" t="inlineStr">
        <is>
          <t>BEZERRO</t>
        </is>
      </c>
      <c r="C346" s="23" t="n">
        <v>3428.49</v>
      </c>
    </row>
    <row r="347">
      <c r="A347" s="26" t="n">
        <v>46167</v>
      </c>
      <c r="B347" t="inlineStr">
        <is>
          <t>BEZERRO</t>
        </is>
      </c>
      <c r="C347" s="23" t="n">
        <v>3425.59</v>
      </c>
    </row>
    <row r="348">
      <c r="A348" s="26" t="n">
        <v>46168</v>
      </c>
      <c r="B348" t="inlineStr">
        <is>
          <t>BEZERRO</t>
        </is>
      </c>
      <c r="C348" s="23" t="n">
        <v>3425.26</v>
      </c>
    </row>
    <row r="349">
      <c r="A349" s="26" t="n">
        <v>46169</v>
      </c>
      <c r="B349" t="inlineStr">
        <is>
          <t>BEZERRO</t>
        </is>
      </c>
      <c r="C349" s="23" t="n">
        <v>3421.01</v>
      </c>
    </row>
    <row r="350">
      <c r="A350" s="26" t="n">
        <v>46170</v>
      </c>
      <c r="B350" t="inlineStr">
        <is>
          <t>BEZERRO</t>
        </is>
      </c>
      <c r="C350" s="23" t="n">
        <v>3411.95</v>
      </c>
    </row>
    <row r="351">
      <c r="A351" s="26" t="n">
        <v>46171</v>
      </c>
      <c r="B351" t="inlineStr">
        <is>
          <t>BEZERRO</t>
        </is>
      </c>
      <c r="C351" s="23" t="n">
        <v>3419.24</v>
      </c>
    </row>
    <row r="352">
      <c r="A352" s="26" t="n">
        <v>46174</v>
      </c>
      <c r="B352" t="inlineStr">
        <is>
          <t>BEZERRO</t>
        </is>
      </c>
      <c r="C352" s="23" t="n">
        <v>3414.84</v>
      </c>
    </row>
    <row r="353">
      <c r="A353" s="26" t="n">
        <v>46175</v>
      </c>
      <c r="B353" t="inlineStr">
        <is>
          <t>BEZERRO</t>
        </is>
      </c>
      <c r="C353" s="23" t="n">
        <v>3416.37</v>
      </c>
    </row>
    <row r="354">
      <c r="A354" s="26" t="n">
        <v>46176</v>
      </c>
      <c r="B354" t="inlineStr">
        <is>
          <t>BEZERRO</t>
        </is>
      </c>
      <c r="C354" s="23" t="n">
        <v>3412.68</v>
      </c>
    </row>
    <row r="355">
      <c r="A355" s="26" t="n">
        <v>46178</v>
      </c>
      <c r="B355" t="inlineStr">
        <is>
          <t>BEZERRO</t>
        </is>
      </c>
      <c r="C355" s="23" t="n">
        <v>3402</v>
      </c>
    </row>
    <row r="356">
      <c r="A356" s="26" t="n">
        <v>46181</v>
      </c>
      <c r="B356" t="inlineStr">
        <is>
          <t>BEZERRO</t>
        </is>
      </c>
      <c r="C356" s="23" t="n">
        <v>3403.95</v>
      </c>
    </row>
    <row r="357">
      <c r="A357" s="26" t="n">
        <v>46182</v>
      </c>
      <c r="B357" t="inlineStr">
        <is>
          <t>BEZERRO</t>
        </is>
      </c>
      <c r="C357" s="23" t="n">
        <v>3407.66</v>
      </c>
    </row>
    <row r="358">
      <c r="A358" s="26" t="n">
        <v>46183</v>
      </c>
      <c r="B358" t="inlineStr">
        <is>
          <t>BEZERRO</t>
        </is>
      </c>
      <c r="C358" s="23" t="n">
        <v>3400.94</v>
      </c>
    </row>
    <row r="359">
      <c r="A359" s="26" t="n">
        <v>46184</v>
      </c>
      <c r="B359" t="inlineStr">
        <is>
          <t>BEZERRO</t>
        </is>
      </c>
      <c r="C359" s="23" t="n">
        <v>3398.83</v>
      </c>
    </row>
    <row r="360">
      <c r="A360" s="26" t="n">
        <v>46185</v>
      </c>
      <c r="B360" t="inlineStr">
        <is>
          <t>BEZERRO</t>
        </is>
      </c>
      <c r="C360" s="23" t="n">
        <v>3396.76</v>
      </c>
    </row>
    <row r="361">
      <c r="A361" s="26" t="n">
        <v>46188</v>
      </c>
      <c r="B361" s="1" t="inlineStr">
        <is>
          <t>BEZERRO</t>
        </is>
      </c>
      <c r="C361" s="1" t="n">
        <v>3398.84</v>
      </c>
    </row>
    <row r="362">
      <c r="A362" s="26" t="n">
        <v>46189</v>
      </c>
      <c r="B362" s="1" t="inlineStr">
        <is>
          <t>BEZERRO</t>
        </is>
      </c>
      <c r="C362" s="1" t="n">
        <v>3395.7</v>
      </c>
    </row>
    <row r="363">
      <c r="A363" s="26" t="n">
        <v>46190</v>
      </c>
      <c r="B363" s="1" t="inlineStr">
        <is>
          <t>BEZERRO</t>
        </is>
      </c>
      <c r="C363" s="1" t="n">
        <v>3396.27</v>
      </c>
    </row>
    <row r="364">
      <c r="A364" s="26" t="n">
        <v>46191</v>
      </c>
      <c r="B364" s="1" t="inlineStr">
        <is>
          <t>BEZERRO</t>
        </is>
      </c>
      <c r="C364" s="1" t="n">
        <v>3402.42</v>
      </c>
    </row>
    <row r="365">
      <c r="A365" s="26" t="n">
        <v>46192</v>
      </c>
      <c r="B365" s="1" t="inlineStr">
        <is>
          <t>BEZERRO</t>
        </is>
      </c>
      <c r="C365" s="1" t="n">
        <v>3398.83</v>
      </c>
    </row>
    <row r="366">
      <c r="A366" s="26" t="n">
        <v>46195</v>
      </c>
      <c r="B366" s="23" t="inlineStr">
        <is>
          <t>BEZERRO</t>
        </is>
      </c>
      <c r="C366" s="23" t="n">
        <v>3394.11</v>
      </c>
    </row>
    <row r="367">
      <c r="A367" s="26" t="n">
        <v>46196</v>
      </c>
      <c r="B367" s="23" t="inlineStr">
        <is>
          <t>BEZERRO</t>
        </is>
      </c>
      <c r="C367" s="23" t="n">
        <v>3389.87</v>
      </c>
    </row>
    <row r="368">
      <c r="A368" s="26" t="n">
        <v>46197</v>
      </c>
      <c r="B368" s="23" t="inlineStr">
        <is>
          <t>BEZERRO</t>
        </is>
      </c>
      <c r="C368" s="23" t="n">
        <v>3394.39</v>
      </c>
    </row>
    <row r="369">
      <c r="A369" s="26" t="n">
        <v>46198</v>
      </c>
      <c r="B369" s="23" t="inlineStr">
        <is>
          <t>BEZERRO</t>
        </is>
      </c>
      <c r="C369" s="23" t="n">
        <v>3388.18</v>
      </c>
    </row>
    <row r="370">
      <c r="A370" s="26" t="n">
        <v>46199</v>
      </c>
      <c r="B370" s="23" t="inlineStr">
        <is>
          <t>BEZERRO</t>
        </is>
      </c>
      <c r="C370" s="23" t="n">
        <v>3390.78</v>
      </c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239"/>
  <sheetViews>
    <sheetView topLeftCell="A109" zoomScale="80" zoomScaleNormal="80" workbookViewId="0">
      <selection activeCell="E126" sqref="E126"/>
    </sheetView>
  </sheetViews>
  <sheetFormatPr baseColWidth="8" defaultRowHeight="15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54"/>
    <col width="9.140625" customWidth="1" style="1" min="55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9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9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9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9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9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9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9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9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9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9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9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9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9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9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9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9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9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9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9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9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9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9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9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9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9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9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9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9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9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9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9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9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9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9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9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9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9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9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9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9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9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9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9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6" t="n">
        <v>46087</v>
      </c>
      <c r="C45" s="29" t="n">
        <v>131.18</v>
      </c>
      <c r="D45" s="25" t="n"/>
      <c r="E45" s="25" t="n"/>
      <c r="F45" s="25" t="n"/>
      <c r="G45" s="25" t="n"/>
      <c r="H45" s="25" t="n"/>
      <c r="I45" s="23" t="n"/>
      <c r="J45" s="23" t="n"/>
      <c r="K45" s="25" t="n"/>
      <c r="L45" s="23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</row>
    <row r="46">
      <c r="A46" s="26" t="n">
        <v>46090</v>
      </c>
      <c r="C46" s="29" t="n">
        <v>130.02</v>
      </c>
      <c r="D46" s="25" t="n"/>
      <c r="E46" s="25" t="n"/>
      <c r="F46" s="25" t="n"/>
      <c r="G46" s="25" t="n"/>
      <c r="H46" s="25" t="n"/>
      <c r="I46" s="23" t="n"/>
      <c r="J46" s="23" t="n"/>
      <c r="K46" s="25" t="n"/>
      <c r="L46" s="23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</row>
    <row r="47">
      <c r="A47" s="26" t="n">
        <v>46091</v>
      </c>
      <c r="C47" s="29" t="n">
        <v>128.8</v>
      </c>
      <c r="D47" s="25" t="n"/>
      <c r="E47" s="25" t="n"/>
      <c r="F47" s="25" t="n"/>
      <c r="G47" s="25" t="n"/>
      <c r="H47" s="25" t="n"/>
      <c r="I47" s="23" t="n"/>
      <c r="J47" s="23" t="n"/>
      <c r="K47" s="25" t="n"/>
      <c r="L47" s="23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</row>
    <row r="48">
      <c r="A48" s="26" t="n">
        <v>46092</v>
      </c>
      <c r="C48" s="29" t="n">
        <v>129.29</v>
      </c>
      <c r="D48" s="25" t="n"/>
      <c r="E48" s="25" t="n"/>
      <c r="F48" s="25" t="n"/>
      <c r="G48" s="25" t="n"/>
      <c r="H48" s="25" t="n"/>
      <c r="I48" s="23" t="n"/>
      <c r="J48" s="23" t="n"/>
      <c r="K48" s="25" t="n"/>
      <c r="L48" s="23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</row>
    <row r="49">
      <c r="A49" s="26" t="n">
        <v>46093</v>
      </c>
      <c r="C49" s="29" t="n">
        <v>130.87</v>
      </c>
      <c r="D49" s="25" t="n"/>
      <c r="E49" s="25" t="n"/>
      <c r="F49" s="25" t="n"/>
      <c r="G49" s="25" t="n"/>
      <c r="H49" s="25" t="n"/>
      <c r="I49" s="23" t="n"/>
      <c r="J49" s="23" t="n"/>
      <c r="K49" s="25" t="n"/>
      <c r="L49" s="23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</row>
    <row r="50">
      <c r="A50" s="26" t="n">
        <v>46094</v>
      </c>
      <c r="C50" s="29" t="n">
        <v>130.2</v>
      </c>
      <c r="D50" s="25" t="n"/>
      <c r="E50" s="25" t="n"/>
      <c r="F50" s="25" t="n"/>
      <c r="G50" s="25" t="n"/>
      <c r="H50" s="25" t="n"/>
      <c r="I50" s="23" t="n"/>
      <c r="J50" s="23" t="n"/>
      <c r="K50" s="25" t="n"/>
      <c r="L50" s="23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</row>
    <row r="51">
      <c r="A51" s="26" t="inlineStr">
        <is>
          <t>16/03/2026</t>
        </is>
      </c>
      <c r="C51" s="29" t="n">
        <v>129.36</v>
      </c>
      <c r="D51" s="25" t="n"/>
      <c r="E51" s="25" t="n"/>
      <c r="F51" s="25" t="n"/>
      <c r="G51" s="25" t="n"/>
      <c r="H51" s="25" t="n"/>
      <c r="I51" s="23" t="n"/>
      <c r="J51" s="23" t="n"/>
      <c r="K51" s="25" t="n"/>
      <c r="L51" s="23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</row>
    <row r="52">
      <c r="A52" s="26" t="inlineStr">
        <is>
          <t>17/03/2026</t>
        </is>
      </c>
      <c r="C52" s="29" t="n">
        <v>127.12</v>
      </c>
      <c r="D52" s="25" t="n"/>
      <c r="E52" s="25" t="n"/>
      <c r="F52" s="25" t="n"/>
      <c r="G52" s="25" t="n"/>
      <c r="H52" s="25" t="n"/>
      <c r="I52" s="23" t="n"/>
      <c r="J52" s="23" t="n"/>
      <c r="K52" s="25" t="n"/>
      <c r="L52" s="23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</row>
    <row r="53">
      <c r="A53" s="26" t="inlineStr">
        <is>
          <t>18/03/2026</t>
        </is>
      </c>
      <c r="C53" s="29" t="n">
        <v>127.27</v>
      </c>
      <c r="D53" s="25" t="n"/>
      <c r="E53" s="25" t="n"/>
      <c r="F53" s="25" t="n"/>
      <c r="G53" s="25" t="n"/>
      <c r="H53" s="25" t="n"/>
      <c r="I53" s="23" t="n"/>
      <c r="J53" s="23" t="n"/>
      <c r="K53" s="25" t="n"/>
      <c r="L53" s="23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</row>
    <row r="54">
      <c r="A54" s="26" t="inlineStr">
        <is>
          <t>19/03/2026</t>
        </is>
      </c>
      <c r="C54" s="29" t="n">
        <v>129.38</v>
      </c>
      <c r="D54" s="25" t="n"/>
      <c r="E54" s="25" t="n"/>
      <c r="F54" s="25" t="n"/>
      <c r="G54" s="25" t="n"/>
      <c r="H54" s="25" t="n"/>
      <c r="I54" s="23" t="n"/>
      <c r="J54" s="23" t="n"/>
      <c r="K54" s="25" t="n"/>
      <c r="L54" s="23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</row>
    <row r="55">
      <c r="A55" s="26" t="inlineStr">
        <is>
          <t>20/03/2026</t>
        </is>
      </c>
      <c r="C55" s="29" t="n">
        <v>130.61</v>
      </c>
      <c r="D55" s="25" t="n"/>
      <c r="E55" s="25" t="n"/>
      <c r="F55" s="25" t="n"/>
      <c r="G55" s="25" t="n"/>
      <c r="H55" s="25" t="n"/>
      <c r="I55" s="23" t="n"/>
      <c r="J55" s="23" t="n"/>
      <c r="K55" s="25" t="n"/>
      <c r="L55" s="23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</row>
    <row r="56">
      <c r="A56" s="26" t="inlineStr">
        <is>
          <t>23/03/2026</t>
        </is>
      </c>
      <c r="C56" s="29" t="n">
        <v>129.87</v>
      </c>
      <c r="D56" s="25" t="n"/>
      <c r="E56" s="25" t="n"/>
      <c r="F56" s="25" t="n"/>
      <c r="G56" s="25" t="n"/>
      <c r="H56" s="25" t="n"/>
      <c r="I56" s="23" t="n"/>
      <c r="J56" s="23" t="n"/>
      <c r="K56" s="25" t="n"/>
      <c r="L56" s="23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</row>
    <row r="57">
      <c r="A57" s="26" t="inlineStr">
        <is>
          <t>24/03/2026</t>
        </is>
      </c>
      <c r="C57" s="29" t="n">
        <v>130.15</v>
      </c>
      <c r="D57" s="25" t="n"/>
      <c r="E57" s="25" t="n"/>
      <c r="F57" s="25" t="n"/>
      <c r="G57" s="25" t="n"/>
      <c r="H57" s="25" t="n"/>
      <c r="I57" s="23" t="n"/>
      <c r="J57" s="23" t="n"/>
      <c r="K57" s="25" t="n"/>
      <c r="L57" s="23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</row>
    <row r="58">
      <c r="A58" s="26" t="inlineStr">
        <is>
          <t>25/03/2026</t>
        </is>
      </c>
      <c r="C58" s="29" t="n">
        <v>129.25</v>
      </c>
      <c r="D58" s="25" t="n"/>
      <c r="E58" s="25" t="n"/>
      <c r="F58" s="25" t="n"/>
      <c r="G58" s="25" t="n"/>
      <c r="H58" s="25" t="n"/>
      <c r="I58" s="23" t="n"/>
      <c r="J58" s="23" t="n"/>
      <c r="K58" s="25" t="n"/>
      <c r="L58" s="23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</row>
    <row r="59">
      <c r="A59" s="26" t="inlineStr">
        <is>
          <t>26/03/2026</t>
        </is>
      </c>
      <c r="C59" s="29" t="n">
        <v>130.37</v>
      </c>
      <c r="D59" s="25" t="n"/>
      <c r="E59" s="25" t="n"/>
      <c r="F59" s="25" t="n"/>
      <c r="G59" s="25" t="n"/>
      <c r="H59" s="25" t="n"/>
      <c r="I59" s="23" t="n"/>
      <c r="J59" s="23" t="n"/>
      <c r="K59" s="25" t="n"/>
      <c r="L59" s="23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</row>
    <row r="60">
      <c r="A60" s="26" t="inlineStr">
        <is>
          <t>27/03/2026</t>
        </is>
      </c>
      <c r="C60" s="29" t="n">
        <v>130.01</v>
      </c>
      <c r="D60" s="25" t="n"/>
      <c r="E60" s="25" t="n"/>
      <c r="F60" s="25" t="n"/>
      <c r="G60" s="25" t="n"/>
      <c r="H60" s="25" t="n"/>
      <c r="I60" s="23" t="n"/>
      <c r="J60" s="23" t="n"/>
      <c r="K60" s="25" t="n"/>
      <c r="L60" s="23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</row>
    <row r="61">
      <c r="A61" s="26" t="inlineStr">
        <is>
          <t>30/03/2026</t>
        </is>
      </c>
      <c r="C61" s="29" t="n">
        <v>129.59</v>
      </c>
      <c r="D61" s="25" t="n"/>
      <c r="E61" s="25" t="n"/>
      <c r="F61" s="25" t="n"/>
      <c r="G61" s="25" t="n"/>
      <c r="H61" s="25" t="n"/>
      <c r="I61" s="23" t="n"/>
      <c r="J61" s="23" t="n"/>
      <c r="K61" s="25" t="n"/>
      <c r="L61" s="23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</row>
    <row r="62">
      <c r="A62" s="26" t="inlineStr">
        <is>
          <t>31/03/2026</t>
        </is>
      </c>
      <c r="C62" s="29" t="n">
        <v>129.24</v>
      </c>
      <c r="D62" s="25" t="n"/>
      <c r="E62" s="25" t="n"/>
      <c r="F62" s="25" t="n"/>
      <c r="G62" s="25" t="n"/>
      <c r="H62" s="25" t="n"/>
      <c r="I62" s="23" t="n"/>
      <c r="J62" s="23" t="n"/>
      <c r="K62" s="25" t="n"/>
      <c r="L62" s="23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</row>
    <row r="63">
      <c r="A63" s="26" t="inlineStr">
        <is>
          <t>01/04/2026</t>
        </is>
      </c>
      <c r="C63" s="29" t="n">
        <v>127.91</v>
      </c>
      <c r="D63" s="25" t="n"/>
      <c r="E63" s="25" t="n"/>
      <c r="F63" s="25" t="n"/>
      <c r="G63" s="25" t="n"/>
      <c r="H63" s="25" t="n"/>
      <c r="I63" s="23" t="n"/>
      <c r="J63" s="23" t="n"/>
      <c r="K63" s="25" t="n"/>
      <c r="L63" s="23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</row>
    <row r="64">
      <c r="A64" s="26" t="inlineStr">
        <is>
          <t>02/04/2026</t>
        </is>
      </c>
      <c r="C64" s="29" t="n">
        <v>128.5</v>
      </c>
      <c r="D64" s="25" t="n"/>
      <c r="E64" s="25" t="n"/>
      <c r="F64" s="25" t="n"/>
      <c r="G64" s="25" t="n"/>
      <c r="H64" s="25" t="n"/>
      <c r="I64" s="23" t="n"/>
      <c r="J64" s="23" t="n"/>
      <c r="K64" s="25" t="n"/>
      <c r="L64" s="23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</row>
    <row r="65">
      <c r="A65" s="26" t="inlineStr">
        <is>
          <t>06/04/2026</t>
        </is>
      </c>
      <c r="C65" s="29" t="n">
        <v>128.81</v>
      </c>
      <c r="D65" s="25" t="n"/>
      <c r="E65" s="25" t="n"/>
      <c r="F65" s="25" t="n"/>
      <c r="G65" s="25" t="n"/>
      <c r="H65" s="25" t="n"/>
      <c r="I65" s="23" t="n"/>
      <c r="J65" s="23" t="n"/>
      <c r="K65" s="25" t="n"/>
      <c r="L65" s="23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</row>
    <row r="66">
      <c r="A66" s="26" t="inlineStr">
        <is>
          <t>07/04/2026</t>
        </is>
      </c>
      <c r="C66" s="29" t="n">
        <v>128.31</v>
      </c>
      <c r="D66" s="25" t="n"/>
      <c r="E66" s="25" t="n"/>
      <c r="F66" s="25" t="n"/>
      <c r="G66" s="25" t="n"/>
      <c r="H66" s="25" t="n"/>
      <c r="I66" s="23" t="n"/>
      <c r="J66" s="23" t="n"/>
      <c r="K66" s="25" t="n"/>
      <c r="L66" s="23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</row>
    <row r="67">
      <c r="A67" s="26" t="inlineStr">
        <is>
          <t>08/04/2026</t>
        </is>
      </c>
      <c r="C67" s="29" t="n">
        <v>128.12</v>
      </c>
      <c r="D67" s="25" t="n"/>
      <c r="E67" s="25" t="n"/>
      <c r="F67" s="25" t="n"/>
      <c r="G67" s="25" t="n"/>
      <c r="H67" s="25" t="n"/>
      <c r="I67" s="23" t="n"/>
      <c r="J67" s="23" t="n"/>
      <c r="K67" s="25" t="n"/>
      <c r="L67" s="23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</row>
    <row r="68">
      <c r="A68" s="26" t="inlineStr">
        <is>
          <t>09/04/2026</t>
        </is>
      </c>
      <c r="C68" s="29" t="n">
        <v>127.84</v>
      </c>
      <c r="D68" s="25" t="n"/>
      <c r="E68" s="25" t="n"/>
      <c r="F68" s="25" t="n"/>
      <c r="G68" s="25" t="n"/>
      <c r="H68" s="25" t="n"/>
      <c r="I68" s="23" t="n"/>
      <c r="J68" s="23" t="n"/>
      <c r="K68" s="25" t="n"/>
      <c r="L68" s="23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</row>
    <row r="69">
      <c r="A69" s="26" t="n">
        <v>46122</v>
      </c>
      <c r="C69" s="29" t="n">
        <v>126.58</v>
      </c>
      <c r="D69" s="25" t="n"/>
      <c r="E69" s="25" t="n"/>
      <c r="F69" s="25" t="n"/>
      <c r="G69" s="25" t="n"/>
      <c r="H69" s="25" t="n"/>
      <c r="I69" s="23" t="n"/>
      <c r="J69" s="23" t="n"/>
      <c r="K69" s="25" t="n"/>
      <c r="L69" s="23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</row>
    <row r="70">
      <c r="A70" s="26" t="n">
        <v>46125</v>
      </c>
      <c r="C70" s="29" t="n">
        <v>126.7</v>
      </c>
      <c r="D70" s="25" t="n"/>
      <c r="E70" s="25" t="n"/>
      <c r="F70" s="25" t="n"/>
      <c r="G70" s="25" t="n"/>
      <c r="H70" s="25" t="n"/>
      <c r="I70" s="23" t="n"/>
      <c r="J70" s="23" t="n"/>
      <c r="K70" s="25" t="n"/>
      <c r="L70" s="23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</row>
    <row r="71">
      <c r="A71" s="26" t="n">
        <v>46126</v>
      </c>
      <c r="C71" s="29" t="n">
        <v>126.21</v>
      </c>
      <c r="D71" s="25" t="n"/>
      <c r="E71" s="25" t="n"/>
      <c r="F71" s="25" t="n"/>
      <c r="G71" s="25" t="n"/>
      <c r="H71" s="25" t="n"/>
      <c r="I71" s="23" t="n"/>
      <c r="J71" s="23" t="n"/>
      <c r="K71" s="25" t="n"/>
      <c r="L71" s="23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</row>
    <row r="72">
      <c r="A72" s="26" t="n">
        <v>46127</v>
      </c>
      <c r="C72" s="6" t="n">
        <v>126.85</v>
      </c>
      <c r="D72" s="25" t="n"/>
      <c r="E72" s="25" t="n"/>
      <c r="F72" s="25" t="n"/>
      <c r="G72" s="25" t="n"/>
      <c r="H72" s="25" t="n"/>
      <c r="I72" s="23" t="n"/>
      <c r="J72" s="23" t="n"/>
      <c r="K72" s="25" t="n"/>
      <c r="L72" s="23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</row>
    <row r="73">
      <c r="A73" s="26" t="n">
        <v>46128</v>
      </c>
      <c r="C73" s="6" t="n">
        <v>126.67</v>
      </c>
      <c r="D73" s="25" t="n"/>
      <c r="E73" s="25" t="n"/>
      <c r="F73" s="25" t="n"/>
      <c r="G73" s="25" t="n"/>
      <c r="H73" s="25" t="n"/>
      <c r="I73" s="23" t="n"/>
      <c r="J73" s="23" t="n"/>
      <c r="K73" s="25" t="n"/>
      <c r="L73" s="23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</row>
    <row r="74">
      <c r="A74" s="26" t="n">
        <v>46129</v>
      </c>
      <c r="C74" s="6" t="n">
        <v>126.45</v>
      </c>
      <c r="D74" s="25" t="n"/>
      <c r="E74" s="25" t="n"/>
      <c r="F74" s="25" t="n"/>
      <c r="G74" s="25" t="n"/>
      <c r="H74" s="25" t="n"/>
      <c r="I74" s="23" t="n"/>
      <c r="J74" s="23" t="n"/>
      <c r="K74" s="25" t="n"/>
      <c r="L74" s="23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</row>
    <row r="75">
      <c r="A75" s="26" t="n">
        <v>46132</v>
      </c>
      <c r="C75" s="6" t="n">
        <v>125.93</v>
      </c>
      <c r="D75" s="25" t="n"/>
      <c r="E75" s="25" t="n"/>
      <c r="F75" s="25" t="n"/>
      <c r="G75" s="25" t="n"/>
      <c r="H75" s="25" t="n"/>
      <c r="I75" s="23" t="n"/>
      <c r="J75" s="23" t="n"/>
      <c r="K75" s="25" t="n"/>
      <c r="L75" s="23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</row>
    <row r="76">
      <c r="A76" s="26" t="n">
        <v>46134</v>
      </c>
      <c r="C76" s="6" t="n">
        <v>127.43</v>
      </c>
      <c r="D76" s="25" t="n"/>
      <c r="E76" s="25" t="n"/>
      <c r="F76" s="25" t="n"/>
      <c r="G76" s="25" t="n"/>
      <c r="H76" s="25" t="n"/>
      <c r="I76" s="23" t="n"/>
      <c r="J76" s="23" t="n"/>
      <c r="K76" s="25" t="n"/>
      <c r="L76" s="23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</row>
    <row r="77">
      <c r="A77" s="26" t="n">
        <v>46135</v>
      </c>
      <c r="C77" s="6" t="n">
        <v>126.9</v>
      </c>
      <c r="D77" s="25" t="n"/>
      <c r="E77" s="25" t="n"/>
      <c r="F77" s="25" t="n"/>
      <c r="G77" s="25" t="n"/>
      <c r="H77" s="25" t="n"/>
      <c r="I77" s="23" t="n"/>
      <c r="J77" s="23" t="n"/>
      <c r="K77" s="25" t="n"/>
      <c r="L77" s="23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</row>
    <row r="78">
      <c r="A78" s="26" t="n">
        <v>46136</v>
      </c>
      <c r="C78" s="6" t="n">
        <v>127.74</v>
      </c>
      <c r="D78" s="25" t="n"/>
      <c r="E78" s="25" t="n"/>
      <c r="F78" s="25" t="n"/>
      <c r="G78" s="25" t="n"/>
      <c r="H78" s="25" t="n"/>
      <c r="I78" s="23" t="n"/>
      <c r="J78" s="23" t="n"/>
      <c r="K78" s="25" t="n"/>
      <c r="L78" s="23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</row>
    <row r="79">
      <c r="A79" s="26" t="n">
        <v>46139</v>
      </c>
      <c r="C79" s="6" t="n">
        <v>127.66</v>
      </c>
      <c r="D79" s="25" t="n"/>
      <c r="E79" s="25" t="n"/>
      <c r="F79" s="25" t="n"/>
      <c r="G79" s="25" t="n"/>
      <c r="H79" s="25" t="n"/>
      <c r="I79" s="23" t="n"/>
      <c r="J79" s="23" t="n"/>
      <c r="K79" s="25" t="n"/>
      <c r="L79" s="23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</row>
    <row r="80">
      <c r="A80" s="26" t="n">
        <v>46140</v>
      </c>
      <c r="C80" s="6" t="n">
        <v>128.47</v>
      </c>
      <c r="D80" s="25" t="n"/>
      <c r="E80" s="25" t="n"/>
      <c r="F80" s="25" t="n"/>
      <c r="G80" s="25" t="n"/>
      <c r="H80" s="25" t="n"/>
      <c r="I80" s="23" t="n"/>
      <c r="J80" s="23" t="n"/>
      <c r="K80" s="25" t="n"/>
      <c r="L80" s="23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</row>
    <row r="81">
      <c r="A81" s="26" t="n">
        <v>46141</v>
      </c>
      <c r="C81" s="6" t="n">
        <v>129.1</v>
      </c>
      <c r="D81" s="25" t="n"/>
      <c r="E81" s="25" t="n"/>
      <c r="F81" s="25" t="n"/>
      <c r="G81" s="25" t="n"/>
      <c r="H81" s="25" t="n"/>
      <c r="I81" s="23" t="n"/>
      <c r="J81" s="23" t="n"/>
      <c r="K81" s="25" t="n"/>
      <c r="L81" s="23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</row>
    <row r="82">
      <c r="A82" s="26" t="n">
        <v>46142</v>
      </c>
      <c r="C82" s="6" t="n">
        <v>128.88</v>
      </c>
      <c r="D82" s="25" t="n"/>
      <c r="E82" s="25" t="n"/>
      <c r="F82" s="25" t="n"/>
      <c r="G82" s="25" t="n"/>
      <c r="H82" s="25" t="n"/>
      <c r="I82" s="23" t="n"/>
      <c r="J82" s="23" t="n"/>
      <c r="K82" s="25" t="n"/>
      <c r="L82" s="23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</row>
    <row r="83">
      <c r="A83" s="26" t="n">
        <v>46146</v>
      </c>
      <c r="C83" s="6" t="n">
        <v>129.14</v>
      </c>
      <c r="D83" s="25" t="n"/>
      <c r="E83" s="25" t="n"/>
      <c r="F83" s="25" t="n"/>
      <c r="G83" s="25" t="n"/>
      <c r="H83" s="25" t="n"/>
      <c r="I83" s="23" t="n"/>
      <c r="J83" s="23" t="n"/>
      <c r="K83" s="25" t="n"/>
      <c r="L83" s="23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</row>
    <row r="84">
      <c r="A84" s="26" t="n">
        <v>46147</v>
      </c>
      <c r="C84" s="6" t="n">
        <v>128.91</v>
      </c>
      <c r="D84" s="25" t="n"/>
      <c r="E84" s="25" t="n"/>
      <c r="F84" s="25" t="n"/>
      <c r="G84" s="25" t="n"/>
      <c r="H84" s="25" t="n"/>
      <c r="I84" s="23" t="n"/>
      <c r="J84" s="23" t="n"/>
      <c r="K84" s="25" t="n"/>
      <c r="L84" s="23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</row>
    <row r="85">
      <c r="A85" s="26" t="n">
        <v>46148</v>
      </c>
      <c r="C85" s="6" t="n">
        <v>128.62</v>
      </c>
      <c r="D85" s="25" t="n"/>
      <c r="E85" s="25" t="n"/>
      <c r="F85" s="25" t="n"/>
      <c r="G85" s="25" t="n"/>
      <c r="H85" s="25" t="n"/>
      <c r="I85" s="23" t="n"/>
      <c r="J85" s="23" t="n"/>
      <c r="K85" s="25" t="n"/>
      <c r="L85" s="23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</row>
    <row r="86">
      <c r="A86" s="26" t="n">
        <v>46149</v>
      </c>
      <c r="C86" s="6" t="n">
        <v>127.38</v>
      </c>
      <c r="D86" s="25" t="n"/>
      <c r="E86" s="25" t="n"/>
      <c r="F86" s="25" t="n"/>
      <c r="G86" s="25" t="n"/>
      <c r="H86" s="25" t="n"/>
      <c r="I86" s="23" t="n"/>
      <c r="J86" s="23" t="n"/>
      <c r="K86" s="25" t="n"/>
      <c r="L86" s="23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</row>
    <row r="87">
      <c r="A87" s="26" t="n">
        <v>46150</v>
      </c>
      <c r="C87" s="6" t="n">
        <v>127.7</v>
      </c>
      <c r="D87" s="25" t="n"/>
      <c r="E87" s="25" t="n"/>
      <c r="F87" s="25" t="n"/>
      <c r="G87" s="25" t="n"/>
      <c r="H87" s="25" t="n"/>
      <c r="I87" s="23" t="n"/>
      <c r="J87" s="23" t="n"/>
      <c r="K87" s="25" t="n"/>
      <c r="L87" s="23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</row>
    <row r="88">
      <c r="A88" s="26" t="n">
        <v>46153</v>
      </c>
      <c r="C88" s="6" t="n">
        <v>128.85</v>
      </c>
      <c r="D88" s="25" t="n"/>
      <c r="E88" s="25" t="n"/>
      <c r="F88" s="25" t="n"/>
      <c r="G88" s="25" t="n"/>
      <c r="H88" s="25" t="n"/>
      <c r="I88" s="23" t="n"/>
      <c r="J88" s="23" t="n"/>
      <c r="K88" s="25" t="n"/>
      <c r="L88" s="23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</row>
    <row r="89">
      <c r="A89" s="26" t="n">
        <v>46154</v>
      </c>
      <c r="C89" s="6" t="n">
        <v>129.53</v>
      </c>
      <c r="D89" s="25" t="n"/>
      <c r="E89" s="25" t="n"/>
      <c r="F89" s="25" t="n"/>
      <c r="G89" s="25" t="n"/>
      <c r="H89" s="25" t="n"/>
      <c r="I89" s="23" t="n"/>
      <c r="J89" s="23" t="n"/>
      <c r="K89" s="25" t="n"/>
      <c r="L89" s="23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</row>
    <row r="90">
      <c r="A90" s="26" t="n">
        <v>46155</v>
      </c>
      <c r="C90" s="6" t="n">
        <v>130.55</v>
      </c>
      <c r="D90" s="25" t="n"/>
      <c r="E90" s="25" t="n"/>
      <c r="F90" s="25" t="n"/>
      <c r="G90" s="25" t="n"/>
      <c r="H90" s="25" t="n"/>
      <c r="I90" s="23" t="n"/>
      <c r="J90" s="23" t="n"/>
      <c r="K90" s="25" t="n"/>
      <c r="L90" s="23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</row>
    <row r="91">
      <c r="A91" s="26" t="n">
        <v>46156</v>
      </c>
      <c r="C91" s="6" t="n">
        <v>128.33</v>
      </c>
      <c r="D91" s="25" t="n"/>
      <c r="E91" s="25" t="n"/>
      <c r="F91" s="25" t="n"/>
      <c r="G91" s="25" t="n"/>
      <c r="H91" s="25" t="n"/>
      <c r="I91" s="23" t="n"/>
      <c r="J91" s="23" t="n"/>
      <c r="K91" s="25" t="n"/>
      <c r="L91" s="23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</row>
    <row r="92">
      <c r="A92" s="26" t="n">
        <v>46157</v>
      </c>
      <c r="C92" s="24" t="n">
        <v>129.14</v>
      </c>
      <c r="D92" s="25" t="n"/>
      <c r="E92" s="25" t="n"/>
      <c r="F92" s="25" t="n"/>
      <c r="G92" s="25" t="n"/>
      <c r="H92" s="25" t="n"/>
      <c r="I92" s="23" t="n"/>
      <c r="J92" s="23" t="n"/>
      <c r="K92" s="25" t="n"/>
      <c r="L92" s="23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</row>
    <row r="93">
      <c r="A93" s="26" t="n">
        <v>46160</v>
      </c>
      <c r="C93" s="24" t="n">
        <v>129.71</v>
      </c>
      <c r="D93" s="25" t="n"/>
      <c r="E93" s="25" t="n"/>
      <c r="F93" s="25" t="n"/>
      <c r="G93" s="25" t="n"/>
      <c r="H93" s="25" t="n"/>
      <c r="I93" s="23" t="n"/>
      <c r="J93" s="23" t="n"/>
      <c r="K93" s="25" t="n"/>
      <c r="L93" s="23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</row>
    <row r="94">
      <c r="A94" s="26" t="n">
        <v>46161</v>
      </c>
      <c r="C94" s="24" t="n">
        <v>130.57</v>
      </c>
      <c r="D94" s="25" t="n"/>
      <c r="E94" s="25" t="n"/>
      <c r="F94" s="25" t="n"/>
      <c r="G94" s="25" t="n"/>
      <c r="H94" s="25" t="n"/>
      <c r="I94" s="23" t="n"/>
      <c r="J94" s="23" t="n"/>
      <c r="K94" s="25" t="n"/>
      <c r="L94" s="23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</row>
    <row r="95">
      <c r="A95" s="26" t="n">
        <v>46162</v>
      </c>
      <c r="C95" s="24" t="n">
        <v>129.25</v>
      </c>
      <c r="D95" s="25" t="n"/>
      <c r="E95" s="25" t="n"/>
      <c r="F95" s="25" t="n"/>
      <c r="G95" s="25" t="n"/>
      <c r="H95" s="25" t="n"/>
      <c r="I95" s="23" t="n"/>
      <c r="J95" s="23" t="n"/>
      <c r="K95" s="25" t="n"/>
      <c r="L95" s="23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</row>
    <row r="96">
      <c r="A96" s="26" t="n">
        <v>46163</v>
      </c>
      <c r="C96" s="24" t="n">
        <v>129.64</v>
      </c>
      <c r="D96" s="25" t="n"/>
      <c r="E96" s="25" t="n"/>
      <c r="F96" s="25" t="n"/>
      <c r="G96" s="25" t="n"/>
      <c r="H96" s="25" t="n"/>
      <c r="I96" s="23" t="n"/>
      <c r="J96" s="23" t="n"/>
      <c r="K96" s="25" t="n"/>
      <c r="L96" s="23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</row>
    <row r="97">
      <c r="A97" s="26" t="n">
        <v>46164</v>
      </c>
      <c r="C97" s="24" t="n">
        <v>129.62</v>
      </c>
      <c r="D97" s="25" t="n"/>
      <c r="E97" s="25" t="n"/>
      <c r="F97" s="25" t="n"/>
      <c r="G97" s="25" t="n"/>
      <c r="H97" s="25" t="n"/>
      <c r="I97" s="23" t="n"/>
      <c r="J97" s="23" t="n"/>
      <c r="K97" s="25" t="n"/>
      <c r="L97" s="23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</row>
    <row r="98">
      <c r="A98" s="26" t="n">
        <v>46167</v>
      </c>
      <c r="C98" s="24" t="n">
        <v>129.91</v>
      </c>
      <c r="D98" s="25" t="n"/>
      <c r="E98" s="25" t="n"/>
      <c r="F98" s="25" t="n"/>
      <c r="G98" s="25" t="n"/>
      <c r="H98" s="25" t="n"/>
      <c r="I98" s="23" t="n"/>
      <c r="J98" s="23" t="n"/>
      <c r="K98" s="25" t="n"/>
      <c r="L98" s="23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</row>
    <row r="99">
      <c r="A99" s="26" t="n">
        <v>46168</v>
      </c>
      <c r="C99" s="24" t="n">
        <v>129.47</v>
      </c>
      <c r="D99" s="25" t="n"/>
      <c r="E99" s="25" t="n"/>
      <c r="F99" s="25" t="n"/>
      <c r="G99" s="25" t="n"/>
      <c r="H99" s="25" t="n"/>
      <c r="I99" s="23" t="n"/>
      <c r="J99" s="23" t="n"/>
      <c r="K99" s="25" t="n"/>
      <c r="L99" s="23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</row>
    <row r="100">
      <c r="A100" s="26" t="n">
        <v>46169</v>
      </c>
      <c r="C100" s="24" t="n">
        <v>129.89</v>
      </c>
      <c r="D100" s="25" t="n"/>
      <c r="E100" s="25" t="n"/>
      <c r="F100" s="25" t="n"/>
      <c r="G100" s="25" t="n"/>
      <c r="H100" s="25" t="n"/>
      <c r="I100" s="23" t="n"/>
      <c r="J100" s="23" t="n"/>
      <c r="K100" s="25" t="n"/>
      <c r="L100" s="23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</row>
    <row r="101">
      <c r="A101" s="26" t="n">
        <v>46170</v>
      </c>
      <c r="C101" s="24" t="n">
        <v>130.9</v>
      </c>
      <c r="D101" s="25" t="n"/>
      <c r="E101" s="25" t="n"/>
      <c r="F101" s="25" t="n"/>
      <c r="G101" s="25" t="n"/>
      <c r="H101" s="25" t="n"/>
      <c r="I101" s="23" t="n"/>
      <c r="J101" s="23" t="n"/>
      <c r="K101" s="25" t="n"/>
      <c r="L101" s="23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</row>
    <row r="102">
      <c r="A102" s="26" t="n">
        <v>46171</v>
      </c>
      <c r="C102" s="24" t="n">
        <v>130.12</v>
      </c>
      <c r="D102" s="25" t="n"/>
      <c r="E102" s="25" t="n"/>
      <c r="F102" s="25" t="n"/>
      <c r="G102" s="25" t="n"/>
      <c r="H102" s="25" t="n"/>
      <c r="I102" s="23" t="n"/>
      <c r="J102" s="23" t="n"/>
      <c r="K102" s="25" t="n"/>
      <c r="L102" s="23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</row>
    <row r="103">
      <c r="A103" s="26" t="n">
        <v>46174</v>
      </c>
      <c r="C103" s="24" t="n">
        <v>130.25</v>
      </c>
      <c r="D103" s="25" t="n"/>
      <c r="E103" s="25" t="n"/>
      <c r="F103" s="25" t="n"/>
      <c r="G103" s="25" t="n"/>
      <c r="H103" s="25" t="n"/>
      <c r="I103" s="23" t="n"/>
      <c r="J103" s="23" t="n"/>
      <c r="K103" s="25" t="n"/>
      <c r="L103" s="23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</row>
    <row r="104">
      <c r="A104" s="26" t="n">
        <v>46175</v>
      </c>
      <c r="C104" s="24" t="n">
        <v>128.74</v>
      </c>
      <c r="D104" s="25" t="n"/>
      <c r="E104" s="25" t="n"/>
      <c r="F104" s="25" t="n"/>
      <c r="G104" s="25" t="n"/>
      <c r="H104" s="25" t="n"/>
      <c r="I104" s="23" t="n"/>
      <c r="J104" s="23" t="n"/>
      <c r="K104" s="25" t="n"/>
      <c r="L104" s="23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</row>
    <row r="105">
      <c r="A105" s="26" t="n">
        <v>46176</v>
      </c>
      <c r="C105" s="24" t="n">
        <v>130.02</v>
      </c>
      <c r="D105" s="25" t="n"/>
      <c r="E105" s="25" t="n"/>
      <c r="F105" s="25" t="n"/>
      <c r="G105" s="25" t="n"/>
      <c r="H105" s="25" t="n"/>
      <c r="I105" s="23" t="n"/>
      <c r="J105" s="23" t="n"/>
      <c r="K105" s="25" t="n"/>
      <c r="L105" s="23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</row>
    <row r="106">
      <c r="A106" s="26" t="n">
        <v>46178</v>
      </c>
      <c r="C106" s="24" t="n">
        <v>129.16</v>
      </c>
      <c r="D106" s="25" t="n"/>
      <c r="E106" s="25" t="n"/>
      <c r="F106" s="25" t="n"/>
      <c r="G106" s="25" t="n"/>
      <c r="H106" s="25" t="n"/>
      <c r="I106" s="23" t="n"/>
      <c r="J106" s="23" t="n"/>
      <c r="K106" s="25" t="n"/>
      <c r="L106" s="23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</row>
    <row r="107">
      <c r="A107" s="26" t="n">
        <v>46181</v>
      </c>
      <c r="C107" s="24" t="n">
        <v>130.08</v>
      </c>
      <c r="D107" s="25" t="n"/>
      <c r="E107" s="25" t="n"/>
      <c r="F107" s="25" t="n"/>
      <c r="G107" s="25" t="n"/>
      <c r="H107" s="25" t="n"/>
      <c r="I107" s="23" t="n"/>
      <c r="J107" s="23" t="n"/>
      <c r="K107" s="25" t="n"/>
      <c r="L107" s="23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</row>
    <row r="108">
      <c r="A108" s="26" t="n">
        <v>46182</v>
      </c>
      <c r="C108" s="24" t="n">
        <v>130.85</v>
      </c>
      <c r="D108" s="25" t="n"/>
      <c r="E108" s="25" t="n"/>
      <c r="F108" s="25" t="n"/>
      <c r="G108" s="25" t="n"/>
      <c r="H108" s="25" t="n"/>
      <c r="I108" s="23" t="n"/>
      <c r="J108" s="23" t="n"/>
      <c r="K108" s="25" t="n"/>
      <c r="L108" s="23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</row>
    <row r="109">
      <c r="A109" s="26" t="n">
        <v>46183</v>
      </c>
      <c r="C109" s="24" t="n">
        <v>132.23</v>
      </c>
      <c r="D109" s="25" t="n"/>
      <c r="E109" s="25" t="n"/>
      <c r="F109" s="25" t="n"/>
      <c r="G109" s="25" t="n"/>
      <c r="H109" s="25" t="n"/>
      <c r="I109" s="23" t="n"/>
      <c r="J109" s="23" t="n"/>
      <c r="K109" s="25" t="n"/>
      <c r="L109" s="23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</row>
    <row r="110">
      <c r="A110" s="26" t="n">
        <v>46184</v>
      </c>
      <c r="C110" s="24" t="n">
        <v>131.78</v>
      </c>
      <c r="D110" s="25" t="n"/>
      <c r="E110" s="25" t="n"/>
      <c r="F110" s="25" t="n"/>
      <c r="G110" s="25" t="n"/>
      <c r="H110" s="25" t="n"/>
      <c r="I110" s="23" t="n"/>
      <c r="J110" s="23" t="n"/>
      <c r="K110" s="25" t="n"/>
      <c r="L110" s="23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</row>
    <row r="111">
      <c r="A111" s="26" t="n">
        <v>46185</v>
      </c>
      <c r="C111" s="24" t="n">
        <v>129.85</v>
      </c>
      <c r="D111" s="25" t="n"/>
      <c r="E111" s="25" t="n"/>
      <c r="F111" s="25" t="n"/>
      <c r="G111" s="25" t="n"/>
      <c r="H111" s="25" t="n"/>
      <c r="I111" s="23" t="n"/>
      <c r="J111" s="23" t="n"/>
      <c r="K111" s="25" t="n"/>
      <c r="L111" s="23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</row>
    <row r="112">
      <c r="A112" s="26" t="n">
        <v>46188</v>
      </c>
      <c r="C112" s="25" t="n">
        <v>129.24</v>
      </c>
      <c r="D112" s="25" t="n"/>
      <c r="E112" s="25" t="n"/>
      <c r="F112" s="25" t="n"/>
      <c r="G112" s="25" t="n"/>
      <c r="H112" s="25" t="n"/>
      <c r="I112" s="23" t="n"/>
      <c r="J112" s="23" t="n"/>
      <c r="K112" s="25" t="n"/>
      <c r="L112" s="23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</row>
    <row r="113">
      <c r="A113" s="26" t="n">
        <v>46189</v>
      </c>
      <c r="C113" s="25" t="n">
        <v>132.26</v>
      </c>
      <c r="D113" s="25" t="n"/>
      <c r="E113" s="25" t="n"/>
      <c r="F113" s="25" t="n"/>
      <c r="G113" s="25" t="n"/>
      <c r="H113" s="25" t="n"/>
      <c r="I113" s="23" t="n"/>
      <c r="J113" s="23" t="n"/>
      <c r="K113" s="25" t="n"/>
      <c r="L113" s="23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</row>
    <row r="114">
      <c r="A114" s="26" t="n">
        <v>46190</v>
      </c>
      <c r="C114" s="25" t="n">
        <v>131.07</v>
      </c>
      <c r="D114" s="25" t="n"/>
      <c r="E114" s="25" t="n"/>
      <c r="F114" s="25" t="n"/>
      <c r="G114" s="25" t="n"/>
      <c r="H114" s="25" t="n"/>
      <c r="I114" s="23" t="n"/>
      <c r="J114" s="23" t="n"/>
      <c r="K114" s="25" t="n"/>
      <c r="L114" s="23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</row>
    <row r="115">
      <c r="A115" s="26" t="n">
        <v>46191</v>
      </c>
      <c r="C115" s="25" t="n">
        <v>133.39</v>
      </c>
      <c r="D115" s="25" t="n"/>
      <c r="E115" s="25" t="n"/>
      <c r="F115" s="25" t="n"/>
      <c r="G115" s="25" t="n"/>
      <c r="H115" s="25" t="n"/>
      <c r="I115" s="23" t="n"/>
      <c r="J115" s="23" t="n"/>
      <c r="K115" s="25" t="n"/>
      <c r="L115" s="23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</row>
    <row r="116">
      <c r="A116" s="26" t="n">
        <v>46192</v>
      </c>
      <c r="C116" s="25" t="n">
        <v>132.84</v>
      </c>
      <c r="D116" s="25" t="n"/>
      <c r="E116" s="25" t="n"/>
      <c r="F116" s="25" t="n"/>
      <c r="G116" s="25" t="n"/>
      <c r="H116" s="25" t="n"/>
      <c r="I116" s="23" t="n"/>
      <c r="J116" s="23" t="n"/>
      <c r="K116" s="25" t="n"/>
      <c r="L116" s="23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</row>
    <row r="117">
      <c r="A117" s="26" t="n">
        <v>46195</v>
      </c>
      <c r="C117" s="25" t="n">
        <v>132.81</v>
      </c>
      <c r="D117" s="25" t="n"/>
      <c r="E117" s="25" t="n"/>
      <c r="F117" s="25" t="n"/>
      <c r="G117" s="25" t="n"/>
      <c r="H117" s="25" t="n"/>
      <c r="I117" s="23" t="n"/>
      <c r="J117" s="23" t="n"/>
      <c r="K117" s="25" t="n"/>
      <c r="L117" s="23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</row>
    <row r="118">
      <c r="A118" s="26" t="n">
        <v>46196</v>
      </c>
      <c r="B118" t="inlineStr">
        <is>
          <t>SOJA - PARANAGUÁ</t>
        </is>
      </c>
      <c r="C118" s="25" t="n">
        <v>133.5</v>
      </c>
      <c r="D118" s="25" t="n"/>
      <c r="E118" s="25" t="n"/>
      <c r="F118" s="25" t="n"/>
      <c r="G118" s="25" t="n"/>
      <c r="H118" s="25" t="n"/>
      <c r="I118" s="23" t="n"/>
      <c r="J118" s="23" t="n"/>
      <c r="K118" s="25" t="n"/>
      <c r="L118" s="23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</row>
    <row r="119">
      <c r="A119" s="26" t="n">
        <v>46197</v>
      </c>
      <c r="B119" t="inlineStr">
        <is>
          <t>SOJA - PARANAGUÁ</t>
        </is>
      </c>
      <c r="C119" s="25" t="n">
        <v>134.35</v>
      </c>
      <c r="D119" s="25" t="n"/>
      <c r="E119" s="25" t="n"/>
      <c r="F119" s="25" t="n"/>
      <c r="G119" s="25" t="n"/>
      <c r="H119" s="25" t="n"/>
      <c r="I119" s="23" t="n"/>
      <c r="J119" s="23" t="n"/>
      <c r="K119" s="25" t="n"/>
      <c r="L119" s="23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</row>
    <row r="120">
      <c r="A120" s="26" t="n">
        <v>46198</v>
      </c>
      <c r="B120" t="inlineStr">
        <is>
          <t>SOJA - PARANAGUÁ</t>
        </is>
      </c>
      <c r="C120" s="25" t="n">
        <v>134.15</v>
      </c>
      <c r="D120" s="25" t="n"/>
      <c r="E120" s="25" t="n"/>
      <c r="F120" s="25" t="n"/>
      <c r="G120" s="25" t="n"/>
      <c r="H120" s="25" t="n"/>
      <c r="I120" s="23" t="n"/>
      <c r="J120" s="23" t="n"/>
      <c r="K120" s="25" t="n"/>
      <c r="L120" s="23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</row>
    <row r="121">
      <c r="A121" s="26" t="n">
        <v>46199</v>
      </c>
      <c r="B121" t="inlineStr">
        <is>
          <t>SOJA - PARANAGUÁ</t>
        </is>
      </c>
      <c r="C121" s="25" t="n">
        <v>133.87</v>
      </c>
      <c r="D121" s="25" t="n"/>
      <c r="E121" s="25" t="n"/>
      <c r="F121" s="25" t="n"/>
      <c r="G121" s="25" t="n"/>
      <c r="H121" s="25" t="n"/>
      <c r="I121" s="23" t="n"/>
      <c r="J121" s="23" t="n"/>
      <c r="K121" s="25" t="n"/>
      <c r="L121" s="23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</row>
    <row r="122">
      <c r="A122" s="9">
        <f>IF('S.H BOI GORDO'!A7167=""," ",'S.H BOI GORDO'!A7167)</f>
        <v/>
      </c>
      <c r="C122" s="3" t="n"/>
      <c r="D122" s="3" t="n"/>
      <c r="E122" s="3" t="n"/>
      <c r="F122" s="3" t="n"/>
      <c r="G122" s="3" t="n"/>
      <c r="H122" s="3" t="n"/>
      <c r="K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</row>
    <row r="123">
      <c r="A123" s="9">
        <f>IF('S.H BOI GORDO'!A7168=""," ",'S.H BOI GORDO'!A7168)</f>
        <v/>
      </c>
      <c r="C123" s="3" t="n"/>
      <c r="D123" s="3" t="n"/>
      <c r="E123" s="3" t="n"/>
      <c r="F123" s="3" t="n"/>
      <c r="G123" s="3" t="n"/>
      <c r="H123" s="3" t="n"/>
      <c r="K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</row>
    <row r="124">
      <c r="A124" s="9">
        <f>IF('S.H BOI GORDO'!A7169=""," ",'S.H BOI GORDO'!A7169)</f>
        <v/>
      </c>
      <c r="C124" s="3" t="n"/>
      <c r="D124" s="3" t="n"/>
      <c r="E124" s="3" t="n"/>
      <c r="F124" s="3" t="n"/>
      <c r="G124" s="3" t="n"/>
      <c r="H124" s="3" t="n"/>
      <c r="K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</row>
    <row r="125">
      <c r="A125" s="9">
        <f>IF('S.H BOI GORDO'!A7170=""," ",'S.H BOI GORDO'!A7170)</f>
        <v/>
      </c>
      <c r="C125" s="3" t="n"/>
      <c r="D125" s="3" t="n"/>
      <c r="E125" s="3" t="n"/>
      <c r="F125" s="3" t="n"/>
      <c r="G125" s="3" t="n"/>
      <c r="H125" s="3" t="n"/>
      <c r="K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</row>
    <row r="126">
      <c r="A126" s="9">
        <f>IF('S.H BOI GORDO'!A7171=""," ",'S.H BOI GORDO'!A7171)</f>
        <v/>
      </c>
      <c r="C126" s="3" t="n"/>
      <c r="D126" s="3" t="n"/>
      <c r="E126" s="3" t="n"/>
      <c r="F126" s="3" t="n"/>
      <c r="G126" s="3" t="n"/>
      <c r="H126" s="3" t="n"/>
      <c r="K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</row>
    <row r="127">
      <c r="A127" s="9">
        <f>IF('S.H BOI GORDO'!A7172=""," ",'S.H BOI GORDO'!A7172)</f>
        <v/>
      </c>
      <c r="C127" s="3" t="n"/>
      <c r="D127" s="3" t="n"/>
      <c r="E127" s="3" t="n"/>
      <c r="F127" s="3" t="n"/>
      <c r="G127" s="3" t="n"/>
      <c r="H127" s="3" t="n"/>
      <c r="K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</row>
    <row r="128">
      <c r="A128" s="9">
        <f>IF('S.H BOI GORDO'!A7173=""," ",'S.H BOI GORDO'!A7173)</f>
        <v/>
      </c>
      <c r="C128" s="3" t="n"/>
      <c r="D128" s="3" t="n"/>
      <c r="E128" s="3" t="n"/>
      <c r="F128" s="3" t="n"/>
      <c r="G128" s="3" t="n"/>
      <c r="H128" s="3" t="n"/>
      <c r="K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</row>
    <row r="129">
      <c r="A129" s="9">
        <f>IF('S.H BOI GORDO'!A7174=""," ",'S.H BOI GORDO'!A7174)</f>
        <v/>
      </c>
      <c r="C129" s="3" t="n"/>
      <c r="D129" s="3" t="n"/>
      <c r="E129" s="3" t="n"/>
      <c r="F129" s="3" t="n"/>
      <c r="G129" s="3" t="n"/>
      <c r="H129" s="3" t="n"/>
      <c r="K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</row>
    <row r="130">
      <c r="A130" s="9">
        <f>IF('S.H BOI GORDO'!A7175=""," ",'S.H BOI GORDO'!A7175)</f>
        <v/>
      </c>
      <c r="C130" s="3" t="n"/>
      <c r="D130" s="3" t="n"/>
      <c r="E130" s="3" t="n"/>
      <c r="F130" s="3" t="n"/>
      <c r="G130" s="3" t="n"/>
      <c r="H130" s="3" t="n"/>
      <c r="K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</row>
    <row r="131">
      <c r="A131" s="9">
        <f>IF('S.H BOI GORDO'!A7176=""," ",'S.H BOI GORDO'!A7176)</f>
        <v/>
      </c>
      <c r="C131" s="3" t="n"/>
      <c r="D131" s="3" t="n"/>
      <c r="E131" s="3" t="n"/>
      <c r="F131" s="3" t="n"/>
      <c r="G131" s="3" t="n"/>
      <c r="H131" s="3" t="n"/>
      <c r="K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</row>
    <row r="132">
      <c r="A132" s="9">
        <f>IF('S.H BOI GORDO'!A7177=""," ",'S.H BOI GORDO'!A7177)</f>
        <v/>
      </c>
      <c r="C132" s="3" t="n"/>
      <c r="D132" s="3" t="n"/>
      <c r="E132" s="3" t="n"/>
      <c r="F132" s="3" t="n"/>
      <c r="G132" s="3" t="n"/>
      <c r="H132" s="3" t="n"/>
      <c r="K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</row>
    <row r="133">
      <c r="A133" s="9">
        <f>IF('S.H BOI GORDO'!A7178=""," ",'S.H BOI GORDO'!A7178)</f>
        <v/>
      </c>
      <c r="C133" s="3" t="n"/>
      <c r="D133" s="3" t="n"/>
      <c r="E133" s="3" t="n"/>
      <c r="F133" s="3" t="n"/>
      <c r="G133" s="3" t="n"/>
      <c r="H133" s="3" t="n"/>
      <c r="K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</row>
    <row r="134">
      <c r="A134" s="9">
        <f>IF('S.H BOI GORDO'!A7179=""," ",'S.H BOI GORDO'!A7179)</f>
        <v/>
      </c>
      <c r="C134" s="3" t="n"/>
      <c r="D134" s="3" t="n"/>
      <c r="E134" s="3" t="n"/>
      <c r="F134" s="3" t="n"/>
      <c r="G134" s="3" t="n"/>
      <c r="H134" s="3" t="n"/>
      <c r="K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</row>
    <row r="135">
      <c r="A135" s="9">
        <f>IF('S.H BOI GORDO'!A7180=""," ",'S.H BOI GORDO'!A7180)</f>
        <v/>
      </c>
      <c r="C135" s="3" t="n"/>
      <c r="D135" s="3" t="n"/>
      <c r="E135" s="3" t="n"/>
      <c r="F135" s="3" t="n"/>
      <c r="G135" s="3" t="n"/>
      <c r="H135" s="3" t="n"/>
      <c r="K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</row>
    <row r="136">
      <c r="A136" s="9">
        <f>IF('S.H BOI GORDO'!A7181=""," ",'S.H BOI GORDO'!A7181)</f>
        <v/>
      </c>
      <c r="C136" s="3" t="n"/>
      <c r="D136" s="3" t="n"/>
      <c r="E136" s="3" t="n"/>
      <c r="F136" s="3" t="n"/>
      <c r="G136" s="3" t="n"/>
      <c r="H136" s="3" t="n"/>
      <c r="K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</row>
    <row r="137">
      <c r="A137" s="9">
        <f>IF('S.H BOI GORDO'!A7182=""," ",'S.H BOI GORDO'!A7182)</f>
        <v/>
      </c>
      <c r="C137" s="3" t="n"/>
      <c r="D137" s="3" t="n"/>
      <c r="E137" s="3" t="n"/>
      <c r="F137" s="3" t="n"/>
      <c r="G137" s="3" t="n"/>
      <c r="H137" s="3" t="n"/>
      <c r="K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9">
        <f>IF('S.H BOI GORDO'!A7183=""," ",'S.H BOI GORDO'!A7183)</f>
        <v/>
      </c>
      <c r="C138" s="3" t="n"/>
      <c r="D138" s="3" t="n"/>
      <c r="E138" s="3" t="n"/>
      <c r="F138" s="3" t="n"/>
      <c r="G138" s="3" t="n"/>
      <c r="H138" s="3" t="n"/>
      <c r="K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9">
        <f>IF('S.H BOI GORDO'!A7184=""," ",'S.H BOI GORDO'!A7184)</f>
        <v/>
      </c>
      <c r="C139" s="3" t="n"/>
      <c r="D139" s="3" t="n"/>
      <c r="E139" s="3" t="n"/>
      <c r="F139" s="3" t="n"/>
      <c r="G139" s="3" t="n"/>
      <c r="H139" s="3" t="n"/>
      <c r="K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9">
        <f>IF('S.H BOI GORDO'!A7185=""," ",'S.H BOI GORDO'!A7185)</f>
        <v/>
      </c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>
        <f>IF('S.H BOI GORDO'!A7186=""," ",'S.H BOI GORDO'!A7186)</f>
        <v/>
      </c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>
        <f>IF('S.H BOI GORDO'!A7187=""," ",'S.H BOI GORDO'!A7187)</f>
        <v/>
      </c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>
        <f>IF('S.H BOI GORDO'!A7188=""," ",'S.H BOI GORDO'!A7188)</f>
        <v/>
      </c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>
        <f>IF('S.H BOI GORDO'!A7189=""," ",'S.H BOI GORDO'!A7189)</f>
        <v/>
      </c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>
        <f>IF('S.H BOI GORDO'!A7190=""," ",'S.H BOI GORDO'!A7190)</f>
        <v/>
      </c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>
        <f>IF('S.H BOI GORDO'!A7191=""," ",'S.H BOI GORDO'!A7191)</f>
        <v/>
      </c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>
        <f>IF('S.H BOI GORDO'!A7192=""," ",'S.H BOI GORDO'!A7192)</f>
        <v/>
      </c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>
        <f>IF('S.H BOI GORDO'!A7193=""," ",'S.H BOI GORDO'!A7193)</f>
        <v/>
      </c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>
        <f>IF('S.H BOI GORDO'!A7194=""," ",'S.H BOI GORDO'!A7194)</f>
        <v/>
      </c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>
        <f>IF('S.H BOI GORDO'!A7195=""," ",'S.H BOI GORDO'!A7195)</f>
        <v/>
      </c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>
        <f>IF('S.H BOI GORDO'!A7196=""," ",'S.H BOI GORDO'!A7196)</f>
        <v/>
      </c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>
        <f>IF('S.H BOI GORDO'!A7197=""," ",'S.H BOI GORDO'!A7197)</f>
        <v/>
      </c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GORDO'!A7198=""," ",'S.H BOI GORDO'!A7198)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GORDO'!A7199=""," ",'S.H BOI GORDO'!A7199)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GORDO'!A7200=""," ",'S.H BOI GORDO'!A7200)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GORDO'!A7201=""," ",'S.H BOI GORDO'!A7201)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GORDO'!A7202=""," ",'S.H BOI GORDO'!A7202)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GORDO'!A7203=""," ",'S.H BOI GORDO'!A7203)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GORDO'!A7204=""," ",'S.H BOI GORDO'!A7204)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GORDO'!A7205=""," ",'S.H BOI GORDO'!A7205)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GORDO'!A7206=""," ",'S.H BOI GORDO'!A7206)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GORDO'!A7207=""," ",'S.H BOI GORDO'!A7207)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GORDO'!A7208=""," ",'S.H BOI GORDO'!A7208)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GORDO'!A7209=""," ",'S.H BOI GORDO'!A7209)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GORDO'!A7210=""," ",'S.H BOI GORDO'!A7210)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GORDO'!A7211=""," ",'S.H BOI GORDO'!A7211)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GORDO'!A7212=""," ",'S.H BOI GORDO'!A7212)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GORDO'!A7213=""," ",'S.H BOI GORDO'!A7213)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GORDO'!A7214=""," ",'S.H BOI GORDO'!A7214)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GORDO'!A7215=""," ",'S.H BOI GORDO'!A7215)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GORDO'!A7216=""," ",'S.H BOI GORDO'!A7216)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GORDO'!A7217=""," ",'S.H BOI GORDO'!A7217)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GORDO'!A7218=""," ",'S.H BOI GORDO'!A7218)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GORDO'!A7219=""," ",'S.H BOI GORDO'!A7219)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GORDO'!A7220=""," ",'S.H BOI GORDO'!A7220)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GORDO'!A7221=""," ",'S.H BOI GORDO'!A7221)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GORDO'!A7222=""," ",'S.H BOI GORDO'!A7222)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GORDO'!A7223=""," ",'S.H BOI GORDO'!A7223)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GORDO'!A7224=""," ",'S.H BOI GORDO'!A7224)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GORDO'!A7225=""," ",'S.H BOI GORDO'!A7225)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GORDO'!A7226=""," ",'S.H BOI GORDO'!A7226)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GORDO'!A7227=""," ",'S.H BOI GORDO'!A7227)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GORDO'!A7228=""," ",'S.H BOI GORDO'!A7228)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GORDO'!A7229=""," ",'S.H BOI GORDO'!A7229)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GORDO'!A7230=""," ",'S.H BOI GORDO'!A7230)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V185" s="3" t="n"/>
      <c r="W185" s="3" t="n"/>
    </row>
    <row r="186">
      <c r="A186" s="9">
        <f>IF('S.H BOI GORDO'!A7231=""," ",'S.H BOI GORDO'!A7231)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V186" s="3" t="n"/>
      <c r="W186" s="3" t="n"/>
    </row>
    <row r="187">
      <c r="A187" s="9">
        <f>IF('S.H BOI GORDO'!A7232=""," ",'S.H BOI GORDO'!A7232)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V187" s="3" t="n"/>
      <c r="W187" s="3" t="n"/>
    </row>
    <row r="188">
      <c r="A188" s="9">
        <f>IF('S.H BOI GORDO'!A7233=""," ",'S.H BOI GORDO'!A7233)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V188" s="3" t="n"/>
      <c r="W188" s="3" t="n"/>
    </row>
    <row r="189">
      <c r="A189" s="9">
        <f>IF('S.H BOI GORDO'!A7234=""," ",'S.H BOI GORDO'!A7234)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V189" s="3" t="n"/>
      <c r="W189" s="3" t="n"/>
    </row>
    <row r="190">
      <c r="A190" s="9">
        <f>IF('S.H BOI GORDO'!A7235=""," ",'S.H BOI GORDO'!A7235)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V190" s="3" t="n"/>
      <c r="W190" s="3" t="n"/>
    </row>
    <row r="191">
      <c r="A191" s="9">
        <f>IF('S.H BOI GORDO'!A7236=""," ",'S.H BOI GORDO'!A7236)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V191" s="3" t="n"/>
      <c r="W191" s="3" t="n"/>
    </row>
    <row r="192">
      <c r="A192" s="9">
        <f>IF('S.H BOI GORDO'!A7237=""," ",'S.H BOI GORDO'!A7237)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V192" s="3" t="n"/>
      <c r="W192" s="3" t="n"/>
    </row>
    <row r="193">
      <c r="A193" s="9">
        <f>IF('S.H BOI GORDO'!A7238=""," ",'S.H BOI GORDO'!A7238)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V193" s="3" t="n"/>
      <c r="W193" s="3" t="n"/>
    </row>
    <row r="194">
      <c r="A194" s="9">
        <f>IF('S.H BOI GORDO'!A7239=""," ",'S.H BOI GORDO'!A7239)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V194" s="3" t="n"/>
      <c r="W194" s="3" t="n"/>
    </row>
    <row r="195">
      <c r="A195" s="9">
        <f>IF('S.H BOI GORDO'!A7240=""," ",'S.H BOI GORDO'!A7240)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V195" s="3" t="n"/>
      <c r="W195" s="3" t="n"/>
    </row>
    <row r="196">
      <c r="A196" s="9">
        <f>IF('S.H BOI GORDO'!A7241=""," ",'S.H BOI GORDO'!A7241)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V196" s="3" t="n"/>
      <c r="W196" s="3" t="n"/>
    </row>
    <row r="197">
      <c r="A197" s="9">
        <f>IF('S.H BOI GORDO'!A7242=""," ",'S.H BOI GORDO'!A7242)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V197" s="3" t="n"/>
      <c r="W197" s="3" t="n"/>
    </row>
    <row r="198">
      <c r="A198" s="9">
        <f>IF('S.H BOI GORDO'!A7243=""," ",'S.H BOI GORDO'!A7243)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V198" s="3" t="n"/>
      <c r="W198" s="3" t="n"/>
    </row>
    <row r="199">
      <c r="A199" s="9">
        <f>IF('S.H BOI GORDO'!A7244=""," ",'S.H BOI GORDO'!A7244)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V199" s="3" t="n"/>
      <c r="W199" s="3" t="n"/>
    </row>
    <row r="200">
      <c r="A200" s="9">
        <f>IF('S.H BOI GORDO'!A7245=""," ",'S.H BOI GORDO'!A7245)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V200" s="3" t="n"/>
      <c r="W200" s="3" t="n"/>
    </row>
    <row r="201">
      <c r="A201" s="9">
        <f>IF('S.H BOI GORDO'!A7246=""," ",'S.H BOI GORDO'!A7246)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V201" s="3" t="n"/>
      <c r="W201" s="3" t="n"/>
    </row>
    <row r="202">
      <c r="A202" s="9">
        <f>IF('S.H BOI GORDO'!A7247=""," ",'S.H BOI GORDO'!A7247)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V202" s="3" t="n"/>
      <c r="W202" s="3" t="n"/>
    </row>
    <row r="203">
      <c r="A203" s="9">
        <f>IF('S.H BOI GORDO'!A7248=""," ",'S.H BOI GORDO'!A7248)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GORDO'!A7249=""," ",'S.H BOI GORDO'!A7249)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GORDO'!A7250=""," ",'S.H BOI GORDO'!A7250)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GORDO'!A7251=""," ",'S.H BOI GORDO'!A7251)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GORDO'!A7252=""," ",'S.H BOI GORDO'!A7252)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GORDO'!A7253=""," ",'S.H BOI GORDO'!A7253)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GORDO'!A7254=""," ",'S.H BOI GORDO'!A7254)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GORDO'!A7255=""," ",'S.H BOI GORDO'!A7255)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GORDO'!A7256=""," ",'S.H BOI GORDO'!A7256)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GORDO'!A7257=""," ",'S.H BOI GORDO'!A7257)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GORDO'!A7258=""," ",'S.H BOI GORDO'!A7258)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GORDO'!A7259=""," ",'S.H BOI GORDO'!A7259)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GORDO'!A7260=""," ",'S.H BOI GORDO'!A7260)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GORDO'!A7261=""," ",'S.H BOI GORDO'!A7261)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GORDO'!A7262=""," ",'S.H BOI GORDO'!A7262)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GORDO'!A7263=""," ",'S.H BOI GORDO'!A7263)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GORDO'!A7264=""," ",'S.H BOI GORDO'!A7264)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GORDO'!A7265=""," ",'S.H BOI GORDO'!A7265)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GORDO'!A7266=""," ",'S.H BOI GORDO'!A7266)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GORDO'!A7267=""," ",'S.H BOI GORDO'!A7267)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GORDO'!A7268=""," ",'S.H BOI GORDO'!A7268)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GORDO'!A7269=""," ",'S.H BOI GORDO'!A7269)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GORDO'!A7270=""," ",'S.H BOI GORDO'!A7270)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GORDO'!A7271=""," ",'S.H BOI GORDO'!A7271)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GORDO'!A7272=""," ",'S.H BOI GORDO'!A7272)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GORDO'!A7273=""," ",'S.H BOI GORDO'!A7273)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GORDO'!A7274=""," ",'S.H BOI GORDO'!A7274)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GORDO'!A7275=""," ",'S.H BOI GORDO'!A7275)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GORDO'!A7276=""," ",'S.H BOI GORDO'!A7276)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GORDO'!A7277=""," ",'S.H BOI GORDO'!A7277)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GORDO'!A7278=""," ",'S.H BOI GORDO'!A7278)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GORDO'!A7279=""," ",'S.H BOI GORDO'!A7279)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GORDO'!A7280=""," ",'S.H BOI GORDO'!A7280)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GORDO'!A7281=""," ",'S.H BOI GORDO'!A7281)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GORDO'!A7282=""," ",'S.H BOI GORDO'!A7282)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GORDO'!A7283=""," ",'S.H BOI GORDO'!A7283)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GORDO'!A7284=""," ",'S.H BOI GORDO'!A7284)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GORDO'!A7285=""," ",'S.H BOI GORDO'!A7285)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GORDO'!A7286=""," ",'S.H BOI GORDO'!A7286)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GORDO'!A7287=""," ",'S.H BOI GORDO'!A7287)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GORDO'!A7288=""," ",'S.H BOI GORDO'!A7288)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GORDO'!A7289=""," ",'S.H BOI GORDO'!A7289)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GORDO'!A7290=""," ",'S.H BOI GORDO'!A7290)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GORDO'!A7291=""," ",'S.H BOI GORDO'!A7291)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GORDO'!A7292=""," ",'S.H BOI GORDO'!A7292)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GORDO'!A7293=""," ",'S.H BOI GORDO'!A7293)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GORDO'!A7294=""," ",'S.H BOI GORDO'!A7294)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GORDO'!A7295=""," ",'S.H BOI GORDO'!A7295)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GORDO'!A7296=""," ",'S.H BOI GORDO'!A7296)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GORDO'!A7297=""," ",'S.H BOI GORDO'!A7297)</f>
        <v/>
      </c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GORDO'!A7298=""," ",'S.H BOI GORDO'!A7298)</f>
        <v/>
      </c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GORDO'!A7299=""," ",'S.H BOI GORDO'!A7299)</f>
        <v/>
      </c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GORDO'!A7300=""," ",'S.H BOI GORDO'!A7300)</f>
        <v/>
      </c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GORDO'!A7301=""," ",'S.H BOI GORDO'!A7301)</f>
        <v/>
      </c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GORDO'!A7302=""," ",'S.H BOI GORDO'!A7302)</f>
        <v/>
      </c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GORDO'!A7303=""," ",'S.H BOI GORDO'!A7303)</f>
        <v/>
      </c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GORDO'!A7304=""," ",'S.H BOI GORDO'!A7304)</f>
        <v/>
      </c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GORDO'!A7305=""," ",'S.H BOI GORDO'!A7305)</f>
        <v/>
      </c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GORDO'!A7306=""," ",'S.H BOI GORDO'!A7306)</f>
        <v/>
      </c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GORDO'!A7307=""," ",'S.H BOI GORDO'!A7307)</f>
        <v/>
      </c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GORDO'!A7308=""," ",'S.H BOI GORDO'!A7308)</f>
        <v/>
      </c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GORDO'!A7309=""," ",'S.H BOI GORDO'!A7309)</f>
        <v/>
      </c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GORDO'!A7310=""," ",'S.H BOI GORDO'!A7310)</f>
        <v/>
      </c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GORDO'!A7311=""," ",'S.H BOI GORDO'!A7311)</f>
        <v/>
      </c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GORDO'!A7312=""," ",'S.H BOI GORDO'!A7312)</f>
        <v/>
      </c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GORDO'!A7313=""," ",'S.H BOI GORDO'!A7313)</f>
        <v/>
      </c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GORDO'!A7314=""," ",'S.H BOI GORDO'!A7314)</f>
        <v/>
      </c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GORDO'!A7315=""," ",'S.H BOI GORDO'!A7315)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GORDO'!A7316=""," ",'S.H BOI GORDO'!A7316)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GORDO'!A7317=""," ",'S.H BOI GORDO'!A7317)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GORDO'!A7318=""," ",'S.H BOI GORDO'!A7318)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GORDO'!A7319=""," ",'S.H BOI GORDO'!A7319)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GORDO'!A7320=""," ",'S.H BOI GORDO'!A7320)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GORDO'!A7321=""," ",'S.H BOI GORDO'!A7321)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GORDO'!A7322=""," ",'S.H BOI GORDO'!A7322)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GORDO'!A7323=""," ",'S.H BOI GORDO'!A7323)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GORDO'!A7324=""," ",'S.H BOI GORDO'!A7324)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GORDO'!A7325=""," ",'S.H BOI GORDO'!A7325)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GORDO'!A7326=""," ",'S.H BOI GORDO'!A7326)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12" t="n"/>
    </row>
    <row r="289">
      <c r="A289" s="12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39"/>
  <sheetViews>
    <sheetView topLeftCell="A113" zoomScale="80" zoomScaleNormal="80" workbookViewId="0">
      <selection activeCell="F133" sqref="F133"/>
    </sheetView>
  </sheetViews>
  <sheetFormatPr baseColWidth="8" defaultRowHeight="15"/>
  <cols>
    <col width="12.5703125" bestFit="1" customWidth="1" style="11" min="1" max="1"/>
    <col width="13.140625" bestFit="1" customWidth="1" style="1" min="2" max="2"/>
    <col width="9.140625" customWidth="1" style="1" min="3" max="27"/>
    <col width="9.140625" customWidth="1" style="1" min="28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6" t="n">
        <v>46087</v>
      </c>
      <c r="C45" s="25" t="n">
        <v>70.56</v>
      </c>
    </row>
    <row r="46">
      <c r="A46" s="26" t="n">
        <v>46090</v>
      </c>
      <c r="C46" s="25" t="n">
        <v>70.63</v>
      </c>
    </row>
    <row r="47">
      <c r="A47" s="26" t="n">
        <v>46091</v>
      </c>
      <c r="C47" s="25" t="n">
        <v>71.09</v>
      </c>
    </row>
    <row r="48">
      <c r="A48" s="26" t="n">
        <v>46092</v>
      </c>
      <c r="C48" s="25" t="n">
        <v>71.31999999999999</v>
      </c>
    </row>
    <row r="49">
      <c r="A49" s="26" t="n">
        <v>46093</v>
      </c>
      <c r="C49" s="25" t="n">
        <v>71.56</v>
      </c>
    </row>
    <row r="50">
      <c r="A50" s="26" t="n">
        <v>46094</v>
      </c>
      <c r="C50" s="25" t="n">
        <v>71.98</v>
      </c>
    </row>
    <row r="51">
      <c r="A51" s="26" t="inlineStr">
        <is>
          <t>16/03/2026</t>
        </is>
      </c>
      <c r="C51" s="25" t="n">
        <v>72.09999999999999</v>
      </c>
    </row>
    <row r="52">
      <c r="A52" s="26" t="inlineStr">
        <is>
          <t>17/03/2026</t>
        </is>
      </c>
      <c r="C52" s="25" t="n">
        <v>72.02</v>
      </c>
    </row>
    <row r="53">
      <c r="A53" s="26" t="inlineStr">
        <is>
          <t>18/03/2026</t>
        </is>
      </c>
      <c r="C53" s="25" t="n">
        <v>71.2</v>
      </c>
    </row>
    <row r="54">
      <c r="A54" s="26" t="inlineStr">
        <is>
          <t>19/03/2026</t>
        </is>
      </c>
      <c r="C54" s="25" t="n">
        <v>71.63</v>
      </c>
    </row>
    <row r="55">
      <c r="A55" s="26" t="inlineStr">
        <is>
          <t>20/03/2026</t>
        </is>
      </c>
      <c r="C55" s="25" t="n">
        <v>71.37</v>
      </c>
    </row>
    <row r="56">
      <c r="A56" s="26" t="inlineStr">
        <is>
          <t>23/03/2026</t>
        </is>
      </c>
      <c r="C56" s="25" t="n">
        <v>71.25</v>
      </c>
    </row>
    <row r="57">
      <c r="A57" s="26" t="inlineStr">
        <is>
          <t>24/03/2026</t>
        </is>
      </c>
      <c r="C57" s="25" t="n">
        <v>71.01000000000001</v>
      </c>
    </row>
    <row r="58">
      <c r="A58" s="26" t="inlineStr">
        <is>
          <t>25/03/2026</t>
        </is>
      </c>
      <c r="C58" s="25" t="n">
        <v>70.45</v>
      </c>
    </row>
    <row r="59">
      <c r="A59" s="26" t="inlineStr">
        <is>
          <t>26/03/2026</t>
        </is>
      </c>
      <c r="C59" s="25" t="n">
        <v>70.33</v>
      </c>
    </row>
    <row r="60">
      <c r="A60" s="26" t="inlineStr">
        <is>
          <t>27/03/2026</t>
        </is>
      </c>
      <c r="C60" s="25" t="n">
        <v>70.34</v>
      </c>
    </row>
    <row r="61">
      <c r="A61" s="26" t="inlineStr">
        <is>
          <t>30/03/2026</t>
        </is>
      </c>
      <c r="C61" s="25" t="n">
        <v>70.29000000000001</v>
      </c>
    </row>
    <row r="62">
      <c r="A62" s="26" t="inlineStr">
        <is>
          <t>31/03/2026</t>
        </is>
      </c>
      <c r="C62" s="25" t="n">
        <v>70.37</v>
      </c>
    </row>
    <row r="63">
      <c r="A63" s="26" t="inlineStr">
        <is>
          <t>01/04/2026</t>
        </is>
      </c>
      <c r="C63" s="25" t="n">
        <v>70.31999999999999</v>
      </c>
    </row>
    <row r="64">
      <c r="A64" s="26" t="inlineStr">
        <is>
          <t>02/04/2026</t>
        </is>
      </c>
      <c r="C64" s="25" t="n">
        <v>69.95999999999999</v>
      </c>
    </row>
    <row r="65">
      <c r="A65" s="26" t="inlineStr">
        <is>
          <t>06/04/2026</t>
        </is>
      </c>
      <c r="C65" s="25" t="n">
        <v>69.88</v>
      </c>
    </row>
    <row r="66">
      <c r="A66" s="26" t="inlineStr">
        <is>
          <t>07/04/2026</t>
        </is>
      </c>
      <c r="C66" s="25" t="n">
        <v>69.58</v>
      </c>
    </row>
    <row r="67">
      <c r="A67" s="26" t="inlineStr">
        <is>
          <t>08/04/2026</t>
        </is>
      </c>
      <c r="C67" s="25" t="n">
        <v>69.79000000000001</v>
      </c>
    </row>
    <row r="68">
      <c r="A68" s="26" t="inlineStr">
        <is>
          <t>09/04/2026</t>
        </is>
      </c>
      <c r="C68" s="25" t="n">
        <v>69.59</v>
      </c>
    </row>
    <row r="69">
      <c r="A69" s="26" t="n">
        <v>46122</v>
      </c>
      <c r="C69" s="25" t="n">
        <v>69.06999999999999</v>
      </c>
    </row>
    <row r="70">
      <c r="A70" s="26" t="n">
        <v>46125</v>
      </c>
      <c r="C70" s="25" t="n">
        <v>68.78</v>
      </c>
    </row>
    <row r="71">
      <c r="A71" s="26" t="n">
        <v>46126</v>
      </c>
      <c r="C71" s="25" t="n">
        <v>67.73</v>
      </c>
    </row>
    <row r="72">
      <c r="A72" s="26" t="n">
        <v>46128</v>
      </c>
      <c r="C72" s="25" t="n">
        <v>67.01000000000001</v>
      </c>
    </row>
    <row r="73">
      <c r="A73" s="26" t="n">
        <v>46129</v>
      </c>
      <c r="C73" s="25" t="n">
        <v>66.81</v>
      </c>
    </row>
    <row r="74">
      <c r="A74" s="26" t="n">
        <v>46132</v>
      </c>
      <c r="C74" s="25" t="n">
        <v>66.45</v>
      </c>
    </row>
    <row r="75">
      <c r="A75" s="26" t="n">
        <v>46134</v>
      </c>
      <c r="C75" s="25" t="n">
        <v>66.34</v>
      </c>
    </row>
    <row r="76">
      <c r="A76" s="26" t="n">
        <v>46135</v>
      </c>
      <c r="C76" s="25" t="n">
        <v>66.36</v>
      </c>
    </row>
    <row r="77">
      <c r="A77" s="26" t="n">
        <v>46136</v>
      </c>
      <c r="C77" s="25" t="n">
        <v>66.63</v>
      </c>
    </row>
    <row r="78">
      <c r="A78" s="26" t="n">
        <v>46139</v>
      </c>
      <c r="C78" s="25" t="n">
        <v>66.67</v>
      </c>
    </row>
    <row r="79">
      <c r="A79" s="26" t="n">
        <v>46140</v>
      </c>
      <c r="C79" s="25" t="n">
        <v>66.67</v>
      </c>
    </row>
    <row r="80">
      <c r="A80" s="26" t="n">
        <v>46141</v>
      </c>
      <c r="C80" s="25" t="n">
        <v>66.91</v>
      </c>
    </row>
    <row r="81">
      <c r="A81" s="26" t="n">
        <v>46142</v>
      </c>
      <c r="C81" s="25" t="n">
        <v>66.91</v>
      </c>
    </row>
    <row r="82">
      <c r="A82" s="26" t="n">
        <v>46146</v>
      </c>
      <c r="C82" s="25" t="n">
        <v>67.05</v>
      </c>
    </row>
    <row r="83">
      <c r="A83" s="26" t="n">
        <v>46147</v>
      </c>
      <c r="C83" s="25" t="n">
        <v>66.73</v>
      </c>
    </row>
    <row r="84">
      <c r="A84" s="26" t="n">
        <v>46148</v>
      </c>
      <c r="C84" s="25" t="n">
        <v>66.41</v>
      </c>
    </row>
    <row r="85">
      <c r="A85" s="26" t="n">
        <v>46149</v>
      </c>
      <c r="C85" s="25" t="n">
        <v>66.06999999999999</v>
      </c>
    </row>
    <row r="86">
      <c r="A86" s="26" t="n">
        <v>46150</v>
      </c>
      <c r="C86" s="25" t="n">
        <v>65.98</v>
      </c>
    </row>
    <row r="87">
      <c r="A87" s="26" t="n">
        <v>46153</v>
      </c>
      <c r="C87" s="25" t="n">
        <v>65.92</v>
      </c>
    </row>
    <row r="88">
      <c r="A88" s="26" t="n">
        <v>46154</v>
      </c>
      <c r="C88" s="25" t="n">
        <v>65.51000000000001</v>
      </c>
    </row>
    <row r="89">
      <c r="A89" s="26" t="n">
        <v>46155</v>
      </c>
      <c r="C89" s="25" t="n">
        <v>65.34999999999999</v>
      </c>
    </row>
    <row r="90">
      <c r="A90" s="26" t="n">
        <v>46156</v>
      </c>
      <c r="C90" s="25" t="n">
        <v>65.42</v>
      </c>
    </row>
    <row r="91">
      <c r="A91" s="26" t="n">
        <v>46157</v>
      </c>
      <c r="C91" s="25" t="n">
        <v>65.36</v>
      </c>
    </row>
    <row r="92">
      <c r="A92" s="26" t="n">
        <v>46160</v>
      </c>
      <c r="C92" s="25" t="n">
        <v>65.31999999999999</v>
      </c>
    </row>
    <row r="93">
      <c r="A93" s="26" t="n">
        <v>46161</v>
      </c>
      <c r="C93" s="25" t="n">
        <v>65.28</v>
      </c>
    </row>
    <row r="94">
      <c r="A94" s="26" t="n">
        <v>46162</v>
      </c>
      <c r="C94" s="25" t="n">
        <v>65.34</v>
      </c>
    </row>
    <row r="95">
      <c r="A95" s="26" t="n">
        <v>46163</v>
      </c>
      <c r="C95" s="25" t="n">
        <v>65.41</v>
      </c>
    </row>
    <row r="96">
      <c r="A96" s="26" t="n">
        <v>46164</v>
      </c>
      <c r="C96" s="25" t="n">
        <v>65.47</v>
      </c>
    </row>
    <row r="97">
      <c r="A97" s="26" t="n">
        <v>46167</v>
      </c>
      <c r="C97" s="25" t="n">
        <v>65.39</v>
      </c>
    </row>
    <row r="98">
      <c r="A98" s="26" t="n">
        <v>46168</v>
      </c>
      <c r="C98" s="25" t="n">
        <v>64.98999999999999</v>
      </c>
    </row>
    <row r="99">
      <c r="A99" s="26" t="n">
        <v>46169</v>
      </c>
      <c r="C99" s="25" t="n">
        <v>65.13</v>
      </c>
    </row>
    <row r="100">
      <c r="A100" s="26" t="n">
        <v>46170</v>
      </c>
      <c r="C100" s="25" t="n">
        <v>64.90000000000001</v>
      </c>
    </row>
    <row r="101">
      <c r="A101" s="26" t="n">
        <v>46171</v>
      </c>
      <c r="C101" s="25" t="n">
        <v>64.91</v>
      </c>
    </row>
    <row r="102">
      <c r="A102" s="26" t="n">
        <v>46174</v>
      </c>
      <c r="C102" s="25" t="n">
        <v>64.76000000000001</v>
      </c>
    </row>
    <row r="103">
      <c r="A103" s="26" t="n">
        <v>46175</v>
      </c>
      <c r="C103" s="25" t="n">
        <v>64.54000000000001</v>
      </c>
    </row>
    <row r="104">
      <c r="A104" s="26" t="n">
        <v>46176</v>
      </c>
      <c r="C104" s="25" t="n">
        <v>64.51000000000001</v>
      </c>
    </row>
    <row r="105">
      <c r="A105" s="26" t="n">
        <v>46178</v>
      </c>
      <c r="C105" s="25" t="n">
        <v>64.5</v>
      </c>
    </row>
    <row r="106">
      <c r="A106" s="26" t="n">
        <v>46181</v>
      </c>
      <c r="C106" s="25" t="n">
        <v>64.54000000000001</v>
      </c>
    </row>
    <row r="107">
      <c r="A107" s="26" t="n">
        <v>46182</v>
      </c>
      <c r="C107" s="25" t="n">
        <v>64.26000000000001</v>
      </c>
    </row>
    <row r="108">
      <c r="A108" s="26" t="n">
        <v>46183</v>
      </c>
      <c r="C108" s="25" t="n">
        <v>64.09</v>
      </c>
    </row>
    <row r="109">
      <c r="A109" s="26" t="n">
        <v>46184</v>
      </c>
      <c r="C109" s="25" t="n">
        <v>64.03</v>
      </c>
    </row>
    <row r="110">
      <c r="A110" s="26" t="n">
        <v>46185</v>
      </c>
      <c r="C110" s="25" t="n">
        <v>64.20999999999999</v>
      </c>
    </row>
    <row r="111">
      <c r="A111" s="26" t="n">
        <v>46188</v>
      </c>
      <c r="C111" s="25" t="n">
        <v>62.97</v>
      </c>
    </row>
    <row r="112">
      <c r="A112" s="26" t="n">
        <v>46189</v>
      </c>
      <c r="C112" s="25" t="n">
        <v>63.05</v>
      </c>
    </row>
    <row r="113">
      <c r="A113" s="26" t="n">
        <v>46190</v>
      </c>
      <c r="C113" s="25" t="n">
        <v>62.99</v>
      </c>
    </row>
    <row r="114">
      <c r="A114" s="26" t="n">
        <v>46191</v>
      </c>
      <c r="C114" s="25" t="n">
        <v>62.89</v>
      </c>
    </row>
    <row r="115">
      <c r="A115" s="26" t="n">
        <v>46192</v>
      </c>
      <c r="C115" s="25" t="n">
        <v>62.97</v>
      </c>
    </row>
    <row r="116">
      <c r="A116" s="26" t="n">
        <v>46195</v>
      </c>
      <c r="C116" s="25" t="n">
        <v>63.04</v>
      </c>
    </row>
    <row r="117">
      <c r="A117" s="26" t="n">
        <v>46196</v>
      </c>
      <c r="B117" t="inlineStr">
        <is>
          <t>Milho - Cepea</t>
        </is>
      </c>
      <c r="C117" s="25" t="n">
        <v>63.12</v>
      </c>
    </row>
    <row r="118">
      <c r="A118" s="26" t="n">
        <v>46197</v>
      </c>
      <c r="B118" t="inlineStr">
        <is>
          <t>Milho - Cepea</t>
        </is>
      </c>
      <c r="C118" s="25" t="n">
        <v>63.09</v>
      </c>
    </row>
    <row r="119">
      <c r="A119" s="26" t="n">
        <v>46198</v>
      </c>
      <c r="B119" t="inlineStr">
        <is>
          <t>Milho - Cepea</t>
        </is>
      </c>
      <c r="C119" s="25" t="n">
        <v>63.27</v>
      </c>
    </row>
    <row r="120">
      <c r="A120" s="26" t="n">
        <v>46199</v>
      </c>
      <c r="B120" t="inlineStr">
        <is>
          <t>Milho - Cepea</t>
        </is>
      </c>
      <c r="C120" s="25" t="n">
        <v>63.45</v>
      </c>
    </row>
    <row r="121">
      <c r="A121" s="9" t="n"/>
      <c r="C121" s="3" t="n"/>
    </row>
    <row r="122">
      <c r="A122" s="9" t="n"/>
      <c r="C122" s="3" t="n"/>
    </row>
    <row r="123">
      <c r="A123" s="9" t="n"/>
      <c r="C123" s="3" t="n"/>
    </row>
    <row r="124">
      <c r="A124" s="9" t="n"/>
      <c r="C124" s="3" t="n"/>
    </row>
    <row r="125">
      <c r="A125" s="9" t="n"/>
      <c r="C125" s="3" t="n"/>
    </row>
    <row r="126">
      <c r="A126" s="9" t="n"/>
      <c r="C126" s="3" t="n"/>
    </row>
    <row r="127">
      <c r="A127" s="9" t="n"/>
      <c r="C127" s="3" t="n"/>
    </row>
    <row r="128">
      <c r="A128" s="9" t="n"/>
      <c r="C128" s="3" t="n"/>
    </row>
    <row r="129">
      <c r="A129" s="9" t="n"/>
      <c r="C129" s="3" t="n"/>
    </row>
    <row r="130">
      <c r="A130" s="9" t="n"/>
      <c r="C130" s="3" t="n"/>
    </row>
    <row r="131">
      <c r="A131" s="9" t="n"/>
      <c r="C131" s="3" t="n"/>
    </row>
    <row r="132">
      <c r="A132" s="9" t="n"/>
      <c r="C132" s="3" t="n"/>
    </row>
    <row r="133">
      <c r="A133" s="9" t="n"/>
      <c r="C133" s="3" t="n"/>
    </row>
    <row r="134">
      <c r="A134" s="9" t="n"/>
      <c r="C134" s="3" t="n"/>
    </row>
    <row r="135">
      <c r="A135" s="9" t="n"/>
      <c r="C135" s="3" t="n"/>
    </row>
    <row r="136">
      <c r="A136" s="9" t="n"/>
      <c r="C136" s="3" t="n"/>
    </row>
    <row r="137">
      <c r="A137" s="9" t="n"/>
      <c r="C137" s="3" t="n"/>
    </row>
    <row r="138">
      <c r="A138" s="9" t="n"/>
      <c r="C138" s="3" t="n"/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12" t="n"/>
    </row>
    <row r="289">
      <c r="A289" s="12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81"/>
  <sheetViews>
    <sheetView topLeftCell="A355" zoomScale="80" zoomScaleNormal="80" workbookViewId="0">
      <selection activeCell="C317" sqref="C317"/>
    </sheetView>
  </sheetViews>
  <sheetFormatPr baseColWidth="8" defaultRowHeight="15"/>
  <cols>
    <col width="12.5703125" bestFit="1" customWidth="1" style="11" min="1" max="1"/>
    <col width="12.140625" bestFit="1" customWidth="1" style="1" min="2" max="2"/>
    <col width="9.140625" customWidth="1" style="1" min="3" max="28"/>
    <col width="9.140625" customWidth="1" style="1" min="29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6" t="n">
        <v>46087</v>
      </c>
      <c r="C295" s="23" t="n">
        <v>346.05</v>
      </c>
    </row>
    <row r="296">
      <c r="A296" s="26" t="n">
        <v>46090</v>
      </c>
      <c r="C296" s="23" t="n">
        <v>347.4</v>
      </c>
    </row>
    <row r="297">
      <c r="A297" s="26" t="n">
        <v>46091</v>
      </c>
      <c r="C297" s="23" t="n">
        <v>346.8</v>
      </c>
    </row>
    <row r="298">
      <c r="A298" s="26" t="n">
        <v>46092</v>
      </c>
      <c r="C298" s="23" t="n">
        <v>347.25</v>
      </c>
    </row>
    <row r="299">
      <c r="A299" s="26" t="n">
        <v>46093</v>
      </c>
      <c r="C299" s="23" t="n">
        <v>347.5</v>
      </c>
    </row>
    <row r="300">
      <c r="A300" s="26" t="n">
        <v>46094</v>
      </c>
      <c r="C300" s="23" t="n">
        <v>346.6</v>
      </c>
    </row>
    <row r="301">
      <c r="A301" s="26" t="inlineStr">
        <is>
          <t>16/03/2026</t>
        </is>
      </c>
      <c r="C301" s="23" t="n">
        <v>346.45</v>
      </c>
    </row>
    <row r="302">
      <c r="A302" s="26" t="inlineStr">
        <is>
          <t>17/03/2026</t>
        </is>
      </c>
      <c r="C302" s="23" t="n">
        <v>347.7</v>
      </c>
    </row>
    <row r="303">
      <c r="A303" s="26" t="inlineStr">
        <is>
          <t>18/03/2026</t>
        </is>
      </c>
      <c r="C303" s="23" t="n">
        <v>348.85</v>
      </c>
    </row>
    <row r="304">
      <c r="A304" s="26" t="inlineStr">
        <is>
          <t>19/03/2026</t>
        </is>
      </c>
      <c r="C304" s="23" t="n">
        <v>349.6</v>
      </c>
    </row>
    <row r="305">
      <c r="A305" s="26" t="inlineStr">
        <is>
          <t>20/03/2026</t>
        </is>
      </c>
      <c r="C305" s="23" t="n">
        <v>350.65</v>
      </c>
    </row>
    <row r="306">
      <c r="A306" s="26" t="inlineStr">
        <is>
          <t>23/03/2026</t>
        </is>
      </c>
      <c r="C306" s="23" t="n">
        <v>350.7</v>
      </c>
    </row>
    <row r="307">
      <c r="A307" s="26" t="inlineStr">
        <is>
          <t>24/03/2026</t>
        </is>
      </c>
      <c r="C307" s="23" t="n">
        <v>351.4</v>
      </c>
    </row>
    <row r="308">
      <c r="A308" s="26" t="inlineStr">
        <is>
          <t>25/03/2026</t>
        </is>
      </c>
      <c r="C308" s="23" t="n">
        <v>354.65</v>
      </c>
    </row>
    <row r="309">
      <c r="A309" s="26" t="inlineStr">
        <is>
          <t>26/03/2026</t>
        </is>
      </c>
      <c r="C309" s="23" t="n">
        <v>355.55</v>
      </c>
    </row>
    <row r="310">
      <c r="A310" s="26" t="inlineStr">
        <is>
          <t>27/03/2026</t>
        </is>
      </c>
      <c r="C310" s="23" t="n">
        <v>355.45</v>
      </c>
    </row>
    <row r="311">
      <c r="A311" s="26" t="inlineStr">
        <is>
          <t>30/03/2026</t>
        </is>
      </c>
      <c r="C311" s="23" t="n">
        <v>355.75</v>
      </c>
    </row>
    <row r="312">
      <c r="A312" s="26" t="inlineStr">
        <is>
          <t>31/03/2026</t>
        </is>
      </c>
      <c r="C312" s="23" t="n">
        <v>356</v>
      </c>
    </row>
    <row r="313">
      <c r="A313" s="26" t="inlineStr">
        <is>
          <t>01/04/2026</t>
        </is>
      </c>
      <c r="C313" s="23" t="n">
        <v>358.9</v>
      </c>
    </row>
    <row r="314">
      <c r="A314" s="26" t="inlineStr">
        <is>
          <t>02/04/2026</t>
        </is>
      </c>
      <c r="C314" s="23" t="n">
        <v>360.9</v>
      </c>
    </row>
    <row r="315">
      <c r="A315" s="26" t="inlineStr">
        <is>
          <t>06/04/2026</t>
        </is>
      </c>
      <c r="C315" s="23" t="n">
        <v>361.05</v>
      </c>
    </row>
    <row r="316">
      <c r="A316" s="26" t="inlineStr">
        <is>
          <t>07/04/2026</t>
        </is>
      </c>
      <c r="C316" s="23" t="n">
        <v>364.25</v>
      </c>
    </row>
    <row r="317">
      <c r="A317" s="26" t="inlineStr">
        <is>
          <t>08/04/2026</t>
        </is>
      </c>
      <c r="C317" s="23" t="n">
        <v>365</v>
      </c>
    </row>
    <row r="318">
      <c r="A318" s="26" t="inlineStr">
        <is>
          <t>09/04/2026</t>
        </is>
      </c>
      <c r="C318" s="23" t="n">
        <v>365.45</v>
      </c>
    </row>
    <row r="319">
      <c r="A319" s="26" t="n">
        <v>46122</v>
      </c>
      <c r="C319" s="23" t="n">
        <v>365.6</v>
      </c>
    </row>
    <row r="320">
      <c r="A320" s="26" t="n">
        <v>46125</v>
      </c>
      <c r="C320" s="23" t="n">
        <v>366.2</v>
      </c>
    </row>
    <row r="321">
      <c r="A321" s="26" t="n">
        <v>46126</v>
      </c>
      <c r="C321" s="23" t="n">
        <v>367.05</v>
      </c>
    </row>
    <row r="322">
      <c r="A322" s="26" t="n">
        <v>46128</v>
      </c>
      <c r="C322" s="23" t="n">
        <v>365.5</v>
      </c>
    </row>
    <row r="323">
      <c r="A323" s="26" t="n">
        <v>46129</v>
      </c>
      <c r="C323" s="23" t="n">
        <v>365.1</v>
      </c>
    </row>
    <row r="324">
      <c r="A324" s="26" t="n">
        <v>46132</v>
      </c>
      <c r="C324" s="23" t="n">
        <v>366</v>
      </c>
    </row>
    <row r="325">
      <c r="A325" s="26" t="n">
        <v>46134</v>
      </c>
      <c r="C325" s="23" t="n">
        <v>363.85</v>
      </c>
    </row>
    <row r="326">
      <c r="A326" s="26" t="n">
        <v>46135</v>
      </c>
      <c r="C326" s="23" t="n">
        <v>362.4</v>
      </c>
    </row>
    <row r="327">
      <c r="A327" s="26" t="n">
        <v>46136</v>
      </c>
      <c r="C327" s="23" t="n">
        <v>362</v>
      </c>
    </row>
    <row r="328">
      <c r="A328" s="26" t="n">
        <v>46139</v>
      </c>
      <c r="C328" s="23" t="n">
        <v>360.7</v>
      </c>
    </row>
    <row r="329">
      <c r="A329" s="26" t="n">
        <v>46140</v>
      </c>
      <c r="C329" s="23" t="n">
        <v>358.4</v>
      </c>
    </row>
    <row r="330">
      <c r="A330" s="26" t="n">
        <v>46141</v>
      </c>
      <c r="C330" s="23" t="n">
        <v>355.25</v>
      </c>
    </row>
    <row r="331">
      <c r="A331" s="26" t="n">
        <v>46142</v>
      </c>
      <c r="C331" s="23" t="n">
        <v>354.45</v>
      </c>
    </row>
    <row r="332">
      <c r="A332" s="26" t="n">
        <v>46146</v>
      </c>
      <c r="C332" s="23" t="n">
        <v>354.2</v>
      </c>
    </row>
    <row r="333">
      <c r="A333" s="26" t="n">
        <v>46147</v>
      </c>
      <c r="C333" s="23" t="n">
        <v>353.8</v>
      </c>
    </row>
    <row r="334">
      <c r="A334" s="26" t="n">
        <v>46148</v>
      </c>
      <c r="C334" s="23" t="n">
        <v>354.05</v>
      </c>
    </row>
    <row r="335">
      <c r="A335" s="26" t="n">
        <v>46149</v>
      </c>
      <c r="C335" s="23" t="n">
        <v>353.75</v>
      </c>
    </row>
    <row r="336">
      <c r="A336" s="26" t="n">
        <v>46150</v>
      </c>
      <c r="C336" s="23" t="n">
        <v>352.55</v>
      </c>
    </row>
    <row r="337">
      <c r="A337" s="26" t="n">
        <v>46153</v>
      </c>
      <c r="C337" s="23" t="n">
        <v>349.3</v>
      </c>
    </row>
    <row r="338">
      <c r="A338" s="26" t="n">
        <v>46154</v>
      </c>
      <c r="C338" s="23" t="n">
        <v>348.8</v>
      </c>
    </row>
    <row r="339">
      <c r="A339" s="26" t="n">
        <v>46155</v>
      </c>
      <c r="C339" s="23" t="n">
        <v>346</v>
      </c>
    </row>
    <row r="340">
      <c r="A340" s="26" t="n">
        <v>46156</v>
      </c>
      <c r="C340" s="23" t="n">
        <v>344.6</v>
      </c>
    </row>
    <row r="341">
      <c r="A341" s="26" t="n">
        <v>46157</v>
      </c>
      <c r="C341" s="23" t="n">
        <v>344.6</v>
      </c>
    </row>
    <row r="342">
      <c r="A342" s="26" t="n">
        <v>46160</v>
      </c>
      <c r="C342" s="23" t="n">
        <v>345.3</v>
      </c>
    </row>
    <row r="343">
      <c r="A343" s="26" t="n">
        <v>46161</v>
      </c>
      <c r="C343" s="23" t="n">
        <v>344.8</v>
      </c>
    </row>
    <row r="344">
      <c r="A344" s="26" t="n">
        <v>46162</v>
      </c>
      <c r="C344" s="23" t="n">
        <v>345.1</v>
      </c>
    </row>
    <row r="345">
      <c r="A345" s="26" t="n">
        <v>46163</v>
      </c>
      <c r="C345" s="23" t="n">
        <v>345.45</v>
      </c>
    </row>
    <row r="346">
      <c r="A346" s="26" t="n">
        <v>46164</v>
      </c>
      <c r="C346" s="23" t="n">
        <v>345.75</v>
      </c>
    </row>
    <row r="347">
      <c r="A347" s="26" t="n">
        <v>46167</v>
      </c>
      <c r="C347" s="23" t="n">
        <v>346.2</v>
      </c>
    </row>
    <row r="348">
      <c r="A348" s="26" t="n">
        <v>46168</v>
      </c>
      <c r="C348" s="23" t="n">
        <v>347.8</v>
      </c>
    </row>
    <row r="349">
      <c r="A349" s="26" t="n">
        <v>46169</v>
      </c>
      <c r="C349" s="23" t="n">
        <v>348.3</v>
      </c>
    </row>
    <row r="350">
      <c r="A350" s="26" t="n">
        <v>46170</v>
      </c>
      <c r="C350" s="23" t="n">
        <v>349.25</v>
      </c>
    </row>
    <row r="351">
      <c r="A351" s="26" t="n">
        <v>46171</v>
      </c>
      <c r="C351" s="23" t="n">
        <v>349.7</v>
      </c>
    </row>
    <row r="352">
      <c r="A352" s="26" t="n">
        <v>46174</v>
      </c>
      <c r="C352" s="23" t="n">
        <v>350.2</v>
      </c>
    </row>
    <row r="353">
      <c r="A353" s="26" t="n">
        <v>46175</v>
      </c>
      <c r="C353" s="23" t="n">
        <v>352.3</v>
      </c>
    </row>
    <row r="354">
      <c r="A354" s="26" t="n">
        <v>46176</v>
      </c>
      <c r="C354" s="23" t="n">
        <v>353.5</v>
      </c>
    </row>
    <row r="355">
      <c r="A355" s="26" t="n">
        <v>46178</v>
      </c>
      <c r="C355" s="23" t="n">
        <v>353.8</v>
      </c>
    </row>
    <row r="356">
      <c r="A356" s="26" t="n">
        <v>46181</v>
      </c>
      <c r="C356" s="23" t="n">
        <v>353.15</v>
      </c>
    </row>
    <row r="357">
      <c r="A357" s="26" t="n">
        <v>46182</v>
      </c>
      <c r="C357" s="23" t="n">
        <v>353.55</v>
      </c>
    </row>
    <row r="358">
      <c r="A358" s="26" t="n">
        <v>46183</v>
      </c>
      <c r="C358" s="23" t="n">
        <v>353.15</v>
      </c>
    </row>
    <row r="359">
      <c r="A359" s="26" t="n">
        <v>46184</v>
      </c>
      <c r="C359" s="23" t="n">
        <v>353.8</v>
      </c>
    </row>
    <row r="360">
      <c r="A360" s="26" t="n">
        <v>46185</v>
      </c>
      <c r="C360" s="23" t="n">
        <v>353.4</v>
      </c>
    </row>
    <row r="361">
      <c r="A361" s="26" t="n">
        <v>46188</v>
      </c>
      <c r="C361" s="23" t="n">
        <v>352.95</v>
      </c>
    </row>
    <row r="362">
      <c r="A362" s="26" t="n">
        <v>46189</v>
      </c>
      <c r="C362" s="23" t="n">
        <v>349.45</v>
      </c>
    </row>
    <row r="363">
      <c r="A363" s="26" t="n">
        <v>46190</v>
      </c>
      <c r="C363" s="23" t="n">
        <v>348.8</v>
      </c>
    </row>
    <row r="364">
      <c r="A364" s="26" t="n">
        <v>46191</v>
      </c>
      <c r="C364" s="23" t="n">
        <v>347.15</v>
      </c>
    </row>
    <row r="365">
      <c r="A365" s="26" t="n">
        <v>46192</v>
      </c>
      <c r="C365" s="23" t="n">
        <v>345.5</v>
      </c>
    </row>
    <row r="366">
      <c r="A366" s="26" t="n">
        <v>46195</v>
      </c>
      <c r="C366" s="23" t="n">
        <v>343.9</v>
      </c>
    </row>
    <row r="367">
      <c r="A367" s="26" t="n">
        <v>46196</v>
      </c>
      <c r="B367" t="inlineStr">
        <is>
          <t>BOI GORDO</t>
        </is>
      </c>
      <c r="C367" s="23" t="n">
        <v>340.5</v>
      </c>
    </row>
    <row r="368">
      <c r="A368" s="26" t="n">
        <v>46197</v>
      </c>
      <c r="B368" t="inlineStr">
        <is>
          <t>BOI GORDO</t>
        </is>
      </c>
      <c r="C368" s="23" t="n">
        <v>340.5</v>
      </c>
    </row>
    <row r="369">
      <c r="A369" s="26" t="n">
        <v>46198</v>
      </c>
      <c r="B369" t="inlineStr">
        <is>
          <t>BOI GORDO</t>
        </is>
      </c>
      <c r="C369" s="23" t="n">
        <v>340</v>
      </c>
    </row>
    <row r="370">
      <c r="A370" s="26" t="n">
        <v>46199</v>
      </c>
      <c r="B370" t="inlineStr">
        <is>
          <t>BOI GORDO</t>
        </is>
      </c>
      <c r="C370" s="23" t="n">
        <v>338.65</v>
      </c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>
        <f>IF('S.H BOI GORDO'!A7192=""," ",'S.H BOI GORDO'!A7192)</f>
        <v/>
      </c>
    </row>
    <row r="440">
      <c r="A440" s="9">
        <f>IF('S.H BOI GORDO'!A7193=""," ",'S.H BOI GORDO'!A7193)</f>
        <v/>
      </c>
    </row>
    <row r="441">
      <c r="A441" s="9">
        <f>IF('S.H BOI GORDO'!A7194=""," ",'S.H BOI GORDO'!A7194)</f>
        <v/>
      </c>
    </row>
    <row r="442">
      <c r="A442" s="9">
        <f>IF('S.H BOI GORDO'!A7195=""," ",'S.H BOI GORDO'!A7195)</f>
        <v/>
      </c>
    </row>
    <row r="443">
      <c r="A443" s="9">
        <f>IF('S.H BOI GORDO'!A7196=""," ",'S.H BOI GORDO'!A7196)</f>
        <v/>
      </c>
    </row>
    <row r="444">
      <c r="A444" s="9">
        <f>IF('S.H BOI GORDO'!A7197=""," ",'S.H BOI GORDO'!A7197)</f>
        <v/>
      </c>
    </row>
    <row r="445">
      <c r="A445" s="9">
        <f>IF('S.H BOI GORDO'!A7198=""," ",'S.H BOI GORDO'!A7198)</f>
        <v/>
      </c>
    </row>
    <row r="446">
      <c r="A446" s="9">
        <f>IF('S.H BOI GORDO'!A7199=""," ",'S.H BOI GORDO'!A7199)</f>
        <v/>
      </c>
    </row>
    <row r="447">
      <c r="A447" s="9">
        <f>IF('S.H BOI GORDO'!A7200=""," ",'S.H BOI GORDO'!A7200)</f>
        <v/>
      </c>
    </row>
    <row r="448">
      <c r="A448" s="9">
        <f>IF('S.H BOI GORDO'!A7201=""," ",'S.H BOI GORDO'!A7201)</f>
        <v/>
      </c>
    </row>
    <row r="449">
      <c r="A449" s="9">
        <f>IF('S.H BOI GORDO'!A7202=""," ",'S.H BOI GORDO'!A7202)</f>
        <v/>
      </c>
    </row>
    <row r="450">
      <c r="A450" s="9">
        <f>IF('S.H BOI GORDO'!A7203=""," ",'S.H BOI GORDO'!A7203)</f>
        <v/>
      </c>
    </row>
    <row r="451">
      <c r="A451" s="9">
        <f>IF('S.H BOI GORDO'!A7204=""," ",'S.H BOI GORDO'!A7204)</f>
        <v/>
      </c>
    </row>
    <row r="452">
      <c r="A452" s="9">
        <f>IF('S.H BOI GORDO'!A7205=""," ",'S.H BOI GORDO'!A7205)</f>
        <v/>
      </c>
    </row>
    <row r="453">
      <c r="A453" s="9">
        <f>IF('S.H BOI GORDO'!A7206=""," ",'S.H BOI GORDO'!A7206)</f>
        <v/>
      </c>
    </row>
    <row r="454">
      <c r="A454" s="9">
        <f>IF('S.H BOI GORDO'!A7207=""," ",'S.H BOI GORDO'!A7207)</f>
        <v/>
      </c>
    </row>
    <row r="455">
      <c r="A455" s="9">
        <f>IF('S.H BOI GORDO'!A7208=""," ",'S.H BOI GORDO'!A7208)</f>
        <v/>
      </c>
    </row>
    <row r="456">
      <c r="A456" s="9">
        <f>IF('S.H BOI GORDO'!A7209=""," ",'S.H BOI GORDO'!A7209)</f>
        <v/>
      </c>
    </row>
    <row r="457">
      <c r="A457" s="9">
        <f>IF('S.H BOI GORDO'!A7210=""," ",'S.H BOI GORDO'!A7210)</f>
        <v/>
      </c>
    </row>
    <row r="458">
      <c r="A458" s="9">
        <f>IF('S.H BOI GORDO'!A7211=""," ",'S.H BOI GORDO'!A7211)</f>
        <v/>
      </c>
    </row>
    <row r="459">
      <c r="A459" s="9">
        <f>IF('S.H BOI GORDO'!A7212=""," ",'S.H BOI GORDO'!A7212)</f>
        <v/>
      </c>
    </row>
    <row r="460">
      <c r="A460" s="9">
        <f>IF('S.H BOI GORDO'!A7213=""," ",'S.H BOI GORDO'!A7213)</f>
        <v/>
      </c>
    </row>
    <row r="461">
      <c r="A461" s="9">
        <f>IF('S.H BOI GORDO'!A7214=""," ",'S.H BOI GORDO'!A7214)</f>
        <v/>
      </c>
    </row>
    <row r="462">
      <c r="A462" s="9">
        <f>IF('S.H BOI GORDO'!A7215=""," ",'S.H BOI GORDO'!A7215)</f>
        <v/>
      </c>
    </row>
    <row r="463">
      <c r="A463" s="9">
        <f>IF('S.H BOI GORDO'!A7216=""," ",'S.H BOI GORDO'!A7216)</f>
        <v/>
      </c>
    </row>
    <row r="464">
      <c r="A464" s="9">
        <f>IF('S.H BOI GORDO'!A7217=""," ",'S.H BOI GORDO'!A7217)</f>
        <v/>
      </c>
    </row>
    <row r="465">
      <c r="A465" s="9">
        <f>IF('S.H BOI GORDO'!A7218=""," ",'S.H BOI GORDO'!A7218)</f>
        <v/>
      </c>
    </row>
    <row r="466">
      <c r="A466" s="9">
        <f>IF('S.H BOI GORDO'!A7219=""," ",'S.H BOI GORDO'!A7219)</f>
        <v/>
      </c>
    </row>
    <row r="467">
      <c r="A467" s="9">
        <f>IF('S.H BOI GORDO'!A7220=""," ",'S.H BOI GORDO'!A7220)</f>
        <v/>
      </c>
    </row>
    <row r="468">
      <c r="A468" s="9">
        <f>IF('S.H BOI GORDO'!A7221=""," ",'S.H BOI GORDO'!A7221)</f>
        <v/>
      </c>
    </row>
    <row r="469">
      <c r="A469" s="9">
        <f>IF('S.H BOI GORDO'!A7222=""," ",'S.H BOI GORDO'!A7222)</f>
        <v/>
      </c>
    </row>
    <row r="470">
      <c r="A470" s="9">
        <f>IF('S.H BOI GORDO'!A7223=""," ",'S.H BOI GORDO'!A7223)</f>
        <v/>
      </c>
    </row>
    <row r="471">
      <c r="A471" s="9">
        <f>IF('S.H BOI GORDO'!A7224=""," ",'S.H BOI GORDO'!A7224)</f>
        <v/>
      </c>
    </row>
    <row r="472">
      <c r="A472" s="9">
        <f>IF('S.H BOI GORDO'!A7225=""," ",'S.H BOI GORDO'!A7225)</f>
        <v/>
      </c>
    </row>
    <row r="473">
      <c r="A473" s="9">
        <f>IF('S.H BOI GORDO'!A7226=""," ",'S.H BOI GORDO'!A7226)</f>
        <v/>
      </c>
    </row>
    <row r="474">
      <c r="A474" s="9">
        <f>IF('S.H BOI GORDO'!A7227=""," ",'S.H BOI GORDO'!A7227)</f>
        <v/>
      </c>
    </row>
    <row r="475">
      <c r="A475" s="9">
        <f>IF('S.H BOI GORDO'!A7228=""," ",'S.H BOI GORDO'!A7228)</f>
        <v/>
      </c>
    </row>
    <row r="476">
      <c r="A476" s="9">
        <f>IF('S.H BOI GORDO'!A7229=""," ",'S.H BOI GORDO'!A7229)</f>
        <v/>
      </c>
    </row>
    <row r="477">
      <c r="A477" s="9">
        <f>IF('S.H BOI GORDO'!A7230=""," ",'S.H BOI GORDO'!A7230)</f>
        <v/>
      </c>
    </row>
    <row r="478">
      <c r="A478" s="9">
        <f>IF('S.H BOI GORDO'!A7231=""," ",'S.H BOI GORDO'!A7231)</f>
        <v/>
      </c>
    </row>
    <row r="479">
      <c r="A479" s="9">
        <f>IF('S.H BOI GORDO'!A7232=""," ",'S.H BOI GORDO'!A7232)</f>
        <v/>
      </c>
    </row>
    <row r="480">
      <c r="A480" s="9">
        <f>IF('S.H BOI GORDO'!A7233=""," ",'S.H BOI GORDO'!A7233)</f>
        <v/>
      </c>
    </row>
    <row r="481">
      <c r="A481" s="9">
        <f>IF('S.H BOI GORDO'!A7234=""," ",'S.H BOI GORDO'!A7234)</f>
        <v/>
      </c>
    </row>
    <row r="482">
      <c r="A482" s="9">
        <f>IF('S.H BOI GORDO'!A7235=""," ",'S.H BOI GORDO'!A7235)</f>
        <v/>
      </c>
    </row>
    <row r="483">
      <c r="A483" s="9">
        <f>IF('S.H BOI GORDO'!A7236=""," ",'S.H BOI GORDO'!A7236)</f>
        <v/>
      </c>
    </row>
    <row r="484">
      <c r="A484" s="9">
        <f>IF('S.H BOI GORDO'!A7237=""," ",'S.H BOI GORDO'!A7237)</f>
        <v/>
      </c>
    </row>
    <row r="485">
      <c r="A485" s="9">
        <f>IF('S.H BOI GORDO'!A7238=""," ",'S.H BOI GORDO'!A7238)</f>
        <v/>
      </c>
    </row>
    <row r="486">
      <c r="A486" s="9">
        <f>IF('S.H BOI GORDO'!A7239=""," ",'S.H BOI GORDO'!A7239)</f>
        <v/>
      </c>
    </row>
    <row r="487">
      <c r="A487" s="9">
        <f>IF('S.H BOI GORDO'!A7240=""," ",'S.H BOI GORDO'!A7240)</f>
        <v/>
      </c>
    </row>
    <row r="488">
      <c r="A488" s="9">
        <f>IF('S.H BOI GORDO'!A7241=""," ",'S.H BOI GORDO'!A7241)</f>
        <v/>
      </c>
    </row>
    <row r="489">
      <c r="A489" s="9">
        <f>IF('S.H BOI GORDO'!A7242=""," ",'S.H BOI GORDO'!A7242)</f>
        <v/>
      </c>
    </row>
    <row r="490">
      <c r="A490" s="9">
        <f>IF('S.H BOI GORDO'!A7243=""," ",'S.H BOI GORDO'!A7243)</f>
        <v/>
      </c>
    </row>
    <row r="491">
      <c r="A491" s="9">
        <f>IF('S.H BOI GORDO'!A7244=""," ",'S.H BOI GORDO'!A7244)</f>
        <v/>
      </c>
    </row>
    <row r="492">
      <c r="A492" s="9">
        <f>IF('S.H BOI GORDO'!A7245=""," ",'S.H BOI GORDO'!A7245)</f>
        <v/>
      </c>
    </row>
    <row r="493">
      <c r="A493" s="9">
        <f>IF('S.H BOI GORDO'!A7246=""," ",'S.H BOI GORDO'!A7246)</f>
        <v/>
      </c>
    </row>
    <row r="494">
      <c r="A494" s="9">
        <f>IF('S.H BOI GORDO'!A7247=""," ",'S.H BOI GORDO'!A7247)</f>
        <v/>
      </c>
    </row>
    <row r="495">
      <c r="A495" s="9">
        <f>IF('S.H BOI GORDO'!A7248=""," ",'S.H BOI GORDO'!A7248)</f>
        <v/>
      </c>
    </row>
    <row r="496">
      <c r="A496" s="9">
        <f>IF('S.H BOI GORDO'!A7249=""," ",'S.H BOI GORDO'!A7249)</f>
        <v/>
      </c>
    </row>
    <row r="497">
      <c r="A497" s="9">
        <f>IF('S.H BOI GORDO'!A7250=""," ",'S.H BOI GORDO'!A7250)</f>
        <v/>
      </c>
    </row>
    <row r="498">
      <c r="A498" s="9">
        <f>IF('S.H BOI GORDO'!A7251=""," ",'S.H BOI GORDO'!A7251)</f>
        <v/>
      </c>
    </row>
    <row r="499">
      <c r="A499" s="9">
        <f>IF('S.H BOI GORDO'!A7252=""," ",'S.H BOI GORDO'!A7252)</f>
        <v/>
      </c>
    </row>
    <row r="500">
      <c r="A500" s="9">
        <f>IF('S.H BOI GORDO'!A7253=""," ",'S.H BOI GORDO'!A7253)</f>
        <v/>
      </c>
    </row>
    <row r="501">
      <c r="A501" s="9">
        <f>IF('S.H BOI GORDO'!A7254=""," ",'S.H BOI GORDO'!A7254)</f>
        <v/>
      </c>
    </row>
    <row r="502">
      <c r="A502" s="9">
        <f>IF('S.H BOI GORDO'!A7255=""," ",'S.H BOI GORDO'!A7255)</f>
        <v/>
      </c>
    </row>
    <row r="503">
      <c r="A503" s="9">
        <f>IF('S.H BOI GORDO'!A7256=""," ",'S.H BOI GORDO'!A7256)</f>
        <v/>
      </c>
    </row>
    <row r="504">
      <c r="A504" s="9">
        <f>IF('S.H BOI GORDO'!A7257=""," ",'S.H BOI GORDO'!A7257)</f>
        <v/>
      </c>
    </row>
    <row r="505">
      <c r="A505" s="9">
        <f>IF('S.H BOI GORDO'!A7258=""," ",'S.H BOI GORDO'!A7258)</f>
        <v/>
      </c>
    </row>
    <row r="506">
      <c r="A506" s="9">
        <f>IF('S.H BOI GORDO'!A7259=""," ",'S.H BOI GORDO'!A7259)</f>
        <v/>
      </c>
    </row>
    <row r="507">
      <c r="A507" s="9">
        <f>IF('S.H BOI GORDO'!A7260=""," ",'S.H BOI GORDO'!A7260)</f>
        <v/>
      </c>
    </row>
    <row r="508">
      <c r="A508" s="9">
        <f>IF('S.H BOI GORDO'!A7261=""," ",'S.H BOI GORDO'!A7261)</f>
        <v/>
      </c>
    </row>
    <row r="509">
      <c r="A509" s="9">
        <f>IF('S.H BOI GORDO'!A7262=""," ",'S.H BOI GORDO'!A7262)</f>
        <v/>
      </c>
    </row>
    <row r="510">
      <c r="A510" s="9">
        <f>IF('S.H BOI GORDO'!A7263=""," ",'S.H BOI GORDO'!A7263)</f>
        <v/>
      </c>
    </row>
    <row r="511">
      <c r="A511" s="9">
        <f>IF('S.H BOI GORDO'!A7264=""," ",'S.H BOI GORDO'!A7264)</f>
        <v/>
      </c>
    </row>
    <row r="512">
      <c r="A512" s="9">
        <f>IF('S.H BOI GORDO'!A7265=""," ",'S.H BOI GORDO'!A7265)</f>
        <v/>
      </c>
    </row>
    <row r="513">
      <c r="A513" s="9">
        <f>IF('S.H BOI GORDO'!A7266=""," ",'S.H BOI GORDO'!A7266)</f>
        <v/>
      </c>
    </row>
    <row r="514">
      <c r="A514" s="9">
        <f>IF('S.H BOI GORDO'!A7267=""," ",'S.H BOI GORDO'!A7267)</f>
        <v/>
      </c>
    </row>
    <row r="515">
      <c r="A515" s="9">
        <f>IF('S.H BOI GORDO'!A7268=""," ",'S.H BOI GORDO'!A7268)</f>
        <v/>
      </c>
    </row>
    <row r="516">
      <c r="A516" s="9">
        <f>IF('S.H BOI GORDO'!A7269=""," ",'S.H BOI GORDO'!A7269)</f>
        <v/>
      </c>
    </row>
    <row r="517">
      <c r="A517" s="9">
        <f>IF('S.H BOI GORDO'!A7270=""," ",'S.H BOI GORDO'!A7270)</f>
        <v/>
      </c>
    </row>
    <row r="518">
      <c r="A518" s="9">
        <f>IF('S.H BOI GORDO'!A7271=""," ",'S.H BOI GORDO'!A7271)</f>
        <v/>
      </c>
    </row>
    <row r="519">
      <c r="A519" s="9">
        <f>IF('S.H BOI GORDO'!A7272=""," ",'S.H BOI GORDO'!A7272)</f>
        <v/>
      </c>
    </row>
    <row r="520">
      <c r="A520" s="9">
        <f>IF('S.H BOI GORDO'!A7273=""," ",'S.H BOI GORDO'!A7273)</f>
        <v/>
      </c>
    </row>
    <row r="521">
      <c r="A521" s="9">
        <f>IF('S.H BOI GORDO'!A7274=""," ",'S.H BOI GORDO'!A7274)</f>
        <v/>
      </c>
    </row>
    <row r="522">
      <c r="A522" s="9">
        <f>IF('S.H BOI GORDO'!A7275=""," ",'S.H BOI GORDO'!A7275)</f>
        <v/>
      </c>
    </row>
    <row r="523">
      <c r="A523" s="9">
        <f>IF('S.H BOI GORDO'!A7276=""," ",'S.H BOI GORDO'!A7276)</f>
        <v/>
      </c>
    </row>
    <row r="524">
      <c r="A524" s="9">
        <f>IF('S.H BOI GORDO'!A7277=""," ",'S.H BOI GORDO'!A7277)</f>
        <v/>
      </c>
    </row>
    <row r="525">
      <c r="A525" s="9">
        <f>IF('S.H BOI GORDO'!A7278=""," ",'S.H BOI GORDO'!A7278)</f>
        <v/>
      </c>
    </row>
    <row r="526">
      <c r="A526" s="9">
        <f>IF('S.H BOI GORDO'!A7279=""," ",'S.H BOI GORDO'!A7279)</f>
        <v/>
      </c>
    </row>
    <row r="527">
      <c r="A527" s="9">
        <f>IF('S.H BOI GORDO'!A7280=""," ",'S.H BOI GORDO'!A7280)</f>
        <v/>
      </c>
    </row>
    <row r="528">
      <c r="A528" s="9">
        <f>IF('S.H BOI GORDO'!A7281=""," ",'S.H BOI GORDO'!A7281)</f>
        <v/>
      </c>
    </row>
    <row r="529">
      <c r="A529" s="9">
        <f>IF('S.H BOI GORDO'!A7282=""," ",'S.H BOI GORDO'!A7282)</f>
        <v/>
      </c>
    </row>
    <row r="530">
      <c r="A530" s="9">
        <f>IF('S.H BOI GORDO'!A7283=""," ",'S.H BOI GORDO'!A7283)</f>
        <v/>
      </c>
    </row>
    <row r="531">
      <c r="A531" s="9">
        <f>IF('S.H BOI GORDO'!A7284=""," ",'S.H BOI GORDO'!A7284)</f>
        <v/>
      </c>
    </row>
    <row r="532">
      <c r="A532" s="9">
        <f>IF('S.H BOI GORDO'!A7285=""," ",'S.H BOI GORDO'!A7285)</f>
        <v/>
      </c>
    </row>
    <row r="533">
      <c r="A533" s="9">
        <f>IF('S.H BOI GORDO'!A7286=""," ",'S.H BOI GORDO'!A7286)</f>
        <v/>
      </c>
    </row>
    <row r="534">
      <c r="A534" s="9">
        <f>IF('S.H BOI GORDO'!A7287=""," ",'S.H BOI GORDO'!A7287)</f>
        <v/>
      </c>
    </row>
    <row r="535">
      <c r="A535" s="9">
        <f>IF('S.H BOI GORDO'!A7288=""," ",'S.H BOI GORDO'!A7288)</f>
        <v/>
      </c>
    </row>
    <row r="536">
      <c r="A536" s="9">
        <f>IF('S.H BOI GORDO'!A7289=""," ",'S.H BOI GORDO'!A7289)</f>
        <v/>
      </c>
    </row>
    <row r="537">
      <c r="A537" s="9">
        <f>IF('S.H BOI GORDO'!A7290=""," ",'S.H BOI GORDO'!A7290)</f>
        <v/>
      </c>
    </row>
    <row r="538">
      <c r="A538" s="9">
        <f>IF('S.H BOI GORDO'!A7291=""," ",'S.H BOI GORDO'!A7291)</f>
        <v/>
      </c>
    </row>
    <row r="539">
      <c r="A539" s="9">
        <f>IF('S.H BOI GORDO'!A7292=""," ",'S.H BOI GORDO'!A7292)</f>
        <v/>
      </c>
    </row>
    <row r="540">
      <c r="A540" s="9">
        <f>IF('S.H BOI GORDO'!A7293=""," ",'S.H BOI GORDO'!A7293)</f>
        <v/>
      </c>
    </row>
    <row r="541">
      <c r="A541" s="9">
        <f>IF('S.H BOI GORDO'!A7294=""," ",'S.H BOI GORDO'!A7294)</f>
        <v/>
      </c>
    </row>
    <row r="542">
      <c r="A542" s="9">
        <f>IF('S.H BOI GORDO'!A7295=""," ",'S.H BOI GORDO'!A7295)</f>
        <v/>
      </c>
    </row>
    <row r="543">
      <c r="A543" s="9">
        <f>IF('S.H BOI GORDO'!A7296=""," ",'S.H BOI GORDO'!A7296)</f>
        <v/>
      </c>
    </row>
    <row r="544">
      <c r="A544" s="9">
        <f>IF('S.H BOI GORDO'!A7297=""," ",'S.H BOI GORDO'!A7297)</f>
        <v/>
      </c>
    </row>
    <row r="545">
      <c r="A545" s="9">
        <f>IF('S.H BOI GORDO'!A7298=""," ",'S.H BOI GORDO'!A7298)</f>
        <v/>
      </c>
    </row>
    <row r="546">
      <c r="A546" s="9">
        <f>IF('S.H BOI GORDO'!A7299=""," ",'S.H BOI GORDO'!A7299)</f>
        <v/>
      </c>
    </row>
    <row r="547">
      <c r="A547" s="9">
        <f>IF('S.H BOI GORDO'!A7300=""," ",'S.H BOI GORDO'!A7300)</f>
        <v/>
      </c>
    </row>
    <row r="548">
      <c r="A548" s="9">
        <f>IF('S.H BOI GORDO'!A7301=""," ",'S.H BOI GORDO'!A7301)</f>
        <v/>
      </c>
    </row>
    <row r="549">
      <c r="A549" s="9">
        <f>IF('S.H BOI GORDO'!A7302=""," ",'S.H BOI GORDO'!A7302)</f>
        <v/>
      </c>
    </row>
    <row r="550">
      <c r="A550" s="9">
        <f>IF('S.H BOI GORDO'!A7303=""," ",'S.H BOI GORDO'!A7303)</f>
        <v/>
      </c>
    </row>
    <row r="551">
      <c r="A551" s="9">
        <f>IF('S.H BOI GORDO'!A7304=""," ",'S.H BOI GORDO'!A7304)</f>
        <v/>
      </c>
    </row>
    <row r="552">
      <c r="A552" s="9">
        <f>IF('S.H BOI GORDO'!A7305=""," ",'S.H BOI GORDO'!A7305)</f>
        <v/>
      </c>
    </row>
    <row r="553">
      <c r="A553" s="9">
        <f>IF('S.H BOI GORDO'!A7306=""," ",'S.H BOI GORDO'!A7306)</f>
        <v/>
      </c>
    </row>
    <row r="554">
      <c r="A554" s="9">
        <f>IF('S.H BOI GORDO'!A7307=""," ",'S.H BOI GORDO'!A7307)</f>
        <v/>
      </c>
    </row>
    <row r="555">
      <c r="A555" s="9">
        <f>IF('S.H BOI GORDO'!A7308=""," ",'S.H BOI GORDO'!A7308)</f>
        <v/>
      </c>
    </row>
    <row r="556">
      <c r="A556" s="9">
        <f>IF('S.H BOI GORDO'!A7309=""," ",'S.H BOI GORDO'!A7309)</f>
        <v/>
      </c>
    </row>
    <row r="557">
      <c r="A557" s="9">
        <f>IF('S.H BOI GORDO'!A7310=""," ",'S.H BOI GORDO'!A7310)</f>
        <v/>
      </c>
    </row>
    <row r="558">
      <c r="A558" s="9">
        <f>IF('S.H BOI GORDO'!A7311=""," ",'S.H BOI GORDO'!A7311)</f>
        <v/>
      </c>
    </row>
    <row r="559">
      <c r="A559" s="9">
        <f>IF('S.H BOI GORDO'!A7312=""," ",'S.H BOI GORDO'!A7312)</f>
        <v/>
      </c>
    </row>
    <row r="560">
      <c r="A560" s="9">
        <f>IF('S.H BOI GORDO'!A7313=""," ",'S.H BOI GORDO'!A7313)</f>
        <v/>
      </c>
    </row>
    <row r="561">
      <c r="A561" s="9">
        <f>IF('S.H BOI GORDO'!A7314=""," ",'S.H BOI GORDO'!A7314)</f>
        <v/>
      </c>
    </row>
    <row r="562">
      <c r="A562" s="9">
        <f>IF('S.H BOI GORDO'!A7315=""," ",'S.H BOI GORDO'!A7315)</f>
        <v/>
      </c>
    </row>
    <row r="563">
      <c r="A563" s="9">
        <f>IF('S.H BOI GORDO'!A7316=""," ",'S.H BOI GORDO'!A7316)</f>
        <v/>
      </c>
    </row>
    <row r="564">
      <c r="A564" s="9">
        <f>IF('S.H BOI GORDO'!A7317=""," ",'S.H BOI GORDO'!A7317)</f>
        <v/>
      </c>
    </row>
    <row r="565">
      <c r="A565" s="9">
        <f>IF('S.H BOI GORDO'!A7318=""," ",'S.H BOI GORDO'!A7318)</f>
        <v/>
      </c>
    </row>
    <row r="566">
      <c r="A566" s="9">
        <f>IF('S.H BOI GORDO'!A7319=""," ",'S.H BOI GORDO'!A7319)</f>
        <v/>
      </c>
    </row>
    <row r="567">
      <c r="A567" s="9">
        <f>IF('S.H BOI GORDO'!A7320=""," ",'S.H BOI GORDO'!A7320)</f>
        <v/>
      </c>
    </row>
    <row r="568">
      <c r="A568" s="9">
        <f>IF('S.H BOI GORDO'!A7321=""," ",'S.H BOI GORDO'!A7321)</f>
        <v/>
      </c>
    </row>
    <row r="569">
      <c r="A569" s="9">
        <f>IF('S.H BOI GORDO'!A7322=""," ",'S.H BOI GORDO'!A7322)</f>
        <v/>
      </c>
    </row>
    <row r="570">
      <c r="A570" s="9">
        <f>IF('S.H BOI GORDO'!A7323=""," ",'S.H BOI GORDO'!A7323)</f>
        <v/>
      </c>
    </row>
    <row r="571">
      <c r="A571" s="9">
        <f>IF('S.H BOI GORDO'!A7324=""," ",'S.H BOI GORDO'!A7324)</f>
        <v/>
      </c>
    </row>
    <row r="572">
      <c r="A572" s="9">
        <f>IF('S.H BOI GORDO'!A7325=""," ",'S.H BOI GORDO'!A7325)</f>
        <v/>
      </c>
    </row>
    <row r="573">
      <c r="A573" s="9">
        <f>IF('S.H BOI GORDO'!A7326=""," ",'S.H BOI GORDO'!A7326)</f>
        <v/>
      </c>
    </row>
    <row r="574">
      <c r="A574" s="9">
        <f>IF('S.H BOI GORDO'!A7327=""," ",'S.H BOI GORDO'!A7327)</f>
        <v/>
      </c>
    </row>
    <row r="575">
      <c r="A575" s="9">
        <f>IF('S.H BOI GORDO'!A7328=""," ",'S.H BOI GORDO'!A7328)</f>
        <v/>
      </c>
    </row>
    <row r="576">
      <c r="A576" s="9">
        <f>IF('S.H BOI GORDO'!A7329=""," ",'S.H BOI GORDO'!A7329)</f>
        <v/>
      </c>
    </row>
    <row r="577">
      <c r="A577" s="9">
        <f>IF('S.H BOI GORDO'!A7330=""," ",'S.H BOI GORDO'!A7330)</f>
        <v/>
      </c>
    </row>
    <row r="578">
      <c r="A578" s="9">
        <f>IF('S.H BOI GORDO'!A7331=""," ",'S.H BOI GORDO'!A7331)</f>
        <v/>
      </c>
    </row>
    <row r="579">
      <c r="A579" s="9">
        <f>IF('S.H BOI GORDO'!A7332=""," ",'S.H BOI GORDO'!A7332)</f>
        <v/>
      </c>
    </row>
    <row r="580">
      <c r="A580" s="9">
        <f>IF('S.H BOI GORDO'!A7333=""," ",'S.H BOI GORDO'!A7333)</f>
        <v/>
      </c>
    </row>
    <row r="581">
      <c r="A581" s="9">
        <f>IF('S.H BOI GORDO'!A7334=""," ",'S.H BOI GORDO'!A7334)</f>
        <v/>
      </c>
    </row>
    <row r="582">
      <c r="A582" s="9">
        <f>IF('S.H BOI GORDO'!A7335=""," ",'S.H BOI GORDO'!A7335)</f>
        <v/>
      </c>
    </row>
    <row r="583">
      <c r="A583" s="9">
        <f>IF('S.H BOI GORDO'!A7336=""," ",'S.H BOI GORDO'!A7336)</f>
        <v/>
      </c>
    </row>
    <row r="584">
      <c r="A584" s="9">
        <f>IF('S.H BOI GORDO'!A7337=""," ",'S.H BOI GORDO'!A7337)</f>
        <v/>
      </c>
    </row>
    <row r="585">
      <c r="A585" s="9">
        <f>IF('S.H BOI GORDO'!A7338=""," ",'S.H BOI GORDO'!A7338)</f>
        <v/>
      </c>
    </row>
    <row r="586">
      <c r="A586" s="9">
        <f>IF('S.H BOI GORDO'!A7339=""," ",'S.H BOI GORDO'!A7339)</f>
        <v/>
      </c>
    </row>
    <row r="587">
      <c r="A587" s="9">
        <f>IF('S.H BOI GORDO'!A7340=""," ",'S.H BOI GORDO'!A7340)</f>
        <v/>
      </c>
    </row>
    <row r="588">
      <c r="A588" s="9">
        <f>IF('S.H BOI GORDO'!A7341=""," ",'S.H BOI GORDO'!A7341)</f>
        <v/>
      </c>
    </row>
    <row r="589">
      <c r="A589" s="9">
        <f>IF('S.H BOI GORDO'!A7342=""," ",'S.H BOI GORDO'!A7342)</f>
        <v/>
      </c>
    </row>
    <row r="590">
      <c r="A590" s="9">
        <f>IF('S.H BOI GORDO'!A7343=""," ",'S.H BOI GORDO'!A7343)</f>
        <v/>
      </c>
    </row>
    <row r="591">
      <c r="A591" s="9">
        <f>IF('S.H BOI GORDO'!A7344=""," ",'S.H BOI GORDO'!A7344)</f>
        <v/>
      </c>
    </row>
    <row r="592">
      <c r="A592" s="9">
        <f>IF('S.H BOI GORDO'!A7345=""," ",'S.H BOI GORDO'!A7345)</f>
        <v/>
      </c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I13" sqref="I13"/>
    </sheetView>
  </sheetViews>
  <sheetFormatPr baseColWidth="8" defaultRowHeight="15"/>
  <cols>
    <col width="12.5703125" bestFit="1" customWidth="1" style="2" min="1" max="1"/>
    <col width="12.140625" bestFit="1" customWidth="1" style="1" min="2" max="2"/>
    <col width="9.140625" customWidth="1" style="1" min="3" max="4"/>
    <col width="9.140625" customWidth="1" style="1" min="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6" t="n">
        <v>46175</v>
      </c>
      <c r="B3" s="75" t="inlineStr">
        <is>
          <t>AÇÚCAR</t>
        </is>
      </c>
      <c r="C3" s="76" t="n">
        <v>93.02</v>
      </c>
    </row>
    <row r="4">
      <c r="A4" s="26" t="n">
        <v>46176</v>
      </c>
      <c r="B4" s="75" t="inlineStr">
        <is>
          <t>AÇÚCAR</t>
        </is>
      </c>
      <c r="C4" s="76" t="n">
        <v>93.23999999999999</v>
      </c>
    </row>
    <row r="5">
      <c r="A5" s="26" t="n">
        <v>46178</v>
      </c>
      <c r="B5" s="75" t="inlineStr">
        <is>
          <t>AÇÚCAR</t>
        </is>
      </c>
      <c r="C5" s="76" t="n">
        <v>93.23999999999999</v>
      </c>
    </row>
    <row r="6">
      <c r="A6" s="26" t="n">
        <v>46181</v>
      </c>
      <c r="B6" s="75" t="inlineStr">
        <is>
          <t>AÇÚCAR</t>
        </is>
      </c>
      <c r="C6" s="76" t="n">
        <v>91.36</v>
      </c>
    </row>
    <row r="7">
      <c r="A7" s="26" t="n">
        <v>46182</v>
      </c>
      <c r="B7" s="75" t="inlineStr">
        <is>
          <t>AÇÚCAR</t>
        </is>
      </c>
      <c r="C7" s="76" t="n">
        <v>92.90000000000001</v>
      </c>
    </row>
    <row r="8">
      <c r="A8" s="26" t="n">
        <v>46183</v>
      </c>
      <c r="B8" s="75" t="inlineStr">
        <is>
          <t>AÇÚCAR</t>
        </is>
      </c>
      <c r="C8" s="76" t="n">
        <v>92.34999999999999</v>
      </c>
    </row>
    <row r="9">
      <c r="A9" s="26" t="n">
        <v>46184</v>
      </c>
      <c r="B9" s="75" t="inlineStr">
        <is>
          <t>AÇÚCAR</t>
        </is>
      </c>
      <c r="C9" s="76" t="n">
        <v>92.18000000000001</v>
      </c>
    </row>
    <row r="10">
      <c r="A10" s="26" t="n">
        <v>46185</v>
      </c>
      <c r="B10" s="75" t="inlineStr">
        <is>
          <t>AÇÚCAR</t>
        </is>
      </c>
      <c r="C10" s="76" t="n">
        <v>92.84</v>
      </c>
    </row>
    <row r="11">
      <c r="A11" s="26" t="n">
        <v>46188</v>
      </c>
      <c r="B11" s="75" t="inlineStr">
        <is>
          <t>AÇÚCAR</t>
        </is>
      </c>
      <c r="C11" s="76" t="n">
        <v>93.63</v>
      </c>
    </row>
    <row r="12">
      <c r="A12" s="26" t="n">
        <v>46189</v>
      </c>
      <c r="B12" s="75" t="inlineStr">
        <is>
          <t>AÇÚCAR</t>
        </is>
      </c>
      <c r="C12" s="76" t="n">
        <v>92.09999999999999</v>
      </c>
    </row>
    <row r="13">
      <c r="A13" s="26" t="n">
        <v>46190</v>
      </c>
      <c r="B13" s="75" t="inlineStr">
        <is>
          <t>AÇÚCAR</t>
        </is>
      </c>
      <c r="C13" s="76" t="n">
        <v>91.48</v>
      </c>
    </row>
    <row r="14">
      <c r="A14" s="26" t="n">
        <v>46191</v>
      </c>
      <c r="B14" s="75" t="inlineStr">
        <is>
          <t>AÇÚCAR</t>
        </is>
      </c>
      <c r="C14" s="76" t="n">
        <v>90.75</v>
      </c>
    </row>
    <row r="15">
      <c r="A15" s="26" t="n">
        <v>46192</v>
      </c>
      <c r="B15" s="75" t="inlineStr">
        <is>
          <t>AÇÚCAR</t>
        </is>
      </c>
      <c r="C15" s="76" t="n">
        <v>91.45999999999999</v>
      </c>
    </row>
    <row r="16">
      <c r="A16" s="26" t="n">
        <v>46195</v>
      </c>
      <c r="B16" s="75" t="inlineStr">
        <is>
          <t>AÇÚCAR</t>
        </is>
      </c>
      <c r="C16" s="76" t="n">
        <v>91.59999999999999</v>
      </c>
    </row>
    <row r="17">
      <c r="A17" s="26" t="n">
        <v>46196</v>
      </c>
      <c r="B17" s="75" t="inlineStr">
        <is>
          <t>AÇÚCAR</t>
        </is>
      </c>
      <c r="C17" s="76" t="n">
        <v>94.06999999999999</v>
      </c>
    </row>
    <row r="18">
      <c r="A18" s="26" t="n">
        <v>46197</v>
      </c>
      <c r="B18" s="75" t="inlineStr">
        <is>
          <t>AÇÚCAR</t>
        </is>
      </c>
      <c r="C18" s="76" t="n">
        <v>92.44</v>
      </c>
    </row>
    <row r="19">
      <c r="A19" s="26" t="n">
        <v>46198</v>
      </c>
      <c r="B19" s="75" t="inlineStr">
        <is>
          <t>AÇÚCAR</t>
        </is>
      </c>
      <c r="C19" s="76" t="n">
        <v>92.73</v>
      </c>
    </row>
    <row r="20">
      <c r="A20" s="26" t="n">
        <v>46199</v>
      </c>
      <c r="B20" s="75" t="inlineStr">
        <is>
          <t>AÇÚCAR</t>
        </is>
      </c>
      <c r="C20" s="76" t="n">
        <v>92.31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H14" sqref="H14"/>
    </sheetView>
  </sheetViews>
  <sheetFormatPr baseColWidth="8" defaultRowHeight="15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4"/>
    <col width="9.140625" customWidth="1" style="1" min="5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31" t="n">
        <v>2.9496</v>
      </c>
    </row>
    <row r="3">
      <c r="A3" s="28" t="n">
        <v>46122</v>
      </c>
      <c r="B3" s="23" t="inlineStr">
        <is>
          <t>ETANOL</t>
        </is>
      </c>
      <c r="C3" s="68" t="n">
        <v>2.7873</v>
      </c>
    </row>
    <row r="4">
      <c r="A4" s="28" t="n">
        <v>46129</v>
      </c>
      <c r="B4" s="23" t="inlineStr">
        <is>
          <t>ETANOL</t>
        </is>
      </c>
      <c r="C4" s="68" t="n">
        <v>2.592</v>
      </c>
    </row>
    <row r="5">
      <c r="A5" s="28" t="n">
        <v>46136</v>
      </c>
      <c r="B5" s="23" t="inlineStr">
        <is>
          <t>ETANOL</t>
        </is>
      </c>
      <c r="C5" s="68" t="n">
        <v>2.4512</v>
      </c>
    </row>
    <row r="6">
      <c r="A6" s="28" t="n">
        <v>46150</v>
      </c>
      <c r="B6" s="23" t="inlineStr">
        <is>
          <t>ETANOL</t>
        </is>
      </c>
      <c r="C6" s="68" t="n">
        <v>2.2704</v>
      </c>
    </row>
    <row r="7">
      <c r="A7" s="28" t="n">
        <v>46157</v>
      </c>
      <c r="B7" s="23" t="inlineStr">
        <is>
          <t>ETANOL</t>
        </is>
      </c>
      <c r="C7" s="68" t="n">
        <v>2.2209</v>
      </c>
    </row>
    <row r="8">
      <c r="A8" s="28" t="n">
        <v>46164</v>
      </c>
      <c r="B8" s="23" t="inlineStr">
        <is>
          <t>ETANOL</t>
        </is>
      </c>
      <c r="C8" s="68" t="n">
        <v>2.2492</v>
      </c>
    </row>
    <row r="9">
      <c r="A9" s="28" t="n">
        <v>46171</v>
      </c>
      <c r="B9" s="23" t="inlineStr">
        <is>
          <t>ETANOL</t>
        </is>
      </c>
      <c r="C9" s="68" t="n">
        <v>2.2315</v>
      </c>
    </row>
    <row r="10">
      <c r="A10" s="28" t="n">
        <v>46178</v>
      </c>
      <c r="B10" s="23" t="inlineStr">
        <is>
          <t>ETANOL</t>
        </is>
      </c>
      <c r="C10" s="68" t="n">
        <v>2.2166</v>
      </c>
    </row>
    <row r="11">
      <c r="A11" s="28" t="n">
        <v>46185</v>
      </c>
      <c r="B11" s="23" t="inlineStr">
        <is>
          <t>ETANOL</t>
        </is>
      </c>
      <c r="C11" s="68" t="n">
        <v>2.2247</v>
      </c>
    </row>
    <row r="12">
      <c r="A12" s="28" t="n">
        <v>46192</v>
      </c>
      <c r="B12" s="23" t="inlineStr">
        <is>
          <t>ETANOL</t>
        </is>
      </c>
      <c r="C12" s="68" t="n">
        <v>2.2429</v>
      </c>
    </row>
    <row r="13">
      <c r="A13" s="28" t="n">
        <v>46199</v>
      </c>
      <c r="B13" s="23" t="inlineStr">
        <is>
          <t>ETANOL</t>
        </is>
      </c>
      <c r="C13" s="68" t="n">
        <v>2.2618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>
        <f>IF('S.H BOI GORDO'!A7234=""," ",'S.H BOI GORDO'!A7234)</f>
        <v/>
      </c>
      <c r="B161" s="1">
        <f>B170</f>
        <v/>
      </c>
    </row>
    <row r="162">
      <c r="A162" s="9">
        <f>IF('S.H BOI GORDO'!A7235=""," ",'S.H BOI GORDO'!A7235)</f>
        <v/>
      </c>
      <c r="B162" s="1">
        <f>B171</f>
        <v/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>
        <f>IF('S.H BOI GORDO'!A7233=""," ",'S.H BOI GORDO'!A7233)</f>
        <v/>
      </c>
      <c r="B160" s="1">
        <f>B169</f>
        <v/>
      </c>
    </row>
    <row r="161">
      <c r="A161" s="9">
        <f>IF('S.H BOI GORDO'!A7234=""," ",'S.H BOI GORDO'!A7234)</f>
        <v/>
      </c>
      <c r="B161" s="1">
        <f>B170</f>
        <v/>
      </c>
    </row>
    <row r="162">
      <c r="A162" s="9">
        <f>IF('S.H BOI GORDO'!A7235=""," ",'S.H BOI GORDO'!A7235)</f>
        <v/>
      </c>
      <c r="B162" s="1">
        <f>B171</f>
        <v/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/>
  <cols>
    <col width="12.5703125" bestFit="1" customWidth="1" style="2" min="1" max="1"/>
    <col width="9.140625" customWidth="1" style="1" min="2" max="25"/>
    <col width="9.140625" customWidth="1" style="1" min="2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3">
        <f>B2</f>
        <v/>
      </c>
      <c r="C3" s="1" t="n">
        <v>345.55</v>
      </c>
    </row>
    <row r="4">
      <c r="A4" s="9" t="n">
        <v>45994</v>
      </c>
      <c r="B4" s="23">
        <f>B3</f>
        <v/>
      </c>
      <c r="C4" s="1" t="n">
        <v>344.65</v>
      </c>
    </row>
    <row r="5">
      <c r="A5" s="9" t="n">
        <v>45995</v>
      </c>
      <c r="B5" s="23">
        <f>B4</f>
        <v/>
      </c>
      <c r="C5" s="1" t="n">
        <v>337.75</v>
      </c>
    </row>
    <row r="6">
      <c r="A6" s="9" t="n">
        <v>45996</v>
      </c>
      <c r="B6" s="23">
        <f>B5</f>
        <v/>
      </c>
      <c r="C6" s="1" t="n">
        <v>338.45</v>
      </c>
    </row>
    <row r="7">
      <c r="A7" s="9" t="n">
        <v>45999</v>
      </c>
      <c r="B7" s="23">
        <f>B6</f>
        <v/>
      </c>
      <c r="C7" s="1" t="n">
        <v>338.05</v>
      </c>
    </row>
    <row r="8">
      <c r="A8" s="9" t="n">
        <v>46000</v>
      </c>
      <c r="B8" s="23">
        <f>B7</f>
        <v/>
      </c>
      <c r="C8" s="1" t="n">
        <v>337.15</v>
      </c>
    </row>
    <row r="9">
      <c r="A9" s="9" t="n">
        <v>46001</v>
      </c>
      <c r="B9" s="23">
        <f>B8</f>
        <v/>
      </c>
      <c r="C9" s="1" t="n">
        <v>337.8</v>
      </c>
    </row>
    <row r="10">
      <c r="A10" s="9" t="n">
        <v>46002</v>
      </c>
      <c r="B10" s="23">
        <f>B9</f>
        <v/>
      </c>
      <c r="C10" s="1" t="n">
        <v>338.55</v>
      </c>
    </row>
    <row r="11">
      <c r="A11" s="9" t="n">
        <v>46003</v>
      </c>
      <c r="B11" s="23">
        <f>B10</f>
        <v/>
      </c>
      <c r="C11" s="1" t="n">
        <v>336.55</v>
      </c>
    </row>
    <row r="12">
      <c r="A12" s="9" t="n">
        <v>46006</v>
      </c>
      <c r="B12" s="23">
        <f>B11</f>
        <v/>
      </c>
      <c r="C12" t="n">
        <v>337.95</v>
      </c>
    </row>
    <row r="13">
      <c r="A13" s="9" t="n">
        <v>46007</v>
      </c>
      <c r="B13" s="23">
        <f>B12</f>
        <v/>
      </c>
      <c r="C13" t="n">
        <v>337.3</v>
      </c>
    </row>
    <row r="14">
      <c r="A14" s="9" t="n">
        <v>46008</v>
      </c>
      <c r="B14" s="23">
        <f>B13</f>
        <v/>
      </c>
      <c r="C14" t="n">
        <v>335.35</v>
      </c>
    </row>
    <row r="15">
      <c r="A15" s="4" t="n">
        <v>46009</v>
      </c>
      <c r="B15" s="23">
        <f>B14</f>
        <v/>
      </c>
      <c r="C15" t="n">
        <v>336.05</v>
      </c>
    </row>
    <row r="16">
      <c r="A16" s="9" t="n">
        <v>46010</v>
      </c>
      <c r="B16" s="23">
        <f>B15</f>
        <v/>
      </c>
      <c r="C16" t="n">
        <v>334.35</v>
      </c>
    </row>
    <row r="17">
      <c r="A17" s="9" t="n">
        <v>46013</v>
      </c>
      <c r="B17" s="23">
        <f>B16</f>
        <v/>
      </c>
      <c r="C17" t="n">
        <v>333.75</v>
      </c>
    </row>
    <row r="18">
      <c r="A18" s="9" t="n">
        <v>46014</v>
      </c>
      <c r="B18" s="23">
        <f>B17</f>
        <v/>
      </c>
      <c r="C18" t="n">
        <v>334.8</v>
      </c>
    </row>
    <row r="19">
      <c r="A19" s="9" t="n">
        <v>46017</v>
      </c>
      <c r="B19" s="23">
        <f>B18</f>
        <v/>
      </c>
      <c r="C19" t="n">
        <v>335.65</v>
      </c>
    </row>
    <row r="20">
      <c r="A20" s="9" t="n">
        <v>46020</v>
      </c>
      <c r="B20" s="23">
        <f>B19</f>
        <v/>
      </c>
      <c r="C20" t="n">
        <v>332.1</v>
      </c>
    </row>
    <row r="21">
      <c r="A21" s="9" t="n">
        <v>46021</v>
      </c>
      <c r="B21" s="23">
        <f>B20</f>
        <v/>
      </c>
      <c r="C21" t="n">
        <v>334.35</v>
      </c>
    </row>
    <row r="22">
      <c r="A22" s="9" t="n">
        <v>46024</v>
      </c>
      <c r="B22" s="23">
        <f>B21</f>
        <v/>
      </c>
      <c r="C22" t="n">
        <v>333.6</v>
      </c>
    </row>
    <row r="23">
      <c r="A23" s="9" t="n">
        <v>46027</v>
      </c>
      <c r="B23" s="23">
        <f>B22</f>
        <v/>
      </c>
      <c r="C23" t="n">
        <v>334.5</v>
      </c>
    </row>
    <row r="24">
      <c r="A24" s="9" t="n">
        <v>46028</v>
      </c>
      <c r="B24" s="23">
        <f>B23</f>
        <v/>
      </c>
      <c r="C24" t="n">
        <v>329.6</v>
      </c>
    </row>
    <row r="25">
      <c r="A25" s="2" t="n">
        <v>46029</v>
      </c>
      <c r="B25" s="23">
        <f>B24</f>
        <v/>
      </c>
      <c r="C25" t="n">
        <v>329.95</v>
      </c>
    </row>
    <row r="26">
      <c r="A26" s="9" t="n">
        <v>46030</v>
      </c>
      <c r="B26" s="23">
        <f>B25</f>
        <v/>
      </c>
      <c r="C26" t="n">
        <v>328.25</v>
      </c>
    </row>
    <row r="27">
      <c r="A27" s="9" t="n">
        <v>46031</v>
      </c>
      <c r="B27" s="23">
        <f>B26</f>
        <v/>
      </c>
      <c r="C27" t="n">
        <v>327.1</v>
      </c>
    </row>
    <row r="28">
      <c r="A28" s="9" t="n">
        <v>46034</v>
      </c>
      <c r="B28" s="23">
        <f>B27</f>
        <v/>
      </c>
      <c r="C28" t="n">
        <v>327.05</v>
      </c>
    </row>
    <row r="29">
      <c r="A29" s="9" t="n">
        <v>46035</v>
      </c>
      <c r="B29" s="23">
        <f>B28</f>
        <v/>
      </c>
      <c r="C29" t="n">
        <v>323.6</v>
      </c>
    </row>
    <row r="30">
      <c r="A30" s="9" t="n">
        <v>46036</v>
      </c>
      <c r="B30" s="23">
        <f>B29</f>
        <v/>
      </c>
      <c r="C30" t="n">
        <v>323.75</v>
      </c>
    </row>
    <row r="31">
      <c r="A31" s="9" t="n">
        <v>46037</v>
      </c>
      <c r="B31" s="23">
        <f>B30</f>
        <v/>
      </c>
      <c r="C31" t="n">
        <v>323.15</v>
      </c>
    </row>
    <row r="32">
      <c r="A32" s="9" t="n">
        <v>46038</v>
      </c>
      <c r="B32" s="23">
        <f>B31</f>
        <v/>
      </c>
      <c r="C32" t="n">
        <v>324.9</v>
      </c>
    </row>
    <row r="33">
      <c r="A33" s="9" t="n">
        <v>46041</v>
      </c>
      <c r="B33" s="23">
        <f>B32</f>
        <v/>
      </c>
      <c r="C33" t="n">
        <v>328.35</v>
      </c>
    </row>
    <row r="34">
      <c r="A34" s="9" t="n">
        <v>46042</v>
      </c>
      <c r="B34" s="23">
        <f>B33</f>
        <v/>
      </c>
      <c r="C34" t="n">
        <v>329.55</v>
      </c>
    </row>
    <row r="35">
      <c r="A35" s="4" t="n">
        <v>46043</v>
      </c>
      <c r="B35" s="23">
        <f>B34</f>
        <v/>
      </c>
      <c r="C35" t="n">
        <v>330.65</v>
      </c>
    </row>
    <row r="36">
      <c r="A36" s="4" t="n">
        <v>46044</v>
      </c>
      <c r="B36" s="23">
        <f>B35</f>
        <v/>
      </c>
      <c r="C36" t="n">
        <v>329.1</v>
      </c>
    </row>
    <row r="37">
      <c r="A37" s="9" t="n">
        <v>46045</v>
      </c>
      <c r="B37" s="23">
        <f>B36</f>
        <v/>
      </c>
      <c r="C37" t="n">
        <v>329</v>
      </c>
    </row>
    <row r="38">
      <c r="A38" s="9" t="n">
        <v>46048</v>
      </c>
      <c r="B38" s="23">
        <f>B37</f>
        <v/>
      </c>
      <c r="C38" t="n">
        <v>330.4</v>
      </c>
    </row>
    <row r="39">
      <c r="A39" s="9" t="n">
        <v>46049</v>
      </c>
      <c r="B39" s="23">
        <f>B38</f>
        <v/>
      </c>
      <c r="C39" t="n">
        <v>333.2</v>
      </c>
    </row>
    <row r="40">
      <c r="A40" s="9" t="n">
        <v>46050</v>
      </c>
      <c r="B40" s="23">
        <f>B39</f>
        <v/>
      </c>
      <c r="C40" t="n">
        <v>333.95</v>
      </c>
    </row>
    <row r="41">
      <c r="A41" s="9" t="n">
        <v>46051</v>
      </c>
      <c r="B41" s="23">
        <f>B40</f>
        <v/>
      </c>
      <c r="C41" t="n">
        <v>336.85</v>
      </c>
    </row>
    <row r="42">
      <c r="A42" s="9" t="n">
        <v>46052</v>
      </c>
      <c r="B42" s="23">
        <f>B41</f>
        <v/>
      </c>
      <c r="C42" t="n">
        <v>339</v>
      </c>
    </row>
    <row r="43">
      <c r="A43" s="9" t="n">
        <v>46055</v>
      </c>
      <c r="B43" s="23">
        <f>B42</f>
        <v/>
      </c>
      <c r="C43" t="n">
        <v>339.6</v>
      </c>
    </row>
    <row r="44">
      <c r="A44" s="9" t="n">
        <v>46056</v>
      </c>
      <c r="B44" s="23">
        <f>B43</f>
        <v/>
      </c>
      <c r="C44" t="n">
        <v>339.35</v>
      </c>
    </row>
    <row r="45">
      <c r="A45" s="9" t="n">
        <v>46057</v>
      </c>
      <c r="B45" s="23">
        <f>B44</f>
        <v/>
      </c>
      <c r="C45" t="n">
        <v>340.9</v>
      </c>
    </row>
    <row r="46">
      <c r="A46" s="9" t="n">
        <v>46058</v>
      </c>
      <c r="B46" s="23">
        <f>B45</f>
        <v/>
      </c>
      <c r="C46" t="n">
        <v>341.35</v>
      </c>
    </row>
    <row r="47">
      <c r="A47" s="9" t="n">
        <v>46059</v>
      </c>
      <c r="B47" s="23">
        <f>B46</f>
        <v/>
      </c>
      <c r="C47" t="n">
        <v>341.85</v>
      </c>
    </row>
    <row r="48">
      <c r="A48" s="9" t="n">
        <v>46062</v>
      </c>
      <c r="B48" s="23">
        <f>B47</f>
        <v/>
      </c>
      <c r="C48" t="n">
        <v>340.9</v>
      </c>
    </row>
    <row r="49">
      <c r="A49" s="9" t="n">
        <v>46063</v>
      </c>
      <c r="B49" s="23">
        <f>B48</f>
        <v/>
      </c>
      <c r="C49" t="n">
        <v>342.2</v>
      </c>
    </row>
    <row r="50">
      <c r="A50" s="9" t="n">
        <v>46064</v>
      </c>
      <c r="B50" s="23">
        <f>B49</f>
        <v/>
      </c>
      <c r="C50" t="n">
        <v>341.9</v>
      </c>
    </row>
    <row r="51">
      <c r="A51" s="9" t="n">
        <v>46065</v>
      </c>
      <c r="B51" s="23">
        <f>B50</f>
        <v/>
      </c>
      <c r="C51" t="n">
        <v>341.35</v>
      </c>
    </row>
    <row r="52">
      <c r="A52" s="9" t="n">
        <v>46066</v>
      </c>
      <c r="B52" s="23">
        <f>B51</f>
        <v/>
      </c>
      <c r="C52" t="n">
        <v>341.55</v>
      </c>
    </row>
    <row r="53">
      <c r="A53" s="9" t="n">
        <v>46071</v>
      </c>
      <c r="B53" s="23">
        <f>B52</f>
        <v/>
      </c>
      <c r="C53" t="n">
        <v>343</v>
      </c>
    </row>
    <row r="54">
      <c r="A54" s="9" t="n">
        <v>46072</v>
      </c>
      <c r="B54" s="23">
        <f>B53</f>
        <v/>
      </c>
      <c r="C54" t="n">
        <v>343</v>
      </c>
    </row>
    <row r="55">
      <c r="A55" s="9" t="n">
        <v>46073</v>
      </c>
      <c r="B55" s="23">
        <f>B54</f>
        <v/>
      </c>
      <c r="C55" t="n">
        <v>346.75</v>
      </c>
    </row>
    <row r="56">
      <c r="A56" s="9" t="n">
        <v>46076</v>
      </c>
      <c r="B56" s="23">
        <f>B55</f>
        <v/>
      </c>
      <c r="C56" t="n">
        <v>348.6</v>
      </c>
    </row>
    <row r="57">
      <c r="A57" s="9" t="n">
        <v>46077</v>
      </c>
      <c r="B57" s="23">
        <f>B56</f>
        <v/>
      </c>
      <c r="C57" t="n">
        <v>349.2</v>
      </c>
    </row>
    <row r="58">
      <c r="A58" s="9" t="n">
        <v>46078</v>
      </c>
      <c r="B58" s="23">
        <f>B57</f>
        <v/>
      </c>
      <c r="C58" t="n">
        <v>349</v>
      </c>
    </row>
    <row r="59">
      <c r="A59" s="9" t="n">
        <v>46079</v>
      </c>
      <c r="B59" s="23">
        <f>B58</f>
        <v/>
      </c>
      <c r="C59" t="n">
        <v>346.6</v>
      </c>
    </row>
    <row r="60">
      <c r="A60" s="9" t="n">
        <v>46080</v>
      </c>
      <c r="B60" s="23">
        <f>B59</f>
        <v/>
      </c>
      <c r="C60" t="n">
        <v>344.45</v>
      </c>
    </row>
    <row r="61">
      <c r="A61" s="9" t="n">
        <v>46083</v>
      </c>
      <c r="B61" s="23">
        <f>B60</f>
        <v/>
      </c>
      <c r="C61" t="n">
        <v>338.15</v>
      </c>
    </row>
    <row r="62">
      <c r="A62" s="9" t="n">
        <v>46084</v>
      </c>
      <c r="B62" s="23">
        <f>B61</f>
        <v/>
      </c>
      <c r="C62" t="n">
        <v>336.4</v>
      </c>
    </row>
    <row r="63">
      <c r="A63" s="9" t="n">
        <v>46085</v>
      </c>
      <c r="B63" s="23">
        <f>B62</f>
        <v/>
      </c>
      <c r="C63" t="n">
        <v>340.65</v>
      </c>
    </row>
    <row r="64">
      <c r="A64" s="9" t="n">
        <v>46086</v>
      </c>
      <c r="B64" s="23">
        <f>B63</f>
        <v/>
      </c>
      <c r="C64" t="n">
        <v>340.6</v>
      </c>
    </row>
    <row r="65">
      <c r="A65" s="9" t="n">
        <v>46087</v>
      </c>
      <c r="B65" s="23">
        <f>B64</f>
        <v/>
      </c>
      <c r="C65" t="n">
        <v>337.95</v>
      </c>
    </row>
    <row r="66">
      <c r="A66" s="9" t="n">
        <v>46090</v>
      </c>
      <c r="B66" s="23">
        <f>B65</f>
        <v/>
      </c>
      <c r="C66" t="n">
        <v>339.95</v>
      </c>
    </row>
    <row r="67">
      <c r="A67" s="9" t="n">
        <v>46091</v>
      </c>
      <c r="B67" s="23">
        <f>B66</f>
        <v/>
      </c>
      <c r="C67" t="n">
        <v>339.7</v>
      </c>
    </row>
    <row r="68">
      <c r="A68" s="9" t="n">
        <v>46092</v>
      </c>
      <c r="B68" s="23">
        <f>B67</f>
        <v/>
      </c>
      <c r="C68" t="n">
        <v>341.75</v>
      </c>
    </row>
    <row r="69">
      <c r="A69" s="9" t="n">
        <v>46093</v>
      </c>
      <c r="B69" s="23">
        <f>B68</f>
        <v/>
      </c>
      <c r="C69" t="n">
        <v>342.4</v>
      </c>
    </row>
    <row r="70">
      <c r="A70" s="9" t="n">
        <v>46094</v>
      </c>
      <c r="B70" s="23">
        <f>B69</f>
        <v/>
      </c>
      <c r="C70" t="n">
        <v>341.05</v>
      </c>
    </row>
    <row r="71">
      <c r="A71" s="9" t="n">
        <v>46097</v>
      </c>
      <c r="B71" s="23">
        <f>B70</f>
        <v/>
      </c>
      <c r="C71" t="n">
        <v>342.2</v>
      </c>
    </row>
    <row r="72">
      <c r="A72" s="9" t="n">
        <v>46098</v>
      </c>
      <c r="B72" s="23">
        <f>B71</f>
        <v/>
      </c>
      <c r="C72" t="n">
        <v>339.35</v>
      </c>
    </row>
    <row r="73">
      <c r="A73" s="9" t="n">
        <v>46099</v>
      </c>
      <c r="B73" s="23">
        <f>B72</f>
        <v/>
      </c>
      <c r="C73" t="n">
        <v>341.2</v>
      </c>
    </row>
    <row r="74">
      <c r="A74" s="9" t="n">
        <v>46100</v>
      </c>
      <c r="B74" s="23">
        <f>B73</f>
        <v/>
      </c>
      <c r="C74" t="n">
        <v>344.65</v>
      </c>
    </row>
    <row r="75">
      <c r="A75" s="9" t="n">
        <v>46101</v>
      </c>
      <c r="B75" s="23">
        <f>B74</f>
        <v/>
      </c>
      <c r="C75" t="n">
        <v>348.1</v>
      </c>
    </row>
    <row r="76">
      <c r="A76" s="9" t="n">
        <v>46104</v>
      </c>
      <c r="B76" s="23">
        <f>B75</f>
        <v/>
      </c>
      <c r="C76" t="n">
        <v>347.35</v>
      </c>
    </row>
    <row r="77">
      <c r="A77" s="9" t="n">
        <v>46105</v>
      </c>
      <c r="B77" s="23">
        <f>B76</f>
        <v/>
      </c>
      <c r="C77" t="n">
        <v>347.55</v>
      </c>
    </row>
    <row r="78">
      <c r="A78" s="9" t="n">
        <v>46106</v>
      </c>
      <c r="B78" s="23">
        <f>B77</f>
        <v/>
      </c>
      <c r="C78" t="n">
        <v>347.5</v>
      </c>
    </row>
    <row r="79">
      <c r="A79" s="9" t="n">
        <v>46107</v>
      </c>
      <c r="B79" s="23">
        <f>B78</f>
        <v/>
      </c>
      <c r="C79" t="n">
        <v>348.7</v>
      </c>
    </row>
    <row r="80">
      <c r="A80" s="9" t="n">
        <v>46108</v>
      </c>
      <c r="B80" s="23">
        <f>B79</f>
        <v/>
      </c>
      <c r="C80" t="n">
        <v>349.6</v>
      </c>
    </row>
    <row r="81">
      <c r="A81" s="9" t="n">
        <v>46111</v>
      </c>
      <c r="B81" s="23">
        <f>B80</f>
        <v/>
      </c>
      <c r="C81" t="n">
        <v>350.2</v>
      </c>
    </row>
    <row r="82">
      <c r="A82" s="9" t="n">
        <v>46112</v>
      </c>
      <c r="B82" s="23">
        <f>B81</f>
        <v/>
      </c>
      <c r="C82" t="n">
        <v>348.95</v>
      </c>
    </row>
    <row r="83">
      <c r="A83" s="9" t="n">
        <v>46113</v>
      </c>
      <c r="B83" s="23">
        <f>B91</f>
        <v/>
      </c>
      <c r="C83" t="n">
        <v>349.1</v>
      </c>
    </row>
    <row r="84">
      <c r="A84" s="9" t="n">
        <v>46114</v>
      </c>
      <c r="B84" s="23">
        <f>B92</f>
        <v/>
      </c>
      <c r="C84" t="n">
        <v>348</v>
      </c>
    </row>
    <row r="85">
      <c r="A85" s="9" t="n">
        <v>46118</v>
      </c>
      <c r="B85" s="23">
        <f>B93</f>
        <v/>
      </c>
      <c r="C85" t="n">
        <v>350.2</v>
      </c>
    </row>
    <row r="86">
      <c r="A86" s="9" t="n">
        <v>46120</v>
      </c>
      <c r="B86" s="23">
        <f>B94</f>
        <v/>
      </c>
      <c r="C86" t="n">
        <v>343.65</v>
      </c>
    </row>
    <row r="87">
      <c r="A87" s="9" t="n">
        <v>46121</v>
      </c>
      <c r="B87" s="23">
        <f>B95</f>
        <v/>
      </c>
      <c r="C87" t="n">
        <v>345.8</v>
      </c>
    </row>
    <row r="88">
      <c r="A88" s="9" t="n">
        <v>46122</v>
      </c>
      <c r="B88" s="23">
        <f>B96</f>
        <v/>
      </c>
      <c r="C88" t="n">
        <v>342.6</v>
      </c>
    </row>
    <row r="89">
      <c r="A89" s="9" t="n">
        <v>46125</v>
      </c>
      <c r="B89" s="23">
        <f>B97</f>
        <v/>
      </c>
      <c r="C89" t="n">
        <v>336.4</v>
      </c>
    </row>
    <row r="90">
      <c r="A90" s="9" t="n">
        <v>46126</v>
      </c>
      <c r="B90" s="23">
        <f>B98</f>
        <v/>
      </c>
      <c r="C90" t="n">
        <v>338.55</v>
      </c>
    </row>
    <row r="91">
      <c r="A91" s="9" t="n">
        <v>46127</v>
      </c>
      <c r="B91" s="23">
        <f>B99</f>
        <v/>
      </c>
      <c r="C91" t="n">
        <v>337.3</v>
      </c>
    </row>
    <row r="92">
      <c r="A92" s="9" t="n">
        <v>46128</v>
      </c>
      <c r="B92" s="23">
        <f>B100</f>
        <v/>
      </c>
      <c r="C92" t="n">
        <v>338.15</v>
      </c>
    </row>
    <row r="93">
      <c r="A93" s="9" t="n">
        <v>46129</v>
      </c>
      <c r="B93" s="23">
        <f>B92</f>
        <v/>
      </c>
      <c r="C93" t="n">
        <v>336.05</v>
      </c>
    </row>
    <row r="94">
      <c r="A94" s="9" t="n">
        <v>46132</v>
      </c>
      <c r="B94" s="23">
        <f>B93</f>
        <v/>
      </c>
      <c r="C94" t="n">
        <v>336.65</v>
      </c>
    </row>
    <row r="95">
      <c r="A95" s="9" t="n">
        <v>46134</v>
      </c>
      <c r="B95" s="23">
        <f>B94</f>
        <v/>
      </c>
      <c r="C95" t="n">
        <v>339.35</v>
      </c>
    </row>
    <row r="96">
      <c r="A96" s="9" t="n">
        <v>46135</v>
      </c>
      <c r="B96" s="23">
        <f>B95</f>
        <v/>
      </c>
      <c r="C96" t="n">
        <v>339.3</v>
      </c>
    </row>
    <row r="97">
      <c r="A97" s="9" t="n">
        <v>46136</v>
      </c>
      <c r="B97" s="23">
        <f>B96</f>
        <v/>
      </c>
      <c r="C97" t="n">
        <v>342.4</v>
      </c>
    </row>
    <row r="98">
      <c r="A98" s="9" t="n">
        <v>46139</v>
      </c>
      <c r="B98" s="23">
        <f>B97</f>
        <v/>
      </c>
      <c r="C98" t="n">
        <v>340.55</v>
      </c>
    </row>
    <row r="99">
      <c r="A99" s="9" t="n">
        <v>46140</v>
      </c>
      <c r="B99" s="23">
        <f>B98</f>
        <v/>
      </c>
      <c r="C99" t="n">
        <v>337.35</v>
      </c>
    </row>
    <row r="100">
      <c r="A100" s="9" t="n">
        <v>46141</v>
      </c>
      <c r="B100" s="23">
        <f>B99</f>
        <v/>
      </c>
      <c r="C100" t="n">
        <v>334.8</v>
      </c>
    </row>
    <row r="101">
      <c r="A101" s="9" t="n">
        <v>46142</v>
      </c>
      <c r="B101" s="23">
        <f>B100</f>
        <v/>
      </c>
      <c r="C101" t="n">
        <v>334.8</v>
      </c>
    </row>
    <row r="102">
      <c r="A102" s="9" t="n">
        <v>46146</v>
      </c>
      <c r="B102" s="23">
        <f>B101</f>
        <v/>
      </c>
      <c r="C102" t="n">
        <v>340.95</v>
      </c>
    </row>
    <row r="103">
      <c r="A103" s="9" t="n">
        <v>46147</v>
      </c>
      <c r="B103" s="23">
        <f>B102</f>
        <v/>
      </c>
      <c r="C103" t="n">
        <v>336.85</v>
      </c>
    </row>
    <row r="104">
      <c r="A104" s="9" t="n">
        <v>46148</v>
      </c>
      <c r="B104" s="23">
        <f>B103</f>
        <v/>
      </c>
      <c r="C104" t="n">
        <v>337.25</v>
      </c>
    </row>
    <row r="105">
      <c r="A105" s="9" t="n">
        <v>46149</v>
      </c>
      <c r="B105" s="23">
        <f>B104</f>
        <v/>
      </c>
      <c r="C105" t="n">
        <v>337.75</v>
      </c>
    </row>
    <row r="106">
      <c r="A106" s="9" t="n">
        <v>46150</v>
      </c>
      <c r="B106" s="23">
        <f>B105</f>
        <v/>
      </c>
      <c r="C106" t="n">
        <v>337.35</v>
      </c>
    </row>
    <row r="107">
      <c r="A107" s="9" t="n">
        <v>46153</v>
      </c>
      <c r="B107" s="23">
        <f>B106</f>
        <v/>
      </c>
      <c r="C107" t="n">
        <v>342.45</v>
      </c>
    </row>
    <row r="108">
      <c r="A108" s="9" t="n">
        <v>46154</v>
      </c>
      <c r="B108" s="23">
        <f>B107</f>
        <v/>
      </c>
      <c r="C108" t="n">
        <v>340.8</v>
      </c>
    </row>
    <row r="109">
      <c r="A109" s="9" t="n">
        <v>46155</v>
      </c>
      <c r="B109" s="23">
        <f>B108</f>
        <v/>
      </c>
      <c r="C109" t="n">
        <v>339</v>
      </c>
    </row>
    <row r="110">
      <c r="A110" s="9" t="n">
        <v>46156</v>
      </c>
      <c r="B110" s="23">
        <f>B109</f>
        <v/>
      </c>
      <c r="C110" t="n">
        <v>340.85</v>
      </c>
    </row>
    <row r="111">
      <c r="A111" s="9" t="n">
        <v>46157</v>
      </c>
      <c r="B111" s="23">
        <f>B110</f>
        <v/>
      </c>
      <c r="C111" t="n">
        <v>338.1</v>
      </c>
    </row>
    <row r="112">
      <c r="A112" s="9" t="n">
        <v>46160</v>
      </c>
      <c r="B112" s="23">
        <f>B111</f>
        <v/>
      </c>
      <c r="C112" t="n">
        <v>338.9</v>
      </c>
    </row>
    <row r="113">
      <c r="A113" s="9" t="n">
        <v>46161</v>
      </c>
      <c r="B113" s="23">
        <f>B112</f>
        <v/>
      </c>
      <c r="C113" t="n">
        <v>344.85</v>
      </c>
    </row>
    <row r="114">
      <c r="A114" s="9" t="n">
        <v>46162</v>
      </c>
      <c r="B114" s="23">
        <f>B113</f>
        <v/>
      </c>
      <c r="C114" t="n">
        <v>344.5</v>
      </c>
    </row>
    <row r="115">
      <c r="A115" s="27" t="n">
        <v>46163</v>
      </c>
      <c r="B115" s="23">
        <f>B114</f>
        <v/>
      </c>
      <c r="C115" t="n">
        <v>344.25</v>
      </c>
    </row>
    <row r="116">
      <c r="A116" s="27" t="n">
        <v>46164</v>
      </c>
      <c r="B116" s="23">
        <f>B115</f>
        <v/>
      </c>
      <c r="C116" t="n">
        <v>345.15</v>
      </c>
    </row>
    <row r="117">
      <c r="A117" s="27" t="n">
        <v>46167</v>
      </c>
      <c r="B117" s="23">
        <f>B116</f>
        <v/>
      </c>
      <c r="C117" t="n">
        <v>346.1</v>
      </c>
    </row>
    <row r="118">
      <c r="A118" s="27" t="n">
        <v>46168</v>
      </c>
      <c r="B118" s="23">
        <f>B117</f>
        <v/>
      </c>
      <c r="C118" t="n">
        <v>344.55</v>
      </c>
    </row>
    <row r="119">
      <c r="A119" s="27" t="n">
        <v>46169</v>
      </c>
      <c r="B119" s="23">
        <f>B118</f>
        <v/>
      </c>
      <c r="C119" t="n">
        <v>345.05</v>
      </c>
    </row>
    <row r="120">
      <c r="A120" s="27" t="n">
        <v>46170</v>
      </c>
      <c r="B120" s="23">
        <f>B119</f>
        <v/>
      </c>
      <c r="C120" t="n">
        <v>343.95</v>
      </c>
    </row>
    <row r="121">
      <c r="A121" s="27" t="n">
        <v>46171</v>
      </c>
      <c r="B121" s="23">
        <f>B120</f>
        <v/>
      </c>
      <c r="C121" t="n">
        <v>338.2</v>
      </c>
    </row>
    <row r="122">
      <c r="A122" s="27" t="n">
        <v>46174</v>
      </c>
      <c r="B122" s="23">
        <f>B121</f>
        <v/>
      </c>
      <c r="C122" t="n">
        <v>340.25</v>
      </c>
    </row>
    <row r="123">
      <c r="A123" s="27" t="n">
        <v>46175</v>
      </c>
      <c r="B123" s="23">
        <f>B122</f>
        <v/>
      </c>
      <c r="C123" t="n">
        <v>343.6</v>
      </c>
    </row>
    <row r="124">
      <c r="A124" s="27" t="n">
        <v>46176</v>
      </c>
      <c r="B124" s="23">
        <f>B123</f>
        <v/>
      </c>
      <c r="C124" t="n">
        <v>342.85</v>
      </c>
    </row>
    <row r="125">
      <c r="A125" s="27" t="n">
        <v>46178</v>
      </c>
      <c r="B125" s="23">
        <f>B124</f>
        <v/>
      </c>
      <c r="C125" t="n">
        <v>342.65</v>
      </c>
    </row>
    <row r="126">
      <c r="A126" s="27" t="n">
        <v>46181</v>
      </c>
      <c r="B126" s="23">
        <f>B125</f>
        <v/>
      </c>
      <c r="C126" t="n">
        <v>341.45</v>
      </c>
    </row>
    <row r="127">
      <c r="A127" s="27" t="n">
        <v>46182</v>
      </c>
      <c r="B127" s="23">
        <f>B126</f>
        <v/>
      </c>
      <c r="C127" t="n">
        <v>338</v>
      </c>
    </row>
    <row r="128">
      <c r="A128" s="27" t="n">
        <v>46183</v>
      </c>
      <c r="B128" s="23">
        <f>B127</f>
        <v/>
      </c>
      <c r="C128" t="n">
        <v>335.7</v>
      </c>
    </row>
    <row r="129">
      <c r="A129" s="27" t="n">
        <v>46184</v>
      </c>
      <c r="B129" s="23">
        <f>B128</f>
        <v/>
      </c>
      <c r="C129" t="n">
        <v>337.6</v>
      </c>
    </row>
    <row r="130">
      <c r="A130" s="27" t="n">
        <v>46185</v>
      </c>
      <c r="B130" s="23">
        <f>B129</f>
        <v/>
      </c>
      <c r="C130" t="n">
        <v>337.2</v>
      </c>
    </row>
    <row r="131">
      <c r="A131" s="27" t="n">
        <v>46188</v>
      </c>
      <c r="B131" s="23">
        <f>B130</f>
        <v/>
      </c>
      <c r="C131" t="n">
        <v>334.95</v>
      </c>
    </row>
    <row r="132">
      <c r="A132" s="27" t="n">
        <v>46189</v>
      </c>
      <c r="B132" s="23">
        <f>B131</f>
        <v/>
      </c>
      <c r="C132" t="n">
        <v>336.75</v>
      </c>
    </row>
    <row r="133">
      <c r="A133" s="27" t="n">
        <v>46190</v>
      </c>
      <c r="B133" s="23">
        <f>B132</f>
        <v/>
      </c>
      <c r="C133" t="n">
        <v>334.1</v>
      </c>
    </row>
    <row r="134">
      <c r="A134" s="27" t="n">
        <v>46191</v>
      </c>
      <c r="B134" s="23">
        <f>B133</f>
        <v/>
      </c>
      <c r="C134" t="n">
        <v>335.35</v>
      </c>
    </row>
    <row r="135">
      <c r="A135" s="27" t="n">
        <v>46192</v>
      </c>
      <c r="B135" s="23">
        <f>B134</f>
        <v/>
      </c>
      <c r="C135" t="n">
        <v>335.6</v>
      </c>
    </row>
    <row r="136">
      <c r="A136" s="27" t="n">
        <v>46195</v>
      </c>
      <c r="B136" s="23">
        <f>B135</f>
        <v/>
      </c>
      <c r="C136" t="n">
        <v>339.7</v>
      </c>
    </row>
    <row r="137">
      <c r="A137" s="27" t="n">
        <v>46196</v>
      </c>
      <c r="B137" s="23">
        <f>B136</f>
        <v/>
      </c>
      <c r="C137" t="n">
        <v>338.05</v>
      </c>
    </row>
    <row r="138">
      <c r="A138" s="27" t="n">
        <v>46197</v>
      </c>
      <c r="B138" s="23">
        <f>B137</f>
        <v/>
      </c>
      <c r="C138" t="n">
        <v>334.8</v>
      </c>
    </row>
    <row r="139">
      <c r="A139" s="27" t="n">
        <v>46198</v>
      </c>
      <c r="B139" s="23">
        <f>B138</f>
        <v/>
      </c>
      <c r="C139" t="n">
        <v>335.95</v>
      </c>
    </row>
    <row r="140">
      <c r="A140" s="80" t="n">
        <v>46199</v>
      </c>
      <c r="B140" s="23">
        <f>B139</f>
        <v/>
      </c>
      <c r="C140" t="n">
        <v>336.1</v>
      </c>
    </row>
    <row r="141">
      <c r="B141" s="23">
        <f>B149</f>
        <v/>
      </c>
    </row>
    <row r="142">
      <c r="B142" s="23">
        <f>B150</f>
        <v/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100" zoomScale="90" zoomScaleNormal="90" workbookViewId="0">
      <selection activeCell="A50" sqref="A50:XFD50"/>
    </sheetView>
  </sheetViews>
  <sheetFormatPr baseColWidth="8" defaultRowHeight="15"/>
  <cols>
    <col width="12.5703125" bestFit="1" customWidth="1" style="2" min="1" max="1"/>
    <col width="9.140625" customWidth="1" style="1" min="2" max="25"/>
    <col width="9.140625" customWidth="1" style="1" min="2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7" t="n">
        <v>46195</v>
      </c>
      <c r="B115" s="1">
        <f>B114</f>
        <v/>
      </c>
      <c r="C115" t="n">
        <v>342.9</v>
      </c>
    </row>
    <row r="116">
      <c r="A116" s="27" t="n">
        <v>46196</v>
      </c>
      <c r="B116" s="1">
        <f>B115</f>
        <v/>
      </c>
      <c r="C116" t="n">
        <v>340.3</v>
      </c>
    </row>
    <row r="117">
      <c r="A117" s="27" t="n">
        <v>46197</v>
      </c>
      <c r="B117" s="1">
        <f>B116</f>
        <v/>
      </c>
      <c r="C117" t="n">
        <v>338</v>
      </c>
    </row>
    <row r="118">
      <c r="A118" s="27" t="n">
        <v>46198</v>
      </c>
      <c r="B118" s="1">
        <f>B117</f>
        <v/>
      </c>
      <c r="C118" t="n">
        <v>338.3</v>
      </c>
    </row>
    <row r="119">
      <c r="A119" s="80" t="n">
        <v>46199</v>
      </c>
      <c r="B119" s="1">
        <f>B118</f>
        <v/>
      </c>
      <c r="C119" t="n">
        <v>337.5</v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/>
  <cols>
    <col width="12.5703125" bestFit="1" customWidth="1" style="2" min="1" max="1"/>
    <col width="9.140625" customWidth="1" style="1" min="2" max="25"/>
    <col width="9.140625" customWidth="1" style="1" min="2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7" t="n">
        <v>46189</v>
      </c>
      <c r="B112" s="1">
        <f>B111</f>
        <v/>
      </c>
      <c r="C112" t="n">
        <v>347.8</v>
      </c>
    </row>
    <row r="113">
      <c r="A113" s="27" t="n">
        <v>46190</v>
      </c>
      <c r="B113" s="1">
        <f>B112</f>
        <v/>
      </c>
      <c r="C113" t="n">
        <v>345.95</v>
      </c>
    </row>
    <row r="114">
      <c r="A114" s="27" t="n">
        <v>46191</v>
      </c>
      <c r="B114" s="1">
        <f>B113</f>
        <v/>
      </c>
      <c r="C114" t="n">
        <v>346.9</v>
      </c>
    </row>
    <row r="115">
      <c r="A115" s="27" t="n">
        <v>46192</v>
      </c>
      <c r="B115" s="1">
        <f>B114</f>
        <v/>
      </c>
      <c r="C115" t="n">
        <v>348</v>
      </c>
    </row>
    <row r="116">
      <c r="A116" s="27" t="n">
        <v>46195</v>
      </c>
      <c r="B116" s="1">
        <f>B115</f>
        <v/>
      </c>
      <c r="C116" t="n">
        <v>351.8</v>
      </c>
    </row>
    <row r="117">
      <c r="A117" s="27" t="n">
        <v>46196</v>
      </c>
      <c r="B117" s="1">
        <f>B116</f>
        <v/>
      </c>
      <c r="C117" t="n">
        <v>349.05</v>
      </c>
    </row>
    <row r="118">
      <c r="A118" s="27" t="n">
        <v>46197</v>
      </c>
      <c r="B118" s="1">
        <f>B117</f>
        <v/>
      </c>
      <c r="C118" t="n">
        <v>347.2</v>
      </c>
    </row>
    <row r="119">
      <c r="A119" s="27" t="n">
        <v>46198</v>
      </c>
      <c r="B119" s="1">
        <f>B118</f>
        <v/>
      </c>
      <c r="C119" t="n">
        <v>345.55</v>
      </c>
    </row>
    <row r="120">
      <c r="A120" s="80" t="n">
        <v>46199</v>
      </c>
      <c r="B120" s="1">
        <f>B119</f>
        <v/>
      </c>
      <c r="C120" t="n">
        <v>345.1</v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7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>
        <f>IF('S.H BOI GORDO'!A7198=""," ",'S.H BOI GORDO'!A7198)</f>
        <v/>
      </c>
      <c r="B87" s="1">
        <f>B96</f>
        <v/>
      </c>
    </row>
    <row r="88">
      <c r="A88" s="9">
        <f>IF('S.H BOI GORDO'!A7199=""," ",'S.H BOI GORDO'!A7199)</f>
        <v/>
      </c>
      <c r="B88" s="1">
        <f>B97</f>
        <v/>
      </c>
    </row>
    <row r="89">
      <c r="A89" s="9">
        <f>IF('S.H BOI GORDO'!A7200=""," ",'S.H BOI GORDO'!A7200)</f>
        <v/>
      </c>
      <c r="B89" s="1">
        <f>B98</f>
        <v/>
      </c>
    </row>
    <row r="90">
      <c r="A90" s="9">
        <f>IF('S.H BOI GORDO'!A7201=""," ",'S.H BOI GORDO'!A7201)</f>
        <v/>
      </c>
      <c r="B90" s="1">
        <f>B99</f>
        <v/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/>
      <c r="B82" s="1">
        <f>B90</f>
        <v/>
      </c>
    </row>
    <row r="83">
      <c r="A83" s="9">
        <f>IF('S.H BOI GORDO'!A7191=""," ",'S.H BOI GORDO'!A7191)</f>
        <v/>
      </c>
      <c r="B83" s="1">
        <f>B91</f>
        <v/>
      </c>
    </row>
    <row r="84">
      <c r="A84" s="9">
        <f>IF('S.H BOI GORDO'!A7192=""," ",'S.H BOI GORDO'!A7192)</f>
        <v/>
      </c>
      <c r="B84" s="1">
        <f>B92</f>
        <v/>
      </c>
    </row>
    <row r="85">
      <c r="A85" s="9">
        <f>IF('S.H BOI GORDO'!A7193=""," ",'S.H BOI GORDO'!A7193)</f>
        <v/>
      </c>
      <c r="B85" s="1">
        <f>B93</f>
        <v/>
      </c>
    </row>
    <row r="86">
      <c r="A86" s="9">
        <f>IF('S.H BOI GORDO'!A7194=""," ",'S.H BOI GORDO'!A7194)</f>
        <v/>
      </c>
      <c r="B86" s="1">
        <f>B94</f>
        <v/>
      </c>
    </row>
    <row r="87">
      <c r="A87" s="9">
        <f>IF('S.H BOI GORDO'!A7195=""," ",'S.H BOI GORDO'!A7195)</f>
        <v/>
      </c>
      <c r="B87" s="1">
        <f>B95</f>
        <v/>
      </c>
    </row>
    <row r="88">
      <c r="A88" s="9">
        <f>IF('S.H BOI GORDO'!A7196=""," ",'S.H BOI GORDO'!A7196)</f>
        <v/>
      </c>
      <c r="B88" s="1">
        <f>B96</f>
        <v/>
      </c>
    </row>
    <row r="89">
      <c r="A89" s="9">
        <f>IF('S.H BOI GORDO'!A7197=""," ",'S.H BOI GORDO'!A7197)</f>
        <v/>
      </c>
      <c r="B89" s="1">
        <f>B97</f>
        <v/>
      </c>
    </row>
    <row r="90">
      <c r="A90" s="9">
        <f>IF('S.H BOI GORDO'!A7198=""," ",'S.H BOI GORDO'!A7198)</f>
        <v/>
      </c>
      <c r="B90" s="1">
        <f>B98</f>
        <v/>
      </c>
    </row>
    <row r="91">
      <c r="A91" s="9">
        <f>IF('S.H BOI GORDO'!A7199=""," ",'S.H BOI GORDO'!A7199)</f>
        <v/>
      </c>
      <c r="B91" s="1">
        <f>B99</f>
        <v/>
      </c>
    </row>
    <row r="92">
      <c r="A92" s="9">
        <f>IF('S.H BOI GORDO'!A7200=""," ",'S.H BOI GORDO'!A7200)</f>
        <v/>
      </c>
      <c r="B92" s="1">
        <f>B100</f>
        <v/>
      </c>
    </row>
    <row r="93">
      <c r="A93" s="9">
        <f>IF('S.H BOI GORDO'!A7201=""," ",'S.H BOI GORDO'!A7201)</f>
        <v/>
      </c>
      <c r="B93" s="1">
        <f>B101</f>
        <v/>
      </c>
    </row>
    <row r="94">
      <c r="A94" s="9">
        <f>IF('S.H BOI GORDO'!A7202=""," ",'S.H BOI GORDO'!A7202)</f>
        <v/>
      </c>
      <c r="B94" s="1">
        <f>B102</f>
        <v/>
      </c>
    </row>
    <row r="95">
      <c r="A95" s="9">
        <f>IF('S.H BOI GORDO'!A7203=""," ",'S.H BOI GORDO'!A7203)</f>
        <v/>
      </c>
      <c r="B95" s="1">
        <f>B103</f>
        <v/>
      </c>
    </row>
    <row r="96">
      <c r="A96" s="9">
        <f>IF('S.H BOI GORDO'!A7204=""," ",'S.H BOI GORDO'!A7204)</f>
        <v/>
      </c>
      <c r="B96" s="1">
        <f>B104</f>
        <v/>
      </c>
    </row>
    <row r="97">
      <c r="A97" s="9">
        <f>IF('S.H BOI GORDO'!A7205=""," ",'S.H BOI GORDO'!A7205)</f>
        <v/>
      </c>
      <c r="B97" s="1">
        <f>B105</f>
        <v/>
      </c>
    </row>
    <row r="98">
      <c r="A98" s="9">
        <f>IF('S.H BOI GORDO'!A7206=""," ",'S.H BOI GORDO'!A7206)</f>
        <v/>
      </c>
      <c r="B98" s="1">
        <f>B106</f>
        <v/>
      </c>
    </row>
    <row r="99">
      <c r="A99" s="9">
        <f>IF('S.H BOI GORDO'!A7207=""," ",'S.H BOI GORDO'!A7207)</f>
        <v/>
      </c>
      <c r="B99" s="1">
        <f>B107</f>
        <v/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>
        <f>IF('S.H BOI GORDO'!A7195=""," ",'S.H BOI GORDO'!A7195)</f>
        <v/>
      </c>
      <c r="B84" s="1">
        <f>B93</f>
        <v/>
      </c>
    </row>
    <row r="85">
      <c r="A85" s="9">
        <f>IF('S.H BOI GORDO'!A7196=""," ",'S.H BOI GORDO'!A7196)</f>
        <v/>
      </c>
      <c r="B85" s="1">
        <f>B94</f>
        <v/>
      </c>
    </row>
    <row r="86">
      <c r="A86" s="9">
        <f>IF('S.H BOI GORDO'!A7197=""," ",'S.H BOI GORDO'!A7197)</f>
        <v/>
      </c>
      <c r="B86" s="1">
        <f>B95</f>
        <v/>
      </c>
    </row>
    <row r="87">
      <c r="A87" s="9">
        <f>IF('S.H BOI GORDO'!A7198=""," ",'S.H BOI GORDO'!A7198)</f>
        <v/>
      </c>
      <c r="B87" s="1">
        <f>B96</f>
        <v/>
      </c>
    </row>
    <row r="88">
      <c r="A88" s="9">
        <f>IF('S.H BOI GORDO'!A7199=""," ",'S.H BOI GORDO'!A7199)</f>
        <v/>
      </c>
      <c r="B88" s="1">
        <f>B97</f>
        <v/>
      </c>
    </row>
    <row r="89">
      <c r="A89" s="9">
        <f>IF('S.H BOI GORDO'!A7200=""," ",'S.H BOI GORDO'!A7200)</f>
        <v/>
      </c>
      <c r="B89" s="1">
        <f>B98</f>
        <v/>
      </c>
    </row>
    <row r="90">
      <c r="A90" s="9">
        <f>IF('S.H BOI GORDO'!A7201=""," ",'S.H BOI GORDO'!A7201)</f>
        <v/>
      </c>
      <c r="B90" s="1">
        <f>B99</f>
        <v/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>
        <f>IF('S.H BOI GORDO'!A7195=""," ",'S.H BOI GORDO'!A7195)</f>
        <v/>
      </c>
      <c r="B84" s="1">
        <f>B93</f>
        <v/>
      </c>
    </row>
    <row r="85">
      <c r="A85" s="9">
        <f>IF('S.H BOI GORDO'!A7196=""," ",'S.H BOI GORDO'!A7196)</f>
        <v/>
      </c>
      <c r="B85" s="1">
        <f>B94</f>
        <v/>
      </c>
    </row>
    <row r="86">
      <c r="A86" s="9">
        <f>IF('S.H BOI GORDO'!A7197=""," ",'S.H BOI GORDO'!A7197)</f>
        <v/>
      </c>
      <c r="B86" s="1">
        <f>B95</f>
        <v/>
      </c>
    </row>
    <row r="87">
      <c r="A87" s="9">
        <f>IF('S.H BOI GORDO'!A7198=""," ",'S.H BOI GORDO'!A7198)</f>
        <v/>
      </c>
      <c r="B87" s="1">
        <f>B96</f>
        <v/>
      </c>
    </row>
    <row r="88">
      <c r="A88" s="9">
        <f>IF('S.H BOI GORDO'!A7199=""," ",'S.H BOI GORDO'!A7199)</f>
        <v/>
      </c>
      <c r="B88" s="1">
        <f>B97</f>
        <v/>
      </c>
    </row>
    <row r="89">
      <c r="A89" s="9">
        <f>IF('S.H BOI GORDO'!A7200=""," ",'S.H BOI GORDO'!A7200)</f>
        <v/>
      </c>
      <c r="B89" s="1">
        <f>B98</f>
        <v/>
      </c>
    </row>
    <row r="90">
      <c r="A90" s="9">
        <f>IF('S.H BOI GORDO'!A7201=""," ",'S.H BOI GORDO'!A7201)</f>
        <v/>
      </c>
      <c r="B90" s="1">
        <f>B99</f>
        <v/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>
        <f>IF('S.H BOI GORDO'!A7195=""," ",'S.H BOI GORDO'!A7195)</f>
        <v/>
      </c>
      <c r="B84" s="1">
        <f>B83</f>
        <v/>
      </c>
    </row>
    <row r="85">
      <c r="A85" s="9">
        <f>IF('S.H BOI GORDO'!A7196=""," ",'S.H BOI GORDO'!A7196)</f>
        <v/>
      </c>
      <c r="B85" s="1">
        <f>B84</f>
        <v/>
      </c>
    </row>
    <row r="86">
      <c r="A86" s="9">
        <f>IF('S.H BOI GORDO'!A7197=""," ",'S.H BOI GORDO'!A7197)</f>
        <v/>
      </c>
      <c r="B86" s="1">
        <f>B85</f>
        <v/>
      </c>
    </row>
    <row r="87">
      <c r="A87" s="9">
        <f>IF('S.H BOI GORDO'!A7198=""," ",'S.H BOI GORDO'!A7198)</f>
        <v/>
      </c>
      <c r="B87" s="1">
        <f>B86</f>
        <v/>
      </c>
    </row>
    <row r="88">
      <c r="A88" s="9">
        <f>IF('S.H BOI GORDO'!A7199=""," ",'S.H BOI GORDO'!A7199)</f>
        <v/>
      </c>
      <c r="B88" s="1">
        <f>B87</f>
        <v/>
      </c>
    </row>
    <row r="89">
      <c r="A89" s="9">
        <f>IF('S.H BOI GORDO'!A7200=""," ",'S.H BOI GORDO'!A7200)</f>
        <v/>
      </c>
      <c r="B89" s="1">
        <f>B88</f>
        <v/>
      </c>
    </row>
    <row r="90">
      <c r="A90" s="9">
        <f>IF('S.H BOI GORDO'!A7201=""," ",'S.H BOI GORDO'!A7201)</f>
        <v/>
      </c>
      <c r="B90" s="1">
        <f>B89</f>
        <v/>
      </c>
    </row>
    <row r="91">
      <c r="A91" s="9">
        <f>IF('S.H BOI GORDO'!A7202=""," ",'S.H BOI GORDO'!A7202)</f>
        <v/>
      </c>
      <c r="B91" s="1">
        <f>B90</f>
        <v/>
      </c>
    </row>
    <row r="92">
      <c r="A92" s="9">
        <f>IF('S.H BOI GORDO'!A7203=""," ",'S.H BOI GORDO'!A7203)</f>
        <v/>
      </c>
      <c r="B92" s="1">
        <f>B91</f>
        <v/>
      </c>
    </row>
    <row r="93">
      <c r="A93" s="9">
        <f>IF('S.H BOI GORDO'!A7204=""," ",'S.H BOI GORDO'!A7204)</f>
        <v/>
      </c>
      <c r="B93" s="1">
        <f>B92</f>
        <v/>
      </c>
    </row>
    <row r="94">
      <c r="A94" s="9">
        <f>IF('S.H BOI GORDO'!A7205=""," ",'S.H BOI GORDO'!A7205)</f>
        <v/>
      </c>
      <c r="B94" s="1">
        <f>B93</f>
        <v/>
      </c>
    </row>
    <row r="95">
      <c r="A95" s="9">
        <f>IF('S.H BOI GORDO'!A7206=""," ",'S.H BOI GORDO'!A7206)</f>
        <v/>
      </c>
      <c r="B95" s="1">
        <f>B94</f>
        <v/>
      </c>
    </row>
    <row r="96">
      <c r="A96" s="9">
        <f>IF('S.H BOI GORDO'!A7207=""," ",'S.H BOI GORDO'!A7207)</f>
        <v/>
      </c>
      <c r="B96" s="1">
        <f>B95</f>
        <v/>
      </c>
    </row>
    <row r="97">
      <c r="A97" s="9">
        <f>IF('S.H BOI GORDO'!A7208=""," ",'S.H BOI GORDO'!A7208)</f>
        <v/>
      </c>
      <c r="B97" s="1">
        <f>B96</f>
        <v/>
      </c>
    </row>
    <row r="98">
      <c r="A98" s="9">
        <f>IF('S.H BOI GORDO'!A7209=""," ",'S.H BOI GORDO'!A7209)</f>
        <v/>
      </c>
      <c r="B98" s="1">
        <f>B97</f>
        <v/>
      </c>
    </row>
    <row r="99">
      <c r="A99" s="9">
        <f>IF('S.H BOI GORDO'!A7210=""," ",'S.H BOI GORDO'!A7210)</f>
        <v/>
      </c>
      <c r="B99" s="1">
        <f>B98</f>
        <v/>
      </c>
    </row>
    <row r="100">
      <c r="A100" s="9">
        <f>IF('S.H BOI GORDO'!A7211=""," ",'S.H BOI GORDO'!A7211)</f>
        <v/>
      </c>
      <c r="B100" s="1">
        <f>B99</f>
        <v/>
      </c>
    </row>
    <row r="101">
      <c r="A101" s="9">
        <f>IF('S.H BOI GORDO'!A7212=""," ",'S.H BOI GORDO'!A7212)</f>
        <v/>
      </c>
      <c r="B101" s="1">
        <f>B100</f>
        <v/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/>
  <cols>
    <col width="12.5703125" bestFit="1" customWidth="1" style="2" min="1" max="1"/>
    <col width="9.140625" customWidth="1" style="1" min="2" max="25"/>
    <col width="9.140625" customWidth="1" style="1" min="2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/>
  <cols>
    <col width="18.28515625" bestFit="1" customWidth="1" style="2" min="1" max="1"/>
    <col width="9.140625" customWidth="1" style="1" min="2" max="25"/>
    <col width="9.140625" customWidth="1" style="1" min="2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7" t="n">
        <v>46094</v>
      </c>
      <c r="B178" s="1">
        <f>B177</f>
        <v/>
      </c>
      <c r="C178" t="n">
        <v>75.28</v>
      </c>
    </row>
    <row r="179">
      <c r="A179" s="27" t="n">
        <v>46097</v>
      </c>
      <c r="B179" s="1">
        <f>B178</f>
        <v/>
      </c>
      <c r="C179" t="n">
        <v>72.63</v>
      </c>
    </row>
    <row r="180">
      <c r="A180" s="27" t="n">
        <v>46098</v>
      </c>
      <c r="B180" s="1">
        <f>B179</f>
        <v/>
      </c>
      <c r="C180" t="n">
        <v>72.06999999999999</v>
      </c>
    </row>
    <row r="181">
      <c r="A181" s="27" t="n">
        <v>46099</v>
      </c>
      <c r="B181" s="1">
        <f>B180</f>
        <v/>
      </c>
      <c r="C181" t="n">
        <v>72.34</v>
      </c>
    </row>
    <row r="182">
      <c r="A182" s="27" t="n">
        <v>46100</v>
      </c>
      <c r="B182" s="1">
        <f>B181</f>
        <v/>
      </c>
      <c r="C182" t="n">
        <v>71.87</v>
      </c>
    </row>
    <row r="183">
      <c r="A183" s="27" t="n">
        <v>46101</v>
      </c>
      <c r="B183" s="1">
        <f>B182</f>
        <v/>
      </c>
      <c r="C183" t="n">
        <v>71.98</v>
      </c>
    </row>
    <row r="184">
      <c r="A184" s="27" t="n">
        <v>46104</v>
      </c>
      <c r="B184" s="1">
        <f>B183</f>
        <v/>
      </c>
      <c r="C184" t="n">
        <v>71.98</v>
      </c>
    </row>
    <row r="185">
      <c r="A185" s="27" t="n">
        <v>46105</v>
      </c>
      <c r="B185" s="1">
        <f>B184</f>
        <v/>
      </c>
      <c r="C185" t="n">
        <v>72.04000000000001</v>
      </c>
    </row>
    <row r="186">
      <c r="A186" s="27" t="n">
        <v>46106</v>
      </c>
      <c r="B186" s="1">
        <f>B185</f>
        <v/>
      </c>
      <c r="C186" t="n">
        <v>72.04000000000001</v>
      </c>
    </row>
    <row r="187">
      <c r="A187" s="27" t="n">
        <v>46107</v>
      </c>
      <c r="B187" s="1">
        <f>B186</f>
        <v/>
      </c>
      <c r="C187" t="n">
        <v>72.02</v>
      </c>
    </row>
    <row r="188">
      <c r="A188" s="27" t="n">
        <v>46108</v>
      </c>
      <c r="B188" s="1">
        <f>B187</f>
        <v/>
      </c>
      <c r="C188" t="n">
        <v>72.17</v>
      </c>
    </row>
    <row r="189">
      <c r="A189" s="27" t="n">
        <v>46111</v>
      </c>
      <c r="B189" s="1">
        <f>B188</f>
        <v/>
      </c>
      <c r="C189" t="n">
        <v>73.53</v>
      </c>
    </row>
    <row r="190">
      <c r="A190" s="27" t="n">
        <v>46112</v>
      </c>
      <c r="B190" s="1">
        <f>B189</f>
        <v/>
      </c>
      <c r="C190" t="n">
        <v>72.93000000000001</v>
      </c>
    </row>
    <row r="191">
      <c r="A191" s="27" t="n">
        <v>46113</v>
      </c>
      <c r="B191" s="1">
        <f>B200</f>
        <v/>
      </c>
      <c r="C191" t="n">
        <v>71.36</v>
      </c>
    </row>
    <row r="192">
      <c r="A192" s="27" t="n">
        <v>46114</v>
      </c>
      <c r="B192" s="1">
        <f>B201</f>
        <v/>
      </c>
      <c r="C192" t="n">
        <v>71.70999999999999</v>
      </c>
    </row>
    <row r="193">
      <c r="A193" s="27" t="n">
        <v>46118</v>
      </c>
      <c r="B193" s="1">
        <f>B202</f>
        <v/>
      </c>
      <c r="C193" t="n">
        <v>71.02</v>
      </c>
    </row>
    <row r="194">
      <c r="A194" s="27" t="n">
        <v>46119</v>
      </c>
      <c r="B194" s="1">
        <f>B203</f>
        <v/>
      </c>
      <c r="C194" t="n">
        <v>70.13</v>
      </c>
    </row>
    <row r="195">
      <c r="A195" s="27" t="n">
        <v>46120</v>
      </c>
      <c r="B195" s="1">
        <f>B204</f>
        <v/>
      </c>
      <c r="C195" t="n">
        <v>69.25</v>
      </c>
    </row>
    <row r="196">
      <c r="A196" s="27" t="n">
        <v>46121</v>
      </c>
      <c r="B196" s="1">
        <f>B205</f>
        <v/>
      </c>
      <c r="C196" t="n">
        <v>68.64</v>
      </c>
    </row>
    <row r="197">
      <c r="A197" s="27" t="n">
        <v>46122</v>
      </c>
      <c r="B197" s="1">
        <f>B206</f>
        <v/>
      </c>
      <c r="C197" t="n">
        <v>68.25</v>
      </c>
    </row>
    <row r="198">
      <c r="A198" s="27" t="n">
        <v>46125</v>
      </c>
      <c r="B198" s="1">
        <f>B207</f>
        <v/>
      </c>
      <c r="C198" t="n">
        <v>67.7</v>
      </c>
    </row>
    <row r="199">
      <c r="A199" s="27" t="n">
        <v>46126</v>
      </c>
      <c r="B199" s="1">
        <f>B208</f>
        <v/>
      </c>
      <c r="C199" t="n">
        <v>67.33</v>
      </c>
    </row>
    <row r="200">
      <c r="A200" s="27" t="n">
        <v>46127</v>
      </c>
      <c r="B200" s="1">
        <f>B209</f>
        <v/>
      </c>
      <c r="C200" t="n">
        <v>66.23</v>
      </c>
    </row>
    <row r="201">
      <c r="A201" s="27" t="n">
        <v>46128</v>
      </c>
      <c r="B201" s="1">
        <f>B210</f>
        <v/>
      </c>
      <c r="C201" t="n">
        <v>65.89</v>
      </c>
    </row>
    <row r="202">
      <c r="A202" s="27" t="n">
        <v>46129</v>
      </c>
      <c r="B202" s="1">
        <f>B201</f>
        <v/>
      </c>
      <c r="C202" t="n">
        <v>65.66</v>
      </c>
    </row>
    <row r="203">
      <c r="A203" s="27" t="n">
        <v>46132</v>
      </c>
      <c r="B203" s="1">
        <f>B202</f>
        <v/>
      </c>
      <c r="C203" t="n">
        <v>67.48</v>
      </c>
    </row>
    <row r="204">
      <c r="A204" s="27" t="n">
        <v>46134</v>
      </c>
      <c r="B204" s="1">
        <f>B203</f>
        <v/>
      </c>
      <c r="C204" t="n">
        <v>68.95</v>
      </c>
    </row>
    <row r="205">
      <c r="A205" s="27" t="n">
        <v>46135</v>
      </c>
      <c r="B205" s="1">
        <f>B204</f>
        <v/>
      </c>
      <c r="C205" t="n">
        <v>67.94</v>
      </c>
    </row>
    <row r="206">
      <c r="A206" s="27" t="n">
        <v>46136</v>
      </c>
      <c r="B206" s="1">
        <f>B205</f>
        <v/>
      </c>
      <c r="C206" t="n">
        <v>68.42</v>
      </c>
    </row>
    <row r="207">
      <c r="A207" s="27" t="n">
        <v>46139</v>
      </c>
      <c r="B207" s="1">
        <f>B206</f>
        <v/>
      </c>
      <c r="C207" t="n">
        <v>68.92</v>
      </c>
    </row>
    <row r="208">
      <c r="A208" s="27" t="n">
        <v>46140</v>
      </c>
      <c r="B208" s="1">
        <f>B207</f>
        <v/>
      </c>
      <c r="C208" t="n">
        <v>68.26000000000001</v>
      </c>
    </row>
    <row r="209">
      <c r="A209" s="27" t="n">
        <v>46141</v>
      </c>
      <c r="B209" s="1">
        <f>B208</f>
        <v/>
      </c>
      <c r="C209" t="n">
        <v>68.8</v>
      </c>
    </row>
    <row r="210">
      <c r="A210" s="27" t="n">
        <v>46142</v>
      </c>
      <c r="B210" s="1">
        <f>B209</f>
        <v/>
      </c>
      <c r="C210" t="n">
        <v>67.95</v>
      </c>
    </row>
    <row r="211">
      <c r="A211" s="27" t="n">
        <v>46146</v>
      </c>
      <c r="B211" s="1">
        <f>B210</f>
        <v/>
      </c>
      <c r="C211" t="n">
        <v>67.53</v>
      </c>
    </row>
    <row r="212">
      <c r="A212" s="27" t="n">
        <v>46147</v>
      </c>
      <c r="B212" s="1">
        <f>B211</f>
        <v/>
      </c>
      <c r="C212" t="n">
        <v>67.03</v>
      </c>
    </row>
    <row r="213">
      <c r="A213" s="27" t="n">
        <v>46148</v>
      </c>
      <c r="B213" s="1">
        <f>B212</f>
        <v/>
      </c>
      <c r="C213" t="n">
        <v>66.34</v>
      </c>
    </row>
    <row r="214">
      <c r="A214" s="27" t="n">
        <v>46149</v>
      </c>
      <c r="B214" s="1">
        <f>B213</f>
        <v/>
      </c>
      <c r="C214" t="n">
        <v>66.02</v>
      </c>
    </row>
    <row r="215">
      <c r="A215" s="27" t="n">
        <v>46150</v>
      </c>
      <c r="B215" s="1">
        <f>B214</f>
        <v/>
      </c>
      <c r="C215" t="n">
        <v>65.98999999999999</v>
      </c>
    </row>
    <row r="216">
      <c r="A216" s="27" t="n">
        <v>46153</v>
      </c>
      <c r="B216" s="1">
        <f>B215</f>
        <v/>
      </c>
      <c r="C216" t="n">
        <v>65.98</v>
      </c>
    </row>
    <row r="217">
      <c r="A217" s="27" t="n">
        <v>46154</v>
      </c>
      <c r="B217" s="1">
        <f>B216</f>
        <v/>
      </c>
      <c r="C217" t="n">
        <v>65.79000000000001</v>
      </c>
    </row>
    <row r="218">
      <c r="A218" s="27" t="n">
        <v>46155</v>
      </c>
      <c r="B218" s="1">
        <f>B217</f>
        <v/>
      </c>
      <c r="C218" t="n">
        <v>65.23</v>
      </c>
    </row>
    <row r="219">
      <c r="A219" s="27" t="n">
        <v>46156</v>
      </c>
      <c r="B219" s="1">
        <f>B218</f>
        <v/>
      </c>
      <c r="C219" t="n">
        <v>65.22</v>
      </c>
    </row>
    <row r="220">
      <c r="A220" s="27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/>
  <cols>
    <col width="18.285156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7" t="n">
        <v>46094</v>
      </c>
      <c r="B155" s="1">
        <f>B154</f>
        <v/>
      </c>
      <c r="C155" t="n">
        <v>71.58</v>
      </c>
    </row>
    <row r="156">
      <c r="A156" s="27" t="n">
        <v>46097</v>
      </c>
      <c r="B156" s="1">
        <f>B155</f>
        <v/>
      </c>
      <c r="C156" t="n">
        <v>70.44</v>
      </c>
    </row>
    <row r="157">
      <c r="A157" s="27" t="n">
        <v>46098</v>
      </c>
      <c r="B157" s="1">
        <f>B156</f>
        <v/>
      </c>
      <c r="C157" t="n">
        <v>70.34</v>
      </c>
    </row>
    <row r="158">
      <c r="A158" s="27" t="n">
        <v>46099</v>
      </c>
      <c r="B158" s="1">
        <f>B157</f>
        <v/>
      </c>
      <c r="C158" t="n">
        <v>70.83</v>
      </c>
    </row>
    <row r="159">
      <c r="A159" s="27" t="n">
        <v>46100</v>
      </c>
      <c r="B159" s="1">
        <f>B158</f>
        <v/>
      </c>
      <c r="C159" t="n">
        <v>70.59</v>
      </c>
    </row>
    <row r="160">
      <c r="A160" s="27" t="n">
        <v>46101</v>
      </c>
      <c r="B160" s="1">
        <f>B159</f>
        <v/>
      </c>
      <c r="C160" t="n">
        <v>70.95</v>
      </c>
    </row>
    <row r="161">
      <c r="A161" s="27" t="n">
        <v>46104</v>
      </c>
      <c r="B161" s="1">
        <f>B160</f>
        <v/>
      </c>
      <c r="C161" t="n">
        <v>70.89</v>
      </c>
    </row>
    <row r="162">
      <c r="A162" s="27" t="n">
        <v>46105</v>
      </c>
      <c r="B162" s="1">
        <f>B161</f>
        <v/>
      </c>
      <c r="C162" t="n">
        <v>71.11</v>
      </c>
    </row>
    <row r="163">
      <c r="A163" s="27" t="n">
        <v>46106</v>
      </c>
      <c r="B163" s="1">
        <f>B162</f>
        <v/>
      </c>
      <c r="C163" t="n">
        <v>71.23</v>
      </c>
    </row>
    <row r="164">
      <c r="A164" s="27" t="n">
        <v>46107</v>
      </c>
      <c r="B164" s="1">
        <f>B163</f>
        <v/>
      </c>
      <c r="C164" t="n">
        <v>71.01000000000001</v>
      </c>
    </row>
    <row r="165">
      <c r="A165" s="27" t="n">
        <v>46108</v>
      </c>
      <c r="B165" s="1">
        <f>B164</f>
        <v/>
      </c>
      <c r="C165" t="n">
        <v>71.34</v>
      </c>
    </row>
    <row r="166">
      <c r="A166" s="27" t="n">
        <v>46111</v>
      </c>
      <c r="B166" s="1">
        <f>B165</f>
        <v/>
      </c>
      <c r="C166" t="n">
        <v>72.56</v>
      </c>
    </row>
    <row r="167">
      <c r="A167" s="27" t="n">
        <v>46112</v>
      </c>
      <c r="B167" s="1">
        <f>B166</f>
        <v/>
      </c>
      <c r="C167" t="n">
        <v>72.44</v>
      </c>
    </row>
    <row r="168">
      <c r="A168" s="27" t="n">
        <v>46113</v>
      </c>
      <c r="B168" s="1">
        <f>B177</f>
        <v/>
      </c>
      <c r="C168" t="n">
        <v>71.38</v>
      </c>
    </row>
    <row r="169">
      <c r="A169" s="27" t="n">
        <v>46114</v>
      </c>
      <c r="B169" s="1">
        <f>B178</f>
        <v/>
      </c>
      <c r="C169" t="n">
        <v>71.19</v>
      </c>
    </row>
    <row r="170">
      <c r="A170" s="27" t="n">
        <v>46118</v>
      </c>
      <c r="B170" s="1">
        <f>B179</f>
        <v/>
      </c>
      <c r="C170" t="n">
        <v>70.61</v>
      </c>
    </row>
    <row r="171">
      <c r="A171" s="27" t="n">
        <v>46119</v>
      </c>
      <c r="B171" s="1">
        <f>B180</f>
        <v/>
      </c>
      <c r="C171" t="n">
        <v>70.31</v>
      </c>
    </row>
    <row r="172">
      <c r="A172" s="27" t="n">
        <v>46120</v>
      </c>
      <c r="B172" s="1">
        <f>B181</f>
        <v/>
      </c>
      <c r="C172" t="n">
        <v>69.31999999999999</v>
      </c>
    </row>
    <row r="173">
      <c r="A173" s="27" t="n">
        <v>46121</v>
      </c>
      <c r="B173" s="1">
        <f>B182</f>
        <v/>
      </c>
      <c r="C173" t="n">
        <v>69.01000000000001</v>
      </c>
    </row>
    <row r="174">
      <c r="A174" s="27" t="n">
        <v>46122</v>
      </c>
      <c r="B174" s="1">
        <f>B183</f>
        <v/>
      </c>
      <c r="C174" t="n">
        <v>68.61</v>
      </c>
    </row>
    <row r="175">
      <c r="A175" s="27" t="n">
        <v>46125</v>
      </c>
      <c r="B175" s="1">
        <f>B184</f>
        <v/>
      </c>
      <c r="C175" t="n">
        <v>68.34</v>
      </c>
    </row>
    <row r="176">
      <c r="A176" s="27" t="n">
        <v>46126</v>
      </c>
      <c r="B176" s="1">
        <f>B185</f>
        <v/>
      </c>
      <c r="C176" t="n">
        <v>67.73</v>
      </c>
    </row>
    <row r="177">
      <c r="A177" s="27" t="n">
        <v>46127</v>
      </c>
      <c r="B177" s="1">
        <f>B186</f>
        <v/>
      </c>
      <c r="C177" t="n">
        <v>67.17</v>
      </c>
    </row>
    <row r="178">
      <c r="A178" s="27" t="n">
        <v>46128</v>
      </c>
      <c r="B178" s="1">
        <f>B187</f>
        <v/>
      </c>
      <c r="C178" t="n">
        <v>66.87</v>
      </c>
    </row>
    <row r="179">
      <c r="A179" s="27" t="n">
        <v>46129</v>
      </c>
      <c r="B179" s="1">
        <f>B178</f>
        <v/>
      </c>
      <c r="C179" t="n">
        <v>66.87</v>
      </c>
    </row>
    <row r="180">
      <c r="A180" s="27" t="n">
        <v>46132</v>
      </c>
      <c r="B180" s="1">
        <f>B179</f>
        <v/>
      </c>
      <c r="C180" t="n">
        <v>67.92</v>
      </c>
    </row>
    <row r="181">
      <c r="A181" s="27" t="n">
        <v>46134</v>
      </c>
      <c r="B181" s="1">
        <f>B180</f>
        <v/>
      </c>
      <c r="C181" t="n">
        <v>69.69</v>
      </c>
    </row>
    <row r="182">
      <c r="A182" s="27" t="n">
        <v>46135</v>
      </c>
      <c r="B182" s="1">
        <f>B181</f>
        <v/>
      </c>
      <c r="C182" t="n">
        <v>69.09</v>
      </c>
    </row>
    <row r="183">
      <c r="A183" s="27" t="n">
        <v>46136</v>
      </c>
      <c r="B183" s="1">
        <f>B182</f>
        <v/>
      </c>
      <c r="C183" t="n">
        <v>69.13</v>
      </c>
    </row>
    <row r="184">
      <c r="A184" s="27" t="n">
        <v>46139</v>
      </c>
      <c r="B184" s="1">
        <f>B183</f>
        <v/>
      </c>
      <c r="C184" t="n">
        <v>69.69</v>
      </c>
    </row>
    <row r="185">
      <c r="A185" s="27" t="n">
        <v>46140</v>
      </c>
      <c r="B185" s="1">
        <f>B184</f>
        <v/>
      </c>
      <c r="C185" t="n">
        <v>69.79000000000001</v>
      </c>
    </row>
    <row r="186">
      <c r="A186" s="27" t="n">
        <v>46141</v>
      </c>
      <c r="B186" s="1">
        <f>B185</f>
        <v/>
      </c>
      <c r="C186" t="n">
        <v>69.84</v>
      </c>
    </row>
    <row r="187">
      <c r="A187" s="27" t="n">
        <v>46142</v>
      </c>
      <c r="B187" s="1">
        <f>B186</f>
        <v/>
      </c>
      <c r="C187" t="n">
        <v>69.66</v>
      </c>
    </row>
    <row r="188">
      <c r="A188" s="27" t="n">
        <v>46146</v>
      </c>
      <c r="B188" s="1">
        <f>B187</f>
        <v/>
      </c>
      <c r="C188" t="n">
        <v>69.79000000000001</v>
      </c>
    </row>
    <row r="189">
      <c r="A189" s="27" t="n">
        <v>46147</v>
      </c>
      <c r="B189" s="1">
        <f>B188</f>
        <v/>
      </c>
      <c r="C189" t="n">
        <v>68.62</v>
      </c>
    </row>
    <row r="190">
      <c r="A190" s="27" t="n">
        <v>46148</v>
      </c>
      <c r="B190" s="1">
        <f>B189</f>
        <v/>
      </c>
      <c r="C190" t="n">
        <v>67.45</v>
      </c>
    </row>
    <row r="191">
      <c r="A191" s="27" t="n">
        <v>46149</v>
      </c>
      <c r="B191" s="1">
        <f>B190</f>
        <v/>
      </c>
      <c r="C191" t="n">
        <v>67.39</v>
      </c>
    </row>
    <row r="192">
      <c r="A192" s="27" t="n">
        <v>46150</v>
      </c>
      <c r="B192" s="1">
        <f>B191</f>
        <v/>
      </c>
      <c r="C192" t="n">
        <v>67.59999999999999</v>
      </c>
    </row>
    <row r="193">
      <c r="A193" s="27" t="n">
        <v>46153</v>
      </c>
      <c r="B193" s="1">
        <f>B192</f>
        <v/>
      </c>
      <c r="C193" t="n">
        <v>67.93000000000001</v>
      </c>
    </row>
    <row r="194">
      <c r="A194" s="27" t="n">
        <v>46154</v>
      </c>
      <c r="B194" s="1">
        <f>B193</f>
        <v/>
      </c>
      <c r="C194" t="n">
        <v>68.14</v>
      </c>
    </row>
    <row r="195">
      <c r="A195" s="27" t="n">
        <v>46155</v>
      </c>
      <c r="B195" s="1">
        <f>B194</f>
        <v/>
      </c>
      <c r="C195" t="n">
        <v>67.09999999999999</v>
      </c>
    </row>
    <row r="196">
      <c r="A196" s="27" t="n">
        <v>46156</v>
      </c>
      <c r="B196" s="1">
        <f>B195</f>
        <v/>
      </c>
      <c r="C196" t="n">
        <v>67.02</v>
      </c>
    </row>
    <row r="197">
      <c r="A197" s="27" t="n">
        <v>46157</v>
      </c>
      <c r="B197" s="1">
        <f>B196</f>
        <v/>
      </c>
      <c r="C197" t="n">
        <v>66.79000000000001</v>
      </c>
    </row>
    <row r="198">
      <c r="A198" s="27" t="n">
        <v>46160</v>
      </c>
      <c r="B198" s="1">
        <f>B197</f>
        <v/>
      </c>
      <c r="C198" t="n">
        <v>67.06</v>
      </c>
    </row>
    <row r="199">
      <c r="A199" s="27" t="n">
        <v>46161</v>
      </c>
      <c r="B199" s="1">
        <f>B198</f>
        <v/>
      </c>
      <c r="C199" t="n">
        <v>67.2</v>
      </c>
    </row>
    <row r="200">
      <c r="A200" s="27" t="n">
        <v>46162</v>
      </c>
      <c r="B200" s="1">
        <f>B199</f>
        <v/>
      </c>
      <c r="C200" t="n">
        <v>66.95</v>
      </c>
    </row>
    <row r="201">
      <c r="A201" s="27" t="n">
        <v>46163</v>
      </c>
      <c r="B201" s="1">
        <f>B200</f>
        <v/>
      </c>
      <c r="C201" t="n">
        <v>67.33</v>
      </c>
    </row>
    <row r="202">
      <c r="A202" s="27" t="n">
        <v>46164</v>
      </c>
      <c r="B202" s="1">
        <f>B201</f>
        <v/>
      </c>
      <c r="C202" t="n">
        <v>67.27</v>
      </c>
    </row>
    <row r="203">
      <c r="A203" s="27" t="n">
        <v>46167</v>
      </c>
      <c r="B203" s="1">
        <f>B202</f>
        <v/>
      </c>
      <c r="C203" t="n">
        <v>66.52</v>
      </c>
    </row>
    <row r="204">
      <c r="A204" s="27" t="n">
        <v>46168</v>
      </c>
      <c r="B204" s="1">
        <f>B203</f>
        <v/>
      </c>
      <c r="C204" t="n">
        <v>66.13</v>
      </c>
    </row>
    <row r="205">
      <c r="A205" s="27" t="n">
        <v>46169</v>
      </c>
      <c r="B205" s="1">
        <f>B204</f>
        <v/>
      </c>
      <c r="C205" t="n">
        <v>65.58</v>
      </c>
    </row>
    <row r="206">
      <c r="A206" s="27" t="n">
        <v>46170</v>
      </c>
      <c r="B206" s="1">
        <f>B205</f>
        <v/>
      </c>
      <c r="C206" t="n">
        <v>65.88</v>
      </c>
    </row>
    <row r="207">
      <c r="A207" s="27" t="n">
        <v>46171</v>
      </c>
      <c r="B207" s="1">
        <f>B206</f>
        <v/>
      </c>
      <c r="C207" t="n">
        <v>65.43000000000001</v>
      </c>
    </row>
    <row r="208">
      <c r="A208" s="27" t="n">
        <v>46174</v>
      </c>
      <c r="B208" s="1">
        <f>B207</f>
        <v/>
      </c>
      <c r="C208" t="n">
        <v>65.17</v>
      </c>
    </row>
    <row r="209">
      <c r="A209" s="27" t="n">
        <v>46175</v>
      </c>
      <c r="B209" s="1">
        <f>B208</f>
        <v/>
      </c>
      <c r="C209" t="n">
        <v>64.59</v>
      </c>
    </row>
    <row r="210">
      <c r="A210" s="27" t="n">
        <v>46176</v>
      </c>
      <c r="B210" s="1">
        <f>B209</f>
        <v/>
      </c>
      <c r="C210" t="n">
        <v>65.17</v>
      </c>
    </row>
    <row r="211">
      <c r="A211" s="27" t="n">
        <v>46178</v>
      </c>
      <c r="B211" s="1">
        <f>B210</f>
        <v/>
      </c>
      <c r="C211" t="n">
        <v>66.11</v>
      </c>
    </row>
    <row r="212">
      <c r="A212" s="27" t="n">
        <v>46181</v>
      </c>
      <c r="B212" s="1">
        <f>B211</f>
        <v/>
      </c>
      <c r="C212" t="n">
        <v>65.45999999999999</v>
      </c>
    </row>
    <row r="213">
      <c r="A213" s="27" t="n">
        <v>46182</v>
      </c>
      <c r="B213" s="1">
        <f>B212</f>
        <v/>
      </c>
      <c r="C213" t="n">
        <v>65.26000000000001</v>
      </c>
    </row>
    <row r="214">
      <c r="A214" s="27" t="n">
        <v>46183</v>
      </c>
      <c r="B214" s="1">
        <f>B213</f>
        <v/>
      </c>
      <c r="C214" t="n">
        <v>64.62</v>
      </c>
    </row>
    <row r="215">
      <c r="A215" s="27" t="n">
        <v>46184</v>
      </c>
      <c r="B215" s="1">
        <f>B214</f>
        <v/>
      </c>
      <c r="C215" t="n">
        <v>64.25</v>
      </c>
    </row>
    <row r="216">
      <c r="A216" s="27" t="n">
        <v>46185</v>
      </c>
      <c r="B216" s="1">
        <f>B215</f>
        <v/>
      </c>
      <c r="C216" t="n">
        <v>64.05</v>
      </c>
    </row>
    <row r="217">
      <c r="A217" s="27" t="n">
        <v>46188</v>
      </c>
      <c r="B217" s="1">
        <f>B216</f>
        <v/>
      </c>
      <c r="C217" t="n">
        <v>64.34</v>
      </c>
    </row>
    <row r="218">
      <c r="A218" s="27" t="n">
        <v>46189</v>
      </c>
      <c r="B218" s="1">
        <f>B217</f>
        <v/>
      </c>
      <c r="C218" t="n">
        <v>63.97</v>
      </c>
    </row>
    <row r="219">
      <c r="A219" s="27" t="n">
        <v>46190</v>
      </c>
      <c r="B219" s="1">
        <f>B218</f>
        <v/>
      </c>
      <c r="C219" t="n">
        <v>63.98</v>
      </c>
    </row>
    <row r="220">
      <c r="A220" s="27" t="n">
        <v>46191</v>
      </c>
      <c r="B220" s="1">
        <f>B219</f>
        <v/>
      </c>
      <c r="C220" t="n">
        <v>63.98</v>
      </c>
    </row>
    <row r="221">
      <c r="A221" s="27" t="n">
        <v>46192</v>
      </c>
      <c r="B221" s="1">
        <f>B220</f>
        <v/>
      </c>
      <c r="C221" t="n">
        <v>63.91</v>
      </c>
    </row>
    <row r="222">
      <c r="A222" s="27" t="n">
        <v>46195</v>
      </c>
      <c r="B222" s="1">
        <f>B221</f>
        <v/>
      </c>
      <c r="C222" t="n">
        <v>63.66</v>
      </c>
    </row>
    <row r="223">
      <c r="A223" s="27" t="n">
        <v>46196</v>
      </c>
      <c r="B223" s="1">
        <f>B222</f>
        <v/>
      </c>
      <c r="C223" t="n">
        <v>63.8</v>
      </c>
    </row>
    <row r="224">
      <c r="A224" s="27" t="n">
        <v>46197</v>
      </c>
      <c r="B224" s="1">
        <f>B223</f>
        <v/>
      </c>
      <c r="C224" t="n">
        <v>64.09999999999999</v>
      </c>
    </row>
    <row r="225">
      <c r="A225" s="27" t="n">
        <v>46198</v>
      </c>
      <c r="B225" s="1">
        <f>B224</f>
        <v/>
      </c>
      <c r="C225" t="n">
        <v>64.52</v>
      </c>
    </row>
    <row r="226">
      <c r="A226" s="80" t="n">
        <v>46199</v>
      </c>
      <c r="B226" s="1">
        <f>B225</f>
        <v/>
      </c>
      <c r="C226" t="n">
        <v>64.31</v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/>
  <cols>
    <col width="18.285156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7" t="n">
        <v>46113</v>
      </c>
      <c r="B147" s="1">
        <f>B156</f>
        <v/>
      </c>
      <c r="C147" t="n">
        <v>72</v>
      </c>
    </row>
    <row r="148">
      <c r="A148" s="27" t="n">
        <v>46114</v>
      </c>
      <c r="B148" s="1">
        <f>B157</f>
        <v/>
      </c>
      <c r="C148" t="n">
        <v>72.38</v>
      </c>
    </row>
    <row r="149">
      <c r="A149" s="27" t="n">
        <v>46118</v>
      </c>
      <c r="B149" s="1">
        <f>B158</f>
        <v/>
      </c>
      <c r="C149" t="n">
        <v>72.39</v>
      </c>
    </row>
    <row r="150">
      <c r="A150" s="27" t="n">
        <v>46119</v>
      </c>
      <c r="B150" s="1">
        <f>B159</f>
        <v/>
      </c>
      <c r="C150" t="n">
        <v>71.45</v>
      </c>
    </row>
    <row r="151">
      <c r="A151" s="27" t="n">
        <v>46120</v>
      </c>
      <c r="B151" s="1">
        <f>B160</f>
        <v/>
      </c>
      <c r="C151" t="n">
        <v>70.66</v>
      </c>
    </row>
    <row r="152">
      <c r="A152" s="27" t="n">
        <v>46121</v>
      </c>
      <c r="B152" s="1">
        <f>B161</f>
        <v/>
      </c>
      <c r="C152" t="n">
        <v>70.05</v>
      </c>
    </row>
    <row r="153">
      <c r="A153" s="27" t="n">
        <v>46122</v>
      </c>
      <c r="B153" s="1">
        <f>B162</f>
        <v/>
      </c>
      <c r="C153" t="n">
        <v>69.45999999999999</v>
      </c>
    </row>
    <row r="154">
      <c r="A154" s="27" t="n">
        <v>46125</v>
      </c>
      <c r="B154" s="1">
        <f>B163</f>
        <v/>
      </c>
      <c r="C154" t="n">
        <v>69.25</v>
      </c>
    </row>
    <row r="155">
      <c r="A155" s="27" t="n">
        <v>46126</v>
      </c>
      <c r="B155" s="1">
        <f>B164</f>
        <v/>
      </c>
      <c r="C155" t="n">
        <v>68.66</v>
      </c>
    </row>
    <row r="156">
      <c r="A156" s="27" t="n">
        <v>46127</v>
      </c>
      <c r="B156" s="1">
        <f>B165</f>
        <v/>
      </c>
      <c r="C156" t="n">
        <v>68.2</v>
      </c>
    </row>
    <row r="157">
      <c r="A157" s="27" t="n">
        <v>46128</v>
      </c>
      <c r="B157" s="1">
        <f>B166</f>
        <v/>
      </c>
      <c r="C157" t="n">
        <v>68.29000000000001</v>
      </c>
    </row>
    <row r="158">
      <c r="A158" s="27" t="n">
        <v>46129</v>
      </c>
      <c r="B158" s="1">
        <f>B157</f>
        <v/>
      </c>
      <c r="C158" t="n">
        <v>68.29000000000001</v>
      </c>
    </row>
    <row r="159">
      <c r="A159" s="27" t="n">
        <v>46132</v>
      </c>
      <c r="B159" s="1">
        <f>B158</f>
        <v/>
      </c>
      <c r="C159" t="n">
        <v>69.66</v>
      </c>
    </row>
    <row r="160">
      <c r="A160" s="27" t="n">
        <v>46134</v>
      </c>
      <c r="B160" s="1">
        <f>B159</f>
        <v/>
      </c>
      <c r="C160" t="n">
        <v>71.47</v>
      </c>
    </row>
    <row r="161">
      <c r="A161" s="27" t="n">
        <v>46135</v>
      </c>
      <c r="B161" s="1">
        <f>B160</f>
        <v/>
      </c>
      <c r="C161" t="n">
        <v>71.06</v>
      </c>
    </row>
    <row r="162">
      <c r="A162" s="27" t="n">
        <v>46136</v>
      </c>
      <c r="B162" s="1">
        <f>B161</f>
        <v/>
      </c>
      <c r="C162" t="n">
        <v>71.27</v>
      </c>
    </row>
    <row r="163">
      <c r="A163" s="27" t="n">
        <v>46139</v>
      </c>
      <c r="B163" s="1">
        <f>B162</f>
        <v/>
      </c>
      <c r="C163" t="n">
        <v>72.09</v>
      </c>
    </row>
    <row r="164">
      <c r="A164" s="27" t="n">
        <v>46140</v>
      </c>
      <c r="B164" s="1">
        <f>B163</f>
        <v/>
      </c>
      <c r="C164" t="n">
        <v>71.92</v>
      </c>
    </row>
    <row r="165">
      <c r="A165" s="27" t="n">
        <v>46141</v>
      </c>
      <c r="B165" s="1">
        <f>B164</f>
        <v/>
      </c>
      <c r="C165" t="n">
        <v>72.02</v>
      </c>
    </row>
    <row r="166">
      <c r="A166" s="27" t="n">
        <v>46142</v>
      </c>
      <c r="B166" s="1">
        <f>B165</f>
        <v/>
      </c>
      <c r="C166" t="n">
        <v>71.62</v>
      </c>
    </row>
    <row r="167">
      <c r="A167" s="27" t="n">
        <v>46146</v>
      </c>
      <c r="B167" s="1">
        <f>B166</f>
        <v/>
      </c>
      <c r="C167" t="n">
        <v>71.23</v>
      </c>
    </row>
    <row r="168">
      <c r="A168" s="27" t="n">
        <v>46147</v>
      </c>
      <c r="B168" s="1">
        <f>B167</f>
        <v/>
      </c>
      <c r="C168" t="n">
        <v>70.33</v>
      </c>
    </row>
    <row r="169">
      <c r="A169" s="27" t="n">
        <v>46148</v>
      </c>
      <c r="B169" s="1">
        <f>B168</f>
        <v/>
      </c>
      <c r="C169" t="n">
        <v>69.48999999999999</v>
      </c>
    </row>
    <row r="170">
      <c r="A170" s="27" t="n">
        <v>46149</v>
      </c>
      <c r="B170" s="1">
        <f>B169</f>
        <v/>
      </c>
      <c r="C170" t="n">
        <v>69.45999999999999</v>
      </c>
    </row>
    <row r="171">
      <c r="A171" s="27" t="n">
        <v>46150</v>
      </c>
      <c r="B171" s="1">
        <f>B170</f>
        <v/>
      </c>
      <c r="C171" t="n">
        <v>69.7</v>
      </c>
    </row>
    <row r="172">
      <c r="A172" s="27" t="n">
        <v>46153</v>
      </c>
      <c r="B172" s="1">
        <f>B171</f>
        <v/>
      </c>
      <c r="C172" t="n">
        <v>70.18000000000001</v>
      </c>
    </row>
    <row r="173">
      <c r="A173" s="27" t="n">
        <v>46154</v>
      </c>
      <c r="B173" s="1">
        <f>B172</f>
        <v/>
      </c>
      <c r="C173" t="n">
        <v>70.55</v>
      </c>
    </row>
    <row r="174">
      <c r="A174" s="27" t="n">
        <v>46155</v>
      </c>
      <c r="B174" s="1">
        <f>B173</f>
        <v/>
      </c>
      <c r="C174" t="n">
        <v>70.2</v>
      </c>
    </row>
    <row r="175">
      <c r="A175" s="27" t="n">
        <v>46156</v>
      </c>
      <c r="B175" s="1">
        <f>B174</f>
        <v/>
      </c>
      <c r="C175" t="n">
        <v>69.94</v>
      </c>
    </row>
    <row r="176">
      <c r="A176" s="27" t="n">
        <v>46157</v>
      </c>
      <c r="B176" s="1">
        <f>B175</f>
        <v/>
      </c>
      <c r="C176" t="n">
        <v>69.68000000000001</v>
      </c>
    </row>
    <row r="177">
      <c r="A177" s="27" t="n">
        <v>46160</v>
      </c>
      <c r="B177" s="1">
        <f>B176</f>
        <v/>
      </c>
      <c r="C177" t="n">
        <v>69.81999999999999</v>
      </c>
    </row>
    <row r="178">
      <c r="A178" s="27" t="n">
        <v>46161</v>
      </c>
      <c r="B178" s="1">
        <f>B177</f>
        <v/>
      </c>
      <c r="C178" t="n">
        <v>69.73</v>
      </c>
    </row>
    <row r="179">
      <c r="A179" s="27" t="n">
        <v>46162</v>
      </c>
      <c r="B179" s="1">
        <f>B178</f>
        <v/>
      </c>
      <c r="C179" t="n">
        <v>69.77</v>
      </c>
    </row>
    <row r="180">
      <c r="A180" s="27" t="n">
        <v>46163</v>
      </c>
      <c r="B180" s="1">
        <f>B179</f>
        <v/>
      </c>
      <c r="C180" t="n">
        <v>70.03</v>
      </c>
    </row>
    <row r="181">
      <c r="A181" s="27" t="n">
        <v>46164</v>
      </c>
      <c r="B181" s="1">
        <f>B180</f>
        <v/>
      </c>
      <c r="C181" t="n">
        <v>69.98</v>
      </c>
    </row>
    <row r="182">
      <c r="A182" s="27" t="n">
        <v>46167</v>
      </c>
      <c r="B182" s="1">
        <f>B181</f>
        <v/>
      </c>
      <c r="C182" t="n">
        <v>69.5</v>
      </c>
    </row>
    <row r="183">
      <c r="A183" s="27" t="n">
        <v>46168</v>
      </c>
      <c r="B183" s="1">
        <f>B182</f>
        <v/>
      </c>
      <c r="C183" t="n">
        <v>68.94</v>
      </c>
    </row>
    <row r="184">
      <c r="A184" s="27" t="n">
        <v>46169</v>
      </c>
      <c r="B184" s="1">
        <f>B183</f>
        <v/>
      </c>
      <c r="C184" t="n">
        <v>68.31</v>
      </c>
    </row>
    <row r="185">
      <c r="A185" s="27" t="n">
        <v>46170</v>
      </c>
      <c r="B185" s="1">
        <f>B184</f>
        <v/>
      </c>
      <c r="C185" t="n">
        <v>68.73</v>
      </c>
    </row>
    <row r="186">
      <c r="A186" s="27" t="n">
        <v>46171</v>
      </c>
      <c r="B186" s="1">
        <f>B185</f>
        <v/>
      </c>
      <c r="C186" t="n">
        <v>68.13</v>
      </c>
    </row>
    <row r="187">
      <c r="A187" s="27" t="n">
        <v>46174</v>
      </c>
      <c r="B187" s="1">
        <f>B186</f>
        <v/>
      </c>
      <c r="C187" t="n">
        <v>67.75</v>
      </c>
    </row>
    <row r="188">
      <c r="A188" s="27" t="n">
        <v>46175</v>
      </c>
      <c r="B188" s="1">
        <f>B187</f>
        <v/>
      </c>
      <c r="C188" t="n">
        <v>66.95999999999999</v>
      </c>
    </row>
    <row r="189">
      <c r="A189" s="27" t="n">
        <v>46176</v>
      </c>
      <c r="B189" s="1">
        <f>B188</f>
        <v/>
      </c>
      <c r="C189" t="n">
        <v>68.02</v>
      </c>
    </row>
    <row r="190">
      <c r="A190" s="27" t="n">
        <v>46178</v>
      </c>
      <c r="B190" s="1">
        <f>B189</f>
        <v/>
      </c>
      <c r="C190" t="n">
        <v>68.78</v>
      </c>
    </row>
    <row r="191">
      <c r="A191" s="27" t="n">
        <v>46181</v>
      </c>
      <c r="B191" s="1">
        <f>B190</f>
        <v/>
      </c>
      <c r="C191" t="n">
        <v>67.45</v>
      </c>
    </row>
    <row r="192">
      <c r="A192" s="27" t="n">
        <v>46182</v>
      </c>
      <c r="B192" s="1">
        <f>B191</f>
        <v/>
      </c>
      <c r="C192" t="n">
        <v>67.45999999999999</v>
      </c>
    </row>
    <row r="193">
      <c r="A193" s="27" t="n">
        <v>46183</v>
      </c>
      <c r="B193" s="1">
        <f>B192</f>
        <v/>
      </c>
      <c r="C193" t="n">
        <v>66.84999999999999</v>
      </c>
    </row>
    <row r="194">
      <c r="A194" s="27" t="n">
        <v>46184</v>
      </c>
      <c r="B194" s="1">
        <f>B193</f>
        <v/>
      </c>
      <c r="C194" t="n">
        <v>66.42</v>
      </c>
    </row>
    <row r="195">
      <c r="A195" s="27" t="n">
        <v>46185</v>
      </c>
      <c r="B195" s="1">
        <f>B194</f>
        <v/>
      </c>
      <c r="C195" t="n">
        <v>66.86</v>
      </c>
    </row>
    <row r="196">
      <c r="A196" s="27" t="n">
        <v>46188</v>
      </c>
      <c r="B196" s="1">
        <f>B195</f>
        <v/>
      </c>
      <c r="C196" t="n">
        <v>66.98</v>
      </c>
    </row>
    <row r="197">
      <c r="A197" s="27" t="n">
        <v>46189</v>
      </c>
      <c r="B197" s="1">
        <f>B196</f>
        <v/>
      </c>
      <c r="C197" t="n">
        <v>66.94</v>
      </c>
    </row>
    <row r="198">
      <c r="A198" s="27" t="n">
        <v>46190</v>
      </c>
      <c r="B198" s="1">
        <f>B197</f>
        <v/>
      </c>
      <c r="C198" t="n">
        <v>67.31</v>
      </c>
    </row>
    <row r="199">
      <c r="A199" s="27" t="n">
        <v>46191</v>
      </c>
      <c r="B199" s="1">
        <f>B198</f>
        <v/>
      </c>
      <c r="C199" t="n">
        <v>67.09999999999999</v>
      </c>
    </row>
    <row r="200">
      <c r="A200" s="27" t="n">
        <v>46192</v>
      </c>
      <c r="B200" s="1">
        <f>B199</f>
        <v/>
      </c>
      <c r="C200" t="n">
        <v>66.86</v>
      </c>
    </row>
    <row r="201">
      <c r="A201" s="27" t="n">
        <v>46195</v>
      </c>
      <c r="B201" s="1">
        <f>B200</f>
        <v/>
      </c>
      <c r="C201" t="n">
        <v>66.70999999999999</v>
      </c>
    </row>
    <row r="202">
      <c r="A202" s="27" t="n">
        <v>46196</v>
      </c>
      <c r="B202" s="1">
        <f>B201</f>
        <v/>
      </c>
      <c r="C202" t="n">
        <v>67.19</v>
      </c>
    </row>
    <row r="203">
      <c r="A203" s="27" t="n">
        <v>46197</v>
      </c>
      <c r="B203" s="1">
        <f>B202</f>
        <v/>
      </c>
      <c r="C203" t="n">
        <v>67.47</v>
      </c>
    </row>
    <row r="204">
      <c r="A204" s="27" t="n">
        <v>46198</v>
      </c>
      <c r="B204" s="1">
        <f>B203</f>
        <v/>
      </c>
      <c r="C204" t="n">
        <v>67.91</v>
      </c>
    </row>
    <row r="205">
      <c r="A205" s="80" t="n">
        <v>46199</v>
      </c>
      <c r="B205" s="1">
        <f>B204</f>
        <v/>
      </c>
      <c r="C205" t="n">
        <v>67.86</v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  <row r="211">
      <c r="B211" s="1">
        <f>B220</f>
        <v/>
      </c>
    </row>
    <row r="212">
      <c r="B212" s="1">
        <f>B221</f>
        <v/>
      </c>
    </row>
    <row r="213">
      <c r="B213" s="1">
        <f>B222</f>
        <v/>
      </c>
    </row>
    <row r="214">
      <c r="B214" s="1">
        <f>B223</f>
        <v/>
      </c>
    </row>
    <row r="215">
      <c r="B215" s="1">
        <f>B224</f>
        <v/>
      </c>
    </row>
    <row r="216">
      <c r="B216" s="1">
        <f>B225</f>
        <v/>
      </c>
    </row>
    <row r="217">
      <c r="B217" s="1">
        <f>B226</f>
        <v/>
      </c>
    </row>
    <row r="218">
      <c r="B218" s="1">
        <f>B227</f>
        <v/>
      </c>
    </row>
    <row r="219">
      <c r="B219" s="1">
        <f>B228</f>
        <v/>
      </c>
    </row>
    <row r="220">
      <c r="B220" s="1">
        <f>B229</f>
        <v/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7" t="n">
        <v>46162</v>
      </c>
      <c r="B123" s="1">
        <f>B122</f>
        <v/>
      </c>
      <c r="C123" t="n">
        <v>72.7</v>
      </c>
    </row>
    <row r="124">
      <c r="A124" s="27" t="n">
        <v>46163</v>
      </c>
      <c r="B124" s="1">
        <f>B123</f>
        <v/>
      </c>
      <c r="C124" t="n">
        <v>72.78</v>
      </c>
    </row>
    <row r="125">
      <c r="A125" s="27" t="n">
        <v>46164</v>
      </c>
      <c r="B125" s="1">
        <f>B124</f>
        <v/>
      </c>
      <c r="C125" t="n">
        <v>72.90000000000001</v>
      </c>
    </row>
    <row r="126">
      <c r="A126" s="27" t="n">
        <v>46167</v>
      </c>
      <c r="B126" s="1">
        <f>B125</f>
        <v/>
      </c>
      <c r="C126" t="n">
        <v>72.62</v>
      </c>
    </row>
    <row r="127">
      <c r="A127" s="27" t="n">
        <v>46168</v>
      </c>
      <c r="B127" s="1">
        <f>B126</f>
        <v/>
      </c>
      <c r="C127" t="n">
        <v>71.98999999999999</v>
      </c>
    </row>
    <row r="128">
      <c r="A128" s="27" t="n">
        <v>46169</v>
      </c>
      <c r="B128" s="1">
        <f>B127</f>
        <v/>
      </c>
      <c r="C128" t="n">
        <v>71.2</v>
      </c>
    </row>
    <row r="129">
      <c r="A129" s="27" t="n">
        <v>46170</v>
      </c>
      <c r="B129" s="1">
        <f>B128</f>
        <v/>
      </c>
      <c r="C129" t="n">
        <v>71.36</v>
      </c>
    </row>
    <row r="130">
      <c r="A130" s="27" t="n">
        <v>46171</v>
      </c>
      <c r="B130" s="1">
        <f>B129</f>
        <v/>
      </c>
      <c r="C130" t="n">
        <v>71.05</v>
      </c>
    </row>
    <row r="131">
      <c r="A131" s="27" t="n">
        <v>46174</v>
      </c>
      <c r="B131" s="1">
        <f>B130</f>
        <v/>
      </c>
      <c r="C131" t="n">
        <v>70.8</v>
      </c>
    </row>
    <row r="132">
      <c r="A132" s="27" t="n">
        <v>46175</v>
      </c>
      <c r="B132" s="1">
        <f>B131</f>
        <v/>
      </c>
      <c r="C132" t="n">
        <v>70.5</v>
      </c>
    </row>
    <row r="133">
      <c r="A133" s="27" t="n">
        <v>46176</v>
      </c>
      <c r="B133" s="1">
        <f>B132</f>
        <v/>
      </c>
      <c r="C133" t="n">
        <v>71.2</v>
      </c>
    </row>
    <row r="134">
      <c r="A134" s="27" t="n">
        <v>46178</v>
      </c>
      <c r="B134" s="1">
        <f>B133</f>
        <v/>
      </c>
      <c r="C134" t="n">
        <v>71.53</v>
      </c>
    </row>
    <row r="135">
      <c r="A135" s="27" t="n">
        <v>46181</v>
      </c>
      <c r="B135" s="1">
        <f>B134</f>
        <v/>
      </c>
      <c r="C135" t="n">
        <v>70.76000000000001</v>
      </c>
    </row>
    <row r="136">
      <c r="A136" s="27" t="n">
        <v>46182</v>
      </c>
      <c r="B136" s="1">
        <f>B135</f>
        <v/>
      </c>
      <c r="C136" t="n">
        <v>70.63</v>
      </c>
    </row>
    <row r="137">
      <c r="A137" s="27" t="n">
        <v>46183</v>
      </c>
      <c r="B137" s="1">
        <f>B136</f>
        <v/>
      </c>
      <c r="C137" t="n">
        <v>70.36</v>
      </c>
    </row>
    <row r="138">
      <c r="A138" s="27" t="n">
        <v>46184</v>
      </c>
      <c r="B138" s="1">
        <f>B137</f>
        <v/>
      </c>
      <c r="C138" t="n">
        <v>70.01000000000001</v>
      </c>
    </row>
    <row r="139">
      <c r="A139" s="27" t="n">
        <v>46185</v>
      </c>
      <c r="B139" s="1">
        <f>B138</f>
        <v/>
      </c>
      <c r="C139" t="n">
        <v>70.33</v>
      </c>
    </row>
    <row r="140">
      <c r="A140" s="27" t="n">
        <v>46188</v>
      </c>
      <c r="B140" s="1">
        <f>B139</f>
        <v/>
      </c>
      <c r="C140" t="n">
        <v>70.42</v>
      </c>
    </row>
    <row r="141">
      <c r="A141" s="27" t="n">
        <v>46189</v>
      </c>
      <c r="B141" s="1">
        <f>B140</f>
        <v/>
      </c>
      <c r="C141" t="n">
        <v>70.41</v>
      </c>
    </row>
    <row r="142">
      <c r="A142" s="27" t="n">
        <v>46190</v>
      </c>
      <c r="B142" s="1">
        <f>B141</f>
        <v/>
      </c>
      <c r="C142" t="n">
        <v>70.66</v>
      </c>
    </row>
    <row r="143">
      <c r="A143" s="27" t="n">
        <v>46191</v>
      </c>
      <c r="B143" s="1">
        <f>B142</f>
        <v/>
      </c>
      <c r="C143" t="n">
        <v>70.48999999999999</v>
      </c>
    </row>
    <row r="144">
      <c r="A144" s="27" t="n">
        <v>46192</v>
      </c>
      <c r="B144" s="1">
        <f>B143</f>
        <v/>
      </c>
      <c r="C144" t="n">
        <v>70.26000000000001</v>
      </c>
    </row>
    <row r="145">
      <c r="A145" s="27" t="n">
        <v>46195</v>
      </c>
      <c r="B145" s="1">
        <f>B144</f>
        <v/>
      </c>
      <c r="C145" t="n">
        <v>70.15000000000001</v>
      </c>
    </row>
    <row r="146">
      <c r="A146" s="27" t="n">
        <v>46196</v>
      </c>
      <c r="B146" s="1">
        <f>B145</f>
        <v/>
      </c>
      <c r="C146" t="n">
        <v>70.59999999999999</v>
      </c>
    </row>
    <row r="147">
      <c r="A147" s="27" t="n">
        <v>46197</v>
      </c>
      <c r="B147" s="1">
        <f>B146</f>
        <v/>
      </c>
      <c r="C147" t="n">
        <v>70.54000000000001</v>
      </c>
    </row>
    <row r="148">
      <c r="A148" s="27" t="n">
        <v>46198</v>
      </c>
      <c r="B148" s="1">
        <f>B147</f>
        <v/>
      </c>
      <c r="C148" t="n">
        <v>70.88</v>
      </c>
    </row>
    <row r="149">
      <c r="A149" s="80" t="n">
        <v>46199</v>
      </c>
      <c r="B149" s="1">
        <f>B148</f>
        <v/>
      </c>
      <c r="C149" t="n">
        <v>70.98</v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3">
        <f>B2</f>
        <v/>
      </c>
      <c r="C3" t="n">
        <v>72.92</v>
      </c>
    </row>
    <row r="4">
      <c r="A4" s="9" t="n">
        <v>46063</v>
      </c>
      <c r="B4" s="23">
        <f>B3</f>
        <v/>
      </c>
      <c r="C4" t="n">
        <v>72.93000000000001</v>
      </c>
    </row>
    <row r="5">
      <c r="A5" s="9" t="n">
        <v>46064</v>
      </c>
      <c r="B5" s="23">
        <f>B4</f>
        <v/>
      </c>
      <c r="C5" t="n">
        <v>72.95</v>
      </c>
    </row>
    <row r="6">
      <c r="A6" s="9" t="n">
        <v>46065</v>
      </c>
      <c r="B6" s="23">
        <f>B5</f>
        <v/>
      </c>
      <c r="C6" t="n">
        <v>72.86</v>
      </c>
    </row>
    <row r="7">
      <c r="A7" s="9" t="n">
        <v>46066</v>
      </c>
      <c r="B7" s="23">
        <f>B6</f>
        <v/>
      </c>
      <c r="C7" t="n">
        <v>73.04000000000001</v>
      </c>
    </row>
    <row r="8">
      <c r="A8" s="9" t="n">
        <v>46071</v>
      </c>
      <c r="B8" s="23">
        <f>B7</f>
        <v/>
      </c>
      <c r="C8" t="n">
        <v>72.84999999999999</v>
      </c>
    </row>
    <row r="9">
      <c r="A9" s="9" t="n">
        <v>46072</v>
      </c>
      <c r="B9" s="23">
        <f>B8</f>
        <v/>
      </c>
      <c r="C9" t="n">
        <v>72.79000000000001</v>
      </c>
    </row>
    <row r="10">
      <c r="A10" s="9" t="n">
        <v>46073</v>
      </c>
      <c r="B10" s="23">
        <f>B9</f>
        <v/>
      </c>
      <c r="C10" t="n">
        <v>72.79000000000001</v>
      </c>
    </row>
    <row r="11">
      <c r="A11" s="9" t="n">
        <v>46076</v>
      </c>
      <c r="B11" s="23">
        <f>B10</f>
        <v/>
      </c>
      <c r="C11" t="n">
        <v>72.78</v>
      </c>
    </row>
    <row r="12">
      <c r="A12" s="9" t="n">
        <v>46077</v>
      </c>
      <c r="B12" s="23">
        <f>B11</f>
        <v/>
      </c>
      <c r="C12" t="n">
        <v>72.59999999999999</v>
      </c>
    </row>
    <row r="13">
      <c r="A13" s="9" t="n">
        <v>46078</v>
      </c>
      <c r="B13" s="23">
        <f>B12</f>
        <v/>
      </c>
      <c r="C13" t="n">
        <v>72.45</v>
      </c>
    </row>
    <row r="14">
      <c r="A14" s="9" t="n">
        <v>46079</v>
      </c>
      <c r="B14" s="23">
        <f>B13</f>
        <v/>
      </c>
      <c r="C14" t="n">
        <v>72.45</v>
      </c>
    </row>
    <row r="15">
      <c r="A15" s="9" t="n">
        <v>46080</v>
      </c>
      <c r="B15" s="23">
        <f>B14</f>
        <v/>
      </c>
      <c r="C15" t="n">
        <v>73.11</v>
      </c>
    </row>
    <row r="16">
      <c r="A16" s="9" t="n">
        <v>46083</v>
      </c>
      <c r="B16" s="23">
        <f>B15</f>
        <v/>
      </c>
      <c r="C16" t="n">
        <v>73.55</v>
      </c>
    </row>
    <row r="17">
      <c r="A17" s="9" t="n">
        <v>46084</v>
      </c>
      <c r="B17" s="23">
        <f>B16</f>
        <v/>
      </c>
      <c r="C17" t="n">
        <v>73.7</v>
      </c>
    </row>
    <row r="18">
      <c r="A18" s="9" t="n">
        <v>46085</v>
      </c>
      <c r="B18" s="23">
        <f>B17</f>
        <v/>
      </c>
      <c r="C18" t="n">
        <v>74</v>
      </c>
    </row>
    <row r="19">
      <c r="A19" s="9" t="n">
        <v>46086</v>
      </c>
      <c r="B19" s="23">
        <f>B18</f>
        <v/>
      </c>
      <c r="C19" t="n">
        <v>74.12</v>
      </c>
    </row>
    <row r="20">
      <c r="A20" s="9" t="n">
        <v>46087</v>
      </c>
      <c r="B20" s="23">
        <f>B19</f>
        <v/>
      </c>
      <c r="C20" t="n">
        <v>74.13</v>
      </c>
    </row>
    <row r="21">
      <c r="A21" s="9" t="n">
        <v>46090</v>
      </c>
      <c r="B21" s="23">
        <f>B20</f>
        <v/>
      </c>
      <c r="C21" t="n">
        <v>74.34999999999999</v>
      </c>
    </row>
    <row r="22">
      <c r="A22" s="9" t="n">
        <v>46091</v>
      </c>
      <c r="B22" s="23">
        <f>B21</f>
        <v/>
      </c>
      <c r="C22" t="n">
        <v>74.40000000000001</v>
      </c>
    </row>
    <row r="23">
      <c r="A23" s="9" t="n">
        <v>46092</v>
      </c>
      <c r="B23" s="23">
        <f>B22</f>
        <v/>
      </c>
      <c r="C23" t="n">
        <v>74.84999999999999</v>
      </c>
    </row>
    <row r="24">
      <c r="A24" s="9" t="n">
        <v>46093</v>
      </c>
      <c r="B24" s="23">
        <f>B23</f>
        <v/>
      </c>
      <c r="C24" t="n">
        <v>75.11</v>
      </c>
    </row>
    <row r="25">
      <c r="A25" s="9" t="n">
        <v>46094</v>
      </c>
      <c r="B25" s="23">
        <f>B24</f>
        <v/>
      </c>
      <c r="C25" t="n">
        <v>75.40000000000001</v>
      </c>
    </row>
    <row r="26">
      <c r="A26" s="9" t="n">
        <v>46097</v>
      </c>
      <c r="B26" s="23">
        <f>B25</f>
        <v/>
      </c>
      <c r="C26" t="n">
        <v>74.34</v>
      </c>
    </row>
    <row r="27">
      <c r="A27" s="9" t="n">
        <v>46098</v>
      </c>
      <c r="B27" s="23">
        <f>B26</f>
        <v/>
      </c>
      <c r="C27" t="n">
        <v>74.02</v>
      </c>
    </row>
    <row r="28">
      <c r="A28" s="9" t="n">
        <v>46099</v>
      </c>
      <c r="B28" s="23">
        <f>B27</f>
        <v/>
      </c>
      <c r="C28" t="n">
        <v>74.79000000000001</v>
      </c>
    </row>
    <row r="29">
      <c r="A29" s="9" t="n">
        <v>46100</v>
      </c>
      <c r="B29" s="23">
        <f>B28</f>
        <v/>
      </c>
      <c r="C29" t="n">
        <v>74.68000000000001</v>
      </c>
    </row>
    <row r="30">
      <c r="A30" s="9" t="n">
        <v>46101</v>
      </c>
      <c r="B30" s="23">
        <f>B29</f>
        <v/>
      </c>
      <c r="C30" t="n">
        <v>75.45999999999999</v>
      </c>
    </row>
    <row r="31">
      <c r="A31" s="9" t="n">
        <v>46104</v>
      </c>
      <c r="B31" s="23">
        <f>B30</f>
        <v/>
      </c>
      <c r="C31" t="n">
        <v>75.28</v>
      </c>
    </row>
    <row r="32">
      <c r="A32" s="9" t="n">
        <v>46105</v>
      </c>
      <c r="B32" s="23">
        <f>B31</f>
        <v/>
      </c>
      <c r="C32" t="n">
        <v>75.45999999999999</v>
      </c>
    </row>
    <row r="33">
      <c r="A33" s="9" t="n">
        <v>46107</v>
      </c>
      <c r="B33" s="23">
        <f>B32</f>
        <v/>
      </c>
      <c r="C33" t="n">
        <v>75.42</v>
      </c>
    </row>
    <row r="34">
      <c r="A34" s="9" t="n">
        <v>46108</v>
      </c>
      <c r="B34" s="23">
        <f>B33</f>
        <v/>
      </c>
      <c r="C34" t="n">
        <v>75.63</v>
      </c>
    </row>
    <row r="35">
      <c r="A35" s="9" t="n">
        <v>46111</v>
      </c>
      <c r="B35" s="23">
        <f>B34</f>
        <v/>
      </c>
      <c r="C35" t="n">
        <v>76.68000000000001</v>
      </c>
    </row>
    <row r="36">
      <c r="A36" s="9" t="n">
        <v>46112</v>
      </c>
      <c r="B36" s="23">
        <f>B35</f>
        <v/>
      </c>
      <c r="C36" t="n">
        <v>76.67</v>
      </c>
    </row>
    <row r="37">
      <c r="A37" s="9" t="n">
        <v>46113</v>
      </c>
      <c r="B37" s="23">
        <f>B45</f>
        <v/>
      </c>
      <c r="C37" t="n">
        <v>76.20999999999999</v>
      </c>
    </row>
    <row r="38">
      <c r="A38" s="9" t="n">
        <v>46114</v>
      </c>
      <c r="B38" s="23">
        <f>B46</f>
        <v/>
      </c>
      <c r="C38" t="n">
        <v>76.29000000000001</v>
      </c>
    </row>
    <row r="39">
      <c r="A39" s="9" t="n">
        <v>46118</v>
      </c>
      <c r="B39" s="23">
        <f>B47</f>
        <v/>
      </c>
      <c r="C39" t="n">
        <v>76.05</v>
      </c>
    </row>
    <row r="40">
      <c r="A40" s="9" t="n">
        <v>46120</v>
      </c>
      <c r="B40" s="23">
        <f>B48</f>
        <v/>
      </c>
      <c r="C40" t="n">
        <v>74.95</v>
      </c>
    </row>
    <row r="41">
      <c r="A41" s="9" t="n">
        <v>46121</v>
      </c>
      <c r="B41" s="23">
        <f>B49</f>
        <v/>
      </c>
      <c r="C41" t="n">
        <v>74.61</v>
      </c>
    </row>
    <row r="42">
      <c r="A42" s="9" t="n">
        <v>46122</v>
      </c>
      <c r="B42" s="23">
        <f>B50</f>
        <v/>
      </c>
      <c r="C42" t="n">
        <v>73.97</v>
      </c>
    </row>
    <row r="43">
      <c r="A43" s="9" t="n">
        <v>46125</v>
      </c>
      <c r="B43" s="23">
        <f>B51</f>
        <v/>
      </c>
      <c r="C43" t="n">
        <v>73.70999999999999</v>
      </c>
    </row>
    <row r="44">
      <c r="A44" s="9" t="n">
        <v>46126</v>
      </c>
      <c r="B44" s="23">
        <f>B52</f>
        <v/>
      </c>
      <c r="C44" t="n">
        <v>73.52</v>
      </c>
    </row>
    <row r="45">
      <c r="A45" s="9" t="n">
        <v>46127</v>
      </c>
      <c r="B45" s="23">
        <f>B53</f>
        <v/>
      </c>
      <c r="C45" t="n">
        <v>73.06</v>
      </c>
    </row>
    <row r="46">
      <c r="A46" s="9" t="n">
        <v>46128</v>
      </c>
      <c r="B46" s="23">
        <f>B54</f>
        <v/>
      </c>
      <c r="C46" t="n">
        <v>73.29000000000001</v>
      </c>
    </row>
    <row r="47">
      <c r="A47" s="9" t="n">
        <v>46129</v>
      </c>
      <c r="B47" s="23">
        <f>B46</f>
        <v/>
      </c>
      <c r="C47" t="n">
        <v>73.09</v>
      </c>
    </row>
    <row r="48">
      <c r="A48" s="9" t="n">
        <v>46132</v>
      </c>
      <c r="B48" s="23">
        <f>B47</f>
        <v/>
      </c>
      <c r="C48" t="n">
        <v>73.84999999999999</v>
      </c>
    </row>
    <row r="49">
      <c r="A49" s="9" t="n">
        <v>46134</v>
      </c>
      <c r="B49" s="23">
        <f>B48</f>
        <v/>
      </c>
      <c r="C49" t="n">
        <v>74.72</v>
      </c>
    </row>
    <row r="50">
      <c r="A50" s="9" t="n">
        <v>46135</v>
      </c>
      <c r="B50" s="23">
        <f>B49</f>
        <v/>
      </c>
      <c r="C50" t="n">
        <v>74.29000000000001</v>
      </c>
    </row>
    <row r="51">
      <c r="A51" s="9" t="n">
        <v>46136</v>
      </c>
      <c r="B51" s="23">
        <f>B50</f>
        <v/>
      </c>
      <c r="C51" t="n">
        <v>74.5</v>
      </c>
    </row>
    <row r="52">
      <c r="A52" s="9" t="n">
        <v>46139</v>
      </c>
      <c r="B52" s="23">
        <f>B51</f>
        <v/>
      </c>
      <c r="C52" t="n">
        <v>75</v>
      </c>
    </row>
    <row r="53">
      <c r="A53" s="9" t="n">
        <v>46140</v>
      </c>
      <c r="B53" s="23">
        <f>B52</f>
        <v/>
      </c>
      <c r="C53" t="n">
        <v>74.76000000000001</v>
      </c>
    </row>
    <row r="54">
      <c r="A54" s="9" t="n">
        <v>46141</v>
      </c>
      <c r="B54" s="23">
        <f>B53</f>
        <v/>
      </c>
      <c r="C54" t="n">
        <v>75.16</v>
      </c>
    </row>
    <row r="55">
      <c r="A55" s="9" t="n">
        <v>46142</v>
      </c>
      <c r="B55" s="23">
        <f>B54</f>
        <v/>
      </c>
      <c r="C55" t="n">
        <v>74.84999999999999</v>
      </c>
    </row>
    <row r="56">
      <c r="A56" s="9" t="n">
        <v>46146</v>
      </c>
      <c r="B56" s="23">
        <f>B55</f>
        <v/>
      </c>
      <c r="C56" t="n">
        <v>74.69</v>
      </c>
    </row>
    <row r="57">
      <c r="A57" s="9" t="n">
        <v>46147</v>
      </c>
      <c r="B57" s="23">
        <f>B56</f>
        <v/>
      </c>
      <c r="C57" t="n">
        <v>73.98999999999999</v>
      </c>
    </row>
    <row r="58">
      <c r="A58" s="9" t="n">
        <v>46148</v>
      </c>
      <c r="B58" s="23">
        <f>B57</f>
        <v/>
      </c>
      <c r="C58" t="n">
        <v>73.56999999999999</v>
      </c>
    </row>
    <row r="59">
      <c r="A59" s="9" t="n">
        <v>46149</v>
      </c>
      <c r="B59" s="23">
        <f>B58</f>
        <v/>
      </c>
      <c r="C59" t="n">
        <v>73.77</v>
      </c>
    </row>
    <row r="60">
      <c r="A60" s="9" t="n">
        <v>46150</v>
      </c>
      <c r="B60" s="23">
        <f>B59</f>
        <v/>
      </c>
      <c r="C60" t="n">
        <v>74.12</v>
      </c>
    </row>
    <row r="61">
      <c r="A61" s="9" t="n">
        <v>46153</v>
      </c>
      <c r="B61" s="23">
        <f>B60</f>
        <v/>
      </c>
      <c r="C61" t="n">
        <v>74.37</v>
      </c>
    </row>
    <row r="62">
      <c r="A62" s="9" t="n">
        <v>46154</v>
      </c>
      <c r="B62" s="23">
        <f>B61</f>
        <v/>
      </c>
      <c r="C62" t="n">
        <v>74.62</v>
      </c>
    </row>
    <row r="63">
      <c r="A63" s="9" t="n">
        <v>46155</v>
      </c>
      <c r="B63" s="23">
        <f>B62</f>
        <v/>
      </c>
      <c r="C63" t="n">
        <v>74.34</v>
      </c>
    </row>
    <row r="64">
      <c r="A64" s="9" t="n">
        <v>46156</v>
      </c>
      <c r="B64" s="23">
        <f>B63</f>
        <v/>
      </c>
      <c r="C64" t="n">
        <v>74.31999999999999</v>
      </c>
    </row>
    <row r="65">
      <c r="A65" s="9" t="n">
        <v>46157</v>
      </c>
      <c r="B65" s="23">
        <f>B64</f>
        <v/>
      </c>
      <c r="C65" t="n">
        <v>74.37</v>
      </c>
    </row>
    <row r="66">
      <c r="A66" s="9" t="n">
        <v>46160</v>
      </c>
      <c r="B66" s="23">
        <f>B65</f>
        <v/>
      </c>
      <c r="C66" t="n">
        <v>74.31999999999999</v>
      </c>
    </row>
    <row r="67">
      <c r="A67" s="9" t="n">
        <v>46161</v>
      </c>
      <c r="B67" s="23">
        <f>B66</f>
        <v/>
      </c>
      <c r="C67" t="n">
        <v>74.48999999999999</v>
      </c>
    </row>
    <row r="68">
      <c r="A68" s="9" t="n">
        <v>46162</v>
      </c>
      <c r="B68" s="23">
        <f>B67</f>
        <v/>
      </c>
      <c r="C68" t="n">
        <v>74.65000000000001</v>
      </c>
    </row>
    <row r="69">
      <c r="A69" s="9" t="n">
        <v>46163</v>
      </c>
      <c r="B69" s="23">
        <f>B68</f>
        <v/>
      </c>
      <c r="C69" t="n">
        <v>74.77</v>
      </c>
    </row>
    <row r="70">
      <c r="A70" s="9" t="n">
        <v>46164</v>
      </c>
      <c r="B70" s="23">
        <f>B69</f>
        <v/>
      </c>
      <c r="C70" t="n">
        <v>74.90000000000001</v>
      </c>
    </row>
    <row r="71">
      <c r="A71" s="9" t="n">
        <v>46167</v>
      </c>
      <c r="B71" s="23">
        <f>B70</f>
        <v/>
      </c>
      <c r="C71" t="n">
        <v>74.61</v>
      </c>
    </row>
    <row r="72">
      <c r="A72" s="9" t="n">
        <v>46168</v>
      </c>
      <c r="B72" s="23">
        <f>B71</f>
        <v/>
      </c>
      <c r="C72" t="n">
        <v>74.3</v>
      </c>
    </row>
    <row r="73">
      <c r="A73" s="9" t="n">
        <v>46169</v>
      </c>
      <c r="B73" s="23">
        <f>B72</f>
        <v/>
      </c>
      <c r="C73" t="n">
        <v>73.64</v>
      </c>
    </row>
    <row r="74">
      <c r="A74" s="9" t="n">
        <v>46170</v>
      </c>
      <c r="B74" s="23">
        <f>B73</f>
        <v/>
      </c>
      <c r="C74" t="n">
        <v>73.95</v>
      </c>
    </row>
    <row r="75">
      <c r="A75" s="9" t="n">
        <v>46171</v>
      </c>
      <c r="B75" s="23">
        <f>B74</f>
        <v/>
      </c>
      <c r="C75" t="n">
        <v>73.39</v>
      </c>
    </row>
    <row r="76">
      <c r="A76" s="9" t="n">
        <v>46174</v>
      </c>
      <c r="B76" s="23">
        <f>B75</f>
        <v/>
      </c>
      <c r="C76" t="n">
        <v>73.34999999999999</v>
      </c>
    </row>
    <row r="77">
      <c r="A77" s="9" t="n">
        <v>46175</v>
      </c>
      <c r="B77" s="23">
        <f>B76</f>
        <v/>
      </c>
      <c r="C77" t="n">
        <v>73.2</v>
      </c>
    </row>
    <row r="78">
      <c r="A78" s="9" t="n">
        <v>46176</v>
      </c>
      <c r="B78" s="23">
        <f>B77</f>
        <v/>
      </c>
      <c r="C78" t="n">
        <v>73.77</v>
      </c>
    </row>
    <row r="79">
      <c r="A79" s="9" t="n">
        <v>46178</v>
      </c>
      <c r="B79" s="23">
        <f>B78</f>
        <v/>
      </c>
      <c r="C79" t="n">
        <v>74.23999999999999</v>
      </c>
    </row>
    <row r="80">
      <c r="A80" s="9" t="n">
        <v>46181</v>
      </c>
      <c r="B80" s="23">
        <f>B79</f>
        <v/>
      </c>
      <c r="C80" t="n">
        <v>73.48999999999999</v>
      </c>
    </row>
    <row r="81">
      <c r="A81" s="9" t="n">
        <v>46182</v>
      </c>
      <c r="B81" s="23">
        <f>B80</f>
        <v/>
      </c>
      <c r="C81" t="n">
        <v>73.55</v>
      </c>
    </row>
    <row r="82">
      <c r="A82" s="9" t="n">
        <v>46183</v>
      </c>
      <c r="B82" s="23">
        <f>B81</f>
        <v/>
      </c>
      <c r="C82" t="n">
        <v>73.28</v>
      </c>
    </row>
    <row r="83">
      <c r="A83" s="9" t="n">
        <v>46184</v>
      </c>
      <c r="B83" s="23">
        <f>B82</f>
        <v/>
      </c>
      <c r="C83" t="n">
        <v>73.08</v>
      </c>
    </row>
    <row r="84">
      <c r="A84" s="9" t="n">
        <v>46185</v>
      </c>
      <c r="B84" s="23">
        <f>B83</f>
        <v/>
      </c>
      <c r="C84" t="n">
        <v>73.34999999999999</v>
      </c>
    </row>
    <row r="85">
      <c r="A85" s="9" t="n">
        <v>46188</v>
      </c>
      <c r="B85" s="23">
        <f>B84</f>
        <v/>
      </c>
      <c r="C85" t="n">
        <v>73.5</v>
      </c>
    </row>
    <row r="86">
      <c r="A86" s="9" t="n">
        <v>46189</v>
      </c>
      <c r="B86" s="23">
        <f>B85</f>
        <v/>
      </c>
      <c r="C86" t="n">
        <v>73.33</v>
      </c>
    </row>
    <row r="87">
      <c r="A87" s="9" t="n">
        <v>46190</v>
      </c>
      <c r="B87" s="23">
        <f>B86</f>
        <v/>
      </c>
      <c r="C87" t="n">
        <v>73.41</v>
      </c>
    </row>
    <row r="88">
      <c r="A88" s="9" t="n">
        <v>46191</v>
      </c>
      <c r="B88" s="23">
        <f>B87</f>
        <v/>
      </c>
      <c r="C88" t="n">
        <v>73.41</v>
      </c>
    </row>
    <row r="89">
      <c r="A89" s="9" t="n">
        <v>46192</v>
      </c>
      <c r="B89" s="23">
        <f>B88</f>
        <v/>
      </c>
      <c r="C89" t="n">
        <v>73.14</v>
      </c>
    </row>
    <row r="90">
      <c r="A90" s="9" t="n">
        <v>46195</v>
      </c>
      <c r="B90" s="23">
        <f>B89</f>
        <v/>
      </c>
      <c r="C90" t="n">
        <v>73.09</v>
      </c>
    </row>
    <row r="91">
      <c r="A91" s="9" t="n">
        <v>46196</v>
      </c>
      <c r="B91" s="23">
        <f>B90</f>
        <v/>
      </c>
      <c r="C91" t="n">
        <v>73.36</v>
      </c>
    </row>
    <row r="92">
      <c r="A92" s="9" t="n">
        <v>46197</v>
      </c>
      <c r="B92" s="23">
        <f>B91</f>
        <v/>
      </c>
      <c r="C92" t="n">
        <v>73.17</v>
      </c>
    </row>
    <row r="93">
      <c r="A93" s="9" t="n">
        <v>46198</v>
      </c>
      <c r="B93" s="23">
        <f>B92</f>
        <v/>
      </c>
      <c r="C93" t="n">
        <v>73.61</v>
      </c>
    </row>
    <row r="94">
      <c r="A94" s="9" t="n">
        <v>46199</v>
      </c>
      <c r="B94" s="23">
        <f>B93</f>
        <v/>
      </c>
      <c r="C94" t="n">
        <v>73.56999999999999</v>
      </c>
    </row>
    <row r="95">
      <c r="A95" s="9" t="n"/>
      <c r="B95" s="23">
        <f>B103</f>
        <v/>
      </c>
    </row>
    <row r="96">
      <c r="A96" s="9" t="n"/>
      <c r="B96" s="23">
        <f>B104</f>
        <v/>
      </c>
    </row>
    <row r="97">
      <c r="A97" s="9" t="n"/>
      <c r="B97" s="23">
        <f>B105</f>
        <v/>
      </c>
    </row>
    <row r="98">
      <c r="A98" s="9" t="n"/>
      <c r="B98" s="23">
        <f>B106</f>
        <v/>
      </c>
    </row>
    <row r="99">
      <c r="A99" s="9" t="n"/>
      <c r="B99" s="23">
        <f>B107</f>
        <v/>
      </c>
    </row>
    <row r="100">
      <c r="A100" s="9" t="n"/>
      <c r="B100" s="23">
        <f>B108</f>
        <v/>
      </c>
    </row>
    <row r="101">
      <c r="A101" s="9" t="n"/>
      <c r="B101" s="23">
        <f>B109</f>
        <v/>
      </c>
    </row>
    <row r="102">
      <c r="A102" s="9" t="n"/>
      <c r="B102" s="23">
        <f>B110</f>
        <v/>
      </c>
    </row>
    <row r="103">
      <c r="A103" s="9" t="n"/>
      <c r="B103" s="23">
        <f>B111</f>
        <v/>
      </c>
    </row>
    <row r="104">
      <c r="A104" s="9" t="n"/>
      <c r="B104" s="23">
        <f>B112</f>
        <v/>
      </c>
    </row>
    <row r="105">
      <c r="A105" s="9" t="n"/>
      <c r="B105" s="23">
        <f>B113</f>
        <v/>
      </c>
    </row>
    <row r="106">
      <c r="A106" s="9" t="n"/>
      <c r="B106" s="23">
        <f>B114</f>
        <v/>
      </c>
    </row>
    <row r="107">
      <c r="A107" s="9" t="n"/>
      <c r="B107" s="23">
        <f>B115</f>
        <v/>
      </c>
    </row>
    <row r="108">
      <c r="A108" s="9" t="n"/>
      <c r="B108" s="23">
        <f>B116</f>
        <v/>
      </c>
    </row>
    <row r="109">
      <c r="A109" s="9" t="n"/>
      <c r="B109" s="23">
        <f>B117</f>
        <v/>
      </c>
    </row>
    <row r="110">
      <c r="A110" s="9" t="n"/>
      <c r="B110" s="23">
        <f>B118</f>
        <v/>
      </c>
    </row>
    <row r="111">
      <c r="A111" s="9" t="n"/>
      <c r="B111" s="23">
        <f>B119</f>
        <v/>
      </c>
    </row>
    <row r="112">
      <c r="A112" s="9" t="n"/>
      <c r="B112" s="23">
        <f>B120</f>
        <v/>
      </c>
    </row>
    <row r="113">
      <c r="A113" s="9" t="n"/>
      <c r="B113" s="23">
        <f>B121</f>
        <v/>
      </c>
    </row>
    <row r="114">
      <c r="A114" s="9" t="n"/>
      <c r="B114" s="23">
        <f>B122</f>
        <v/>
      </c>
    </row>
    <row r="115">
      <c r="A115" s="9" t="n"/>
      <c r="B115" s="23">
        <f>B123</f>
        <v/>
      </c>
    </row>
    <row r="116">
      <c r="A116" s="9" t="n"/>
      <c r="B116" s="23">
        <f>B124</f>
        <v/>
      </c>
    </row>
    <row r="117">
      <c r="A117" s="9" t="n"/>
      <c r="B117" s="23">
        <f>B125</f>
        <v/>
      </c>
    </row>
    <row r="118">
      <c r="A118" s="9" t="n"/>
      <c r="B118" s="23">
        <f>B126</f>
        <v/>
      </c>
    </row>
    <row r="119">
      <c r="A119" s="9" t="n"/>
      <c r="B119" s="23">
        <f>B127</f>
        <v/>
      </c>
    </row>
    <row r="120">
      <c r="A120" s="9" t="n"/>
      <c r="B120" s="23">
        <f>B128</f>
        <v/>
      </c>
    </row>
    <row r="121">
      <c r="A121" s="9" t="n"/>
      <c r="B121" s="23">
        <f>B129</f>
        <v/>
      </c>
    </row>
    <row r="122">
      <c r="A122" s="9" t="n"/>
      <c r="B122" s="23">
        <f>B130</f>
        <v/>
      </c>
    </row>
    <row r="123">
      <c r="A123" s="9" t="n"/>
      <c r="B123" s="23">
        <f>B131</f>
        <v/>
      </c>
    </row>
    <row r="124">
      <c r="A124" s="9" t="n"/>
      <c r="B124" s="23">
        <f>B132</f>
        <v/>
      </c>
    </row>
    <row r="125">
      <c r="A125" s="9" t="n"/>
      <c r="B125" s="23">
        <f>B133</f>
        <v/>
      </c>
    </row>
    <row r="126">
      <c r="A126" s="9" t="n"/>
      <c r="B126" s="23">
        <f>B134</f>
        <v/>
      </c>
    </row>
    <row r="127">
      <c r="A127" s="9" t="n"/>
      <c r="B127" s="23">
        <f>B135</f>
        <v/>
      </c>
    </row>
    <row r="128">
      <c r="B128" s="23">
        <f>B136</f>
        <v/>
      </c>
    </row>
    <row r="129">
      <c r="B129" s="23">
        <f>B137</f>
        <v/>
      </c>
    </row>
    <row r="130">
      <c r="B130" s="23">
        <f>B138</f>
        <v/>
      </c>
    </row>
    <row r="131">
      <c r="B131" s="23">
        <f>B139</f>
        <v/>
      </c>
    </row>
    <row r="132">
      <c r="B132" s="23">
        <f>B140</f>
        <v/>
      </c>
    </row>
    <row r="133">
      <c r="B133" s="23">
        <f>B141</f>
        <v/>
      </c>
    </row>
    <row r="134">
      <c r="B134" s="23">
        <f>B142</f>
        <v/>
      </c>
    </row>
    <row r="135">
      <c r="B135" s="23">
        <f>B143</f>
        <v/>
      </c>
    </row>
    <row r="136">
      <c r="B136" s="23">
        <f>B144</f>
        <v/>
      </c>
    </row>
    <row r="137">
      <c r="B137" s="23">
        <f>B145</f>
        <v/>
      </c>
    </row>
    <row r="138">
      <c r="B138" s="23">
        <f>B146</f>
        <v/>
      </c>
    </row>
    <row r="139">
      <c r="B139" s="23">
        <f>B147</f>
        <v/>
      </c>
    </row>
    <row r="140">
      <c r="B140" s="23">
        <f>B148</f>
        <v/>
      </c>
    </row>
    <row r="141">
      <c r="B141" s="23">
        <f>B149</f>
        <v/>
      </c>
    </row>
    <row r="142">
      <c r="B142" s="23">
        <f>B150</f>
        <v/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3">
        <f>B2</f>
        <v/>
      </c>
      <c r="C3" t="n">
        <v>74.7</v>
      </c>
    </row>
    <row r="4">
      <c r="A4" s="9" t="n">
        <v>46063</v>
      </c>
      <c r="B4" s="23">
        <f>B3</f>
        <v/>
      </c>
      <c r="C4" t="n">
        <v>74.7</v>
      </c>
    </row>
    <row r="5">
      <c r="A5" s="9" t="n">
        <v>46064</v>
      </c>
      <c r="B5" s="23">
        <f>B4</f>
        <v/>
      </c>
      <c r="C5" t="n">
        <v>74.69</v>
      </c>
    </row>
    <row r="6">
      <c r="A6" s="9" t="n">
        <v>46065</v>
      </c>
      <c r="B6" s="23">
        <f>B5</f>
        <v/>
      </c>
      <c r="C6" t="n">
        <v>74.59999999999999</v>
      </c>
    </row>
    <row r="7">
      <c r="A7" s="9" t="n">
        <v>46066</v>
      </c>
      <c r="B7" s="23">
        <f>B6</f>
        <v/>
      </c>
      <c r="C7" t="n">
        <v>74.65000000000001</v>
      </c>
    </row>
    <row r="8">
      <c r="A8" s="9" t="n">
        <v>46071</v>
      </c>
      <c r="B8" s="23">
        <f>B7</f>
        <v/>
      </c>
      <c r="C8" t="n">
        <v>74.45999999999999</v>
      </c>
    </row>
    <row r="9">
      <c r="A9" s="9" t="n">
        <v>46072</v>
      </c>
      <c r="B9" s="23">
        <f>B8</f>
        <v/>
      </c>
      <c r="C9" t="n">
        <v>74.40000000000001</v>
      </c>
    </row>
    <row r="10">
      <c r="A10" s="9" t="n">
        <v>46073</v>
      </c>
      <c r="B10" s="23">
        <f>B9</f>
        <v/>
      </c>
      <c r="C10" t="n">
        <v>74.40000000000001</v>
      </c>
    </row>
    <row r="11">
      <c r="A11" s="9" t="n">
        <v>46076</v>
      </c>
      <c r="B11" s="23">
        <f>B10</f>
        <v/>
      </c>
      <c r="C11" t="n">
        <v>74.06999999999999</v>
      </c>
    </row>
    <row r="12">
      <c r="A12" s="9" t="n">
        <v>46077</v>
      </c>
      <c r="B12" s="23">
        <f>B11</f>
        <v/>
      </c>
      <c r="C12" t="n">
        <v>73.89</v>
      </c>
    </row>
    <row r="13">
      <c r="A13" s="9" t="n">
        <v>46078</v>
      </c>
      <c r="B13" s="23">
        <f>B12</f>
        <v/>
      </c>
      <c r="C13" t="n">
        <v>73.73999999999999</v>
      </c>
    </row>
    <row r="14">
      <c r="A14" s="9" t="n">
        <v>46079</v>
      </c>
      <c r="B14" s="23">
        <f>B13</f>
        <v/>
      </c>
      <c r="C14" t="n">
        <v>73.73999999999999</v>
      </c>
    </row>
    <row r="15">
      <c r="A15" s="9" t="n">
        <v>46080</v>
      </c>
      <c r="B15" s="23">
        <f>B14</f>
        <v/>
      </c>
      <c r="C15" t="n">
        <v>74.40000000000001</v>
      </c>
    </row>
    <row r="16">
      <c r="A16" s="9" t="n">
        <v>46083</v>
      </c>
      <c r="B16" s="23">
        <f>B15</f>
        <v/>
      </c>
      <c r="C16" t="n">
        <v>74.84</v>
      </c>
    </row>
    <row r="17">
      <c r="A17" s="9" t="n">
        <v>46084</v>
      </c>
      <c r="B17" s="23">
        <f>B16</f>
        <v/>
      </c>
      <c r="C17" t="n">
        <v>74.98999999999999</v>
      </c>
    </row>
    <row r="18">
      <c r="A18" s="9" t="n">
        <v>46085</v>
      </c>
      <c r="B18" s="23">
        <f>B17</f>
        <v/>
      </c>
      <c r="C18" t="n">
        <v>75</v>
      </c>
    </row>
    <row r="19">
      <c r="A19" s="9" t="n">
        <v>46086</v>
      </c>
      <c r="B19" s="23">
        <f>B18</f>
        <v/>
      </c>
      <c r="C19" t="n">
        <v>75.12</v>
      </c>
    </row>
    <row r="20">
      <c r="A20" s="4" t="n">
        <v>46087</v>
      </c>
      <c r="B20" s="23">
        <f>B19</f>
        <v/>
      </c>
      <c r="C20" t="n">
        <v>75.13</v>
      </c>
    </row>
    <row r="21">
      <c r="A21" s="4" t="n">
        <v>46090</v>
      </c>
      <c r="B21" s="23">
        <f>B20</f>
        <v/>
      </c>
      <c r="C21" t="n">
        <v>75.34999999999999</v>
      </c>
    </row>
    <row r="22">
      <c r="A22" s="4" t="n">
        <v>46091</v>
      </c>
      <c r="B22" s="23">
        <f>B21</f>
        <v/>
      </c>
      <c r="C22" t="n">
        <v>75.31999999999999</v>
      </c>
    </row>
    <row r="23">
      <c r="A23" s="4" t="n">
        <v>46092</v>
      </c>
      <c r="B23" s="23">
        <f>B22</f>
        <v/>
      </c>
      <c r="C23" t="n">
        <v>75.37</v>
      </c>
    </row>
    <row r="24">
      <c r="A24" s="4" t="n">
        <v>46093</v>
      </c>
      <c r="B24" s="23">
        <f>B23</f>
        <v/>
      </c>
      <c r="C24" t="n">
        <v>75.91</v>
      </c>
    </row>
    <row r="25">
      <c r="A25" s="4" t="n">
        <v>46094</v>
      </c>
      <c r="B25" s="23">
        <f>B24</f>
        <v/>
      </c>
      <c r="C25" t="n">
        <v>76.2</v>
      </c>
    </row>
    <row r="26">
      <c r="A26" s="4" t="n">
        <v>46097</v>
      </c>
      <c r="B26" s="23">
        <f>B25</f>
        <v/>
      </c>
      <c r="C26" t="n">
        <v>75.14</v>
      </c>
    </row>
    <row r="27">
      <c r="A27" s="4" t="n">
        <v>46098</v>
      </c>
      <c r="B27" s="23">
        <f>B26</f>
        <v/>
      </c>
      <c r="C27" t="n">
        <v>74.81999999999999</v>
      </c>
    </row>
    <row r="28">
      <c r="A28" s="4" t="n">
        <v>46099</v>
      </c>
      <c r="B28" s="23">
        <f>B27</f>
        <v/>
      </c>
      <c r="C28" t="n">
        <v>75.59</v>
      </c>
    </row>
    <row r="29">
      <c r="A29" s="4" t="n">
        <v>46100</v>
      </c>
      <c r="B29" s="23">
        <f>B28</f>
        <v/>
      </c>
      <c r="C29" t="n">
        <v>75.48</v>
      </c>
    </row>
    <row r="30">
      <c r="A30" s="4" t="n">
        <v>46101</v>
      </c>
      <c r="B30" s="23">
        <f>B29</f>
        <v/>
      </c>
      <c r="C30" t="n">
        <v>76.26000000000001</v>
      </c>
    </row>
    <row r="31">
      <c r="A31" s="4" t="n">
        <v>46104</v>
      </c>
      <c r="B31" s="23">
        <f>B30</f>
        <v/>
      </c>
      <c r="C31" t="n">
        <v>76.08</v>
      </c>
    </row>
    <row r="32">
      <c r="A32" s="9" t="n">
        <v>46105</v>
      </c>
      <c r="B32" s="23">
        <f>B31</f>
        <v/>
      </c>
      <c r="C32" t="n">
        <v>76</v>
      </c>
    </row>
    <row r="33">
      <c r="A33" s="4" t="n">
        <v>46107</v>
      </c>
      <c r="B33" s="23">
        <f>B32</f>
        <v/>
      </c>
      <c r="C33" t="n">
        <v>75.95999999999999</v>
      </c>
    </row>
    <row r="34">
      <c r="A34" s="4" t="n">
        <v>46108</v>
      </c>
      <c r="B34" s="23">
        <f>B33</f>
        <v/>
      </c>
      <c r="C34" t="n">
        <v>76</v>
      </c>
    </row>
    <row r="35">
      <c r="A35" s="9" t="n">
        <v>46111</v>
      </c>
      <c r="B35" s="23">
        <f>B34</f>
        <v/>
      </c>
      <c r="C35" t="n">
        <v>77.06999999999999</v>
      </c>
    </row>
    <row r="36">
      <c r="A36" s="9" t="n">
        <v>46112</v>
      </c>
      <c r="B36" s="23">
        <f>B35</f>
        <v/>
      </c>
      <c r="C36" t="n">
        <v>76.91</v>
      </c>
    </row>
    <row r="37">
      <c r="A37" s="9" t="n">
        <v>46113</v>
      </c>
      <c r="B37" s="23">
        <f>B45</f>
        <v/>
      </c>
      <c r="C37" t="n">
        <v>76.78</v>
      </c>
    </row>
    <row r="38">
      <c r="A38" s="9" t="n">
        <v>46114</v>
      </c>
      <c r="B38" s="23">
        <f>B46</f>
        <v/>
      </c>
      <c r="C38" t="n">
        <v>76.86</v>
      </c>
    </row>
    <row r="39">
      <c r="A39" s="9" t="n">
        <v>46118</v>
      </c>
      <c r="B39" s="23">
        <f>B47</f>
        <v/>
      </c>
      <c r="C39" t="n">
        <v>76.63</v>
      </c>
    </row>
    <row r="40">
      <c r="A40" s="9" t="n">
        <v>46120</v>
      </c>
      <c r="B40" s="23">
        <f>B48</f>
        <v/>
      </c>
      <c r="C40" t="n">
        <v>75.70999999999999</v>
      </c>
    </row>
    <row r="41">
      <c r="A41" s="9" t="n">
        <v>46121</v>
      </c>
      <c r="B41" s="23">
        <f>B49</f>
        <v/>
      </c>
      <c r="C41" t="n">
        <v>75.64</v>
      </c>
    </row>
    <row r="42">
      <c r="A42" s="9" t="n">
        <v>46122</v>
      </c>
      <c r="B42" s="23">
        <f>B50</f>
        <v/>
      </c>
      <c r="C42" t="n">
        <v>75.39</v>
      </c>
    </row>
    <row r="43">
      <c r="A43" s="9" t="n">
        <v>46125</v>
      </c>
      <c r="B43" s="23">
        <f>B51</f>
        <v/>
      </c>
      <c r="C43" t="n">
        <v>75.5</v>
      </c>
    </row>
    <row r="44">
      <c r="A44" s="9" t="n">
        <v>46126</v>
      </c>
      <c r="B44" s="23">
        <f>B52</f>
        <v/>
      </c>
      <c r="C44" t="n">
        <v>75.31</v>
      </c>
    </row>
    <row r="45">
      <c r="A45" s="9" t="n">
        <v>46127</v>
      </c>
      <c r="B45" s="23">
        <f>B53</f>
        <v/>
      </c>
      <c r="C45" t="n">
        <v>75.18000000000001</v>
      </c>
    </row>
    <row r="46">
      <c r="A46" s="9" t="n">
        <v>46128</v>
      </c>
      <c r="B46" s="23">
        <f>B54</f>
        <v/>
      </c>
      <c r="C46" t="n">
        <v>75.2</v>
      </c>
    </row>
    <row r="47">
      <c r="A47" s="9" t="n">
        <v>46129</v>
      </c>
      <c r="B47" s="23">
        <f>B46</f>
        <v/>
      </c>
      <c r="C47" t="n">
        <v>75.11</v>
      </c>
    </row>
    <row r="48">
      <c r="A48" s="9" t="n">
        <v>46132</v>
      </c>
      <c r="B48" s="23">
        <f>B47</f>
        <v/>
      </c>
      <c r="C48" t="n">
        <v>75.06</v>
      </c>
    </row>
    <row r="49">
      <c r="A49" s="9" t="n">
        <v>46134</v>
      </c>
      <c r="B49" s="23">
        <f>B48</f>
        <v/>
      </c>
      <c r="C49" t="n">
        <v>75.88</v>
      </c>
    </row>
    <row r="50">
      <c r="A50" s="9" t="n">
        <v>46135</v>
      </c>
      <c r="B50" s="23">
        <f>B49</f>
        <v/>
      </c>
      <c r="C50" t="n">
        <v>75.39</v>
      </c>
    </row>
    <row r="51">
      <c r="A51" s="9" t="n">
        <v>46136</v>
      </c>
      <c r="B51" s="23">
        <f>B50</f>
        <v/>
      </c>
      <c r="C51" t="n">
        <v>75.26000000000001</v>
      </c>
    </row>
    <row r="52">
      <c r="A52" s="9" t="n">
        <v>46139</v>
      </c>
      <c r="B52" s="23">
        <f>B51</f>
        <v/>
      </c>
      <c r="C52" t="n">
        <v>75.67</v>
      </c>
    </row>
    <row r="53">
      <c r="A53" s="9" t="n">
        <v>46140</v>
      </c>
      <c r="B53" s="23">
        <f>B52</f>
        <v/>
      </c>
      <c r="C53" t="n">
        <v>75.5</v>
      </c>
    </row>
    <row r="54">
      <c r="A54" s="9" t="n">
        <v>46141</v>
      </c>
      <c r="B54" s="23">
        <f>B53</f>
        <v/>
      </c>
      <c r="C54" t="n">
        <v>75.52</v>
      </c>
    </row>
    <row r="55">
      <c r="A55" s="9" t="n">
        <v>46142</v>
      </c>
      <c r="B55" s="23">
        <f>B54</f>
        <v/>
      </c>
      <c r="C55" t="n">
        <v>75.11</v>
      </c>
    </row>
    <row r="56">
      <c r="A56" s="9" t="n">
        <v>46146</v>
      </c>
      <c r="B56" s="23">
        <f>B55</f>
        <v/>
      </c>
      <c r="C56" t="n">
        <v>74.90000000000001</v>
      </c>
    </row>
    <row r="57">
      <c r="A57" s="9" t="n">
        <v>46147</v>
      </c>
      <c r="B57" s="23">
        <f>B56</f>
        <v/>
      </c>
      <c r="C57" t="n">
        <v>74.52</v>
      </c>
    </row>
    <row r="58">
      <c r="A58" s="9" t="n">
        <v>46148</v>
      </c>
      <c r="B58" s="23">
        <f>B57</f>
        <v/>
      </c>
      <c r="C58" t="n">
        <v>74.14</v>
      </c>
    </row>
    <row r="59">
      <c r="A59" s="9" t="n">
        <v>46149</v>
      </c>
      <c r="B59" s="23">
        <f>B58</f>
        <v/>
      </c>
      <c r="C59" t="n">
        <v>74.26000000000001</v>
      </c>
    </row>
    <row r="60">
      <c r="A60" s="9" t="n">
        <v>46150</v>
      </c>
      <c r="B60" s="23">
        <f>B59</f>
        <v/>
      </c>
      <c r="C60" t="n">
        <v>74.44</v>
      </c>
    </row>
    <row r="61">
      <c r="A61" s="9" t="n">
        <v>46153</v>
      </c>
      <c r="B61" s="23">
        <f>B60</f>
        <v/>
      </c>
      <c r="C61" t="n">
        <v>75.02</v>
      </c>
    </row>
    <row r="62">
      <c r="A62" s="9" t="n">
        <v>46154</v>
      </c>
      <c r="B62" s="23">
        <f>B61</f>
        <v/>
      </c>
      <c r="C62" t="n">
        <v>75.01000000000001</v>
      </c>
    </row>
    <row r="63">
      <c r="A63" s="9" t="n">
        <v>46155</v>
      </c>
      <c r="B63" s="23">
        <f>B62</f>
        <v/>
      </c>
      <c r="C63" t="n">
        <v>74.92</v>
      </c>
    </row>
    <row r="64">
      <c r="A64" s="9" t="n">
        <v>46156</v>
      </c>
      <c r="B64" s="23">
        <f>B63</f>
        <v/>
      </c>
      <c r="C64" t="n">
        <v>74.83</v>
      </c>
    </row>
    <row r="65">
      <c r="A65" s="9" t="n">
        <v>46157</v>
      </c>
      <c r="B65" s="23">
        <f>B64</f>
        <v/>
      </c>
      <c r="C65" t="n">
        <v>74.93000000000001</v>
      </c>
    </row>
    <row r="66">
      <c r="A66" s="9" t="n">
        <v>46160</v>
      </c>
      <c r="B66" s="23">
        <f>B65</f>
        <v/>
      </c>
      <c r="C66" t="n">
        <v>75.14</v>
      </c>
    </row>
    <row r="67">
      <c r="A67" s="9" t="n">
        <v>46161</v>
      </c>
      <c r="B67" s="23">
        <f>B66</f>
        <v/>
      </c>
      <c r="C67" t="n">
        <v>75.20999999999999</v>
      </c>
    </row>
    <row r="68">
      <c r="A68" s="9" t="n">
        <v>46162</v>
      </c>
      <c r="B68" s="23">
        <f>B67</f>
        <v/>
      </c>
      <c r="C68" t="n">
        <v>75.37</v>
      </c>
    </row>
    <row r="69">
      <c r="A69" s="9" t="n">
        <v>46163</v>
      </c>
      <c r="B69" s="23">
        <f>B68</f>
        <v/>
      </c>
      <c r="C69" t="n">
        <v>75.68000000000001</v>
      </c>
    </row>
    <row r="70">
      <c r="A70" s="9" t="n">
        <v>46164</v>
      </c>
      <c r="B70" s="23">
        <f>B69</f>
        <v/>
      </c>
      <c r="C70" t="n">
        <v>75.84999999999999</v>
      </c>
    </row>
    <row r="71">
      <c r="A71" s="9" t="n">
        <v>46167</v>
      </c>
      <c r="B71" s="23">
        <f>B70</f>
        <v/>
      </c>
      <c r="C71" t="n">
        <v>75.31</v>
      </c>
    </row>
    <row r="72">
      <c r="A72" s="9" t="n">
        <v>46168</v>
      </c>
      <c r="B72" s="23">
        <f>B71</f>
        <v/>
      </c>
      <c r="C72" t="n">
        <v>75.39</v>
      </c>
    </row>
    <row r="73">
      <c r="A73" s="9" t="n">
        <v>46169</v>
      </c>
      <c r="B73" s="23">
        <f>B72</f>
        <v/>
      </c>
      <c r="C73" t="n">
        <v>75.11</v>
      </c>
    </row>
    <row r="74">
      <c r="A74" s="9" t="n">
        <v>46170</v>
      </c>
      <c r="B74" s="23">
        <f>B73</f>
        <v/>
      </c>
      <c r="C74" t="n">
        <v>75.23</v>
      </c>
    </row>
    <row r="75">
      <c r="A75" s="9" t="n">
        <v>46171</v>
      </c>
      <c r="B75" s="23">
        <f>B74</f>
        <v/>
      </c>
      <c r="C75" t="n">
        <v>75</v>
      </c>
    </row>
    <row r="76">
      <c r="A76" s="9" t="n">
        <v>46174</v>
      </c>
      <c r="B76" s="23">
        <f>B75</f>
        <v/>
      </c>
      <c r="C76" t="n">
        <v>75.02</v>
      </c>
    </row>
    <row r="77">
      <c r="A77" s="9" t="n">
        <v>46175</v>
      </c>
      <c r="B77" s="23">
        <f>B76</f>
        <v/>
      </c>
      <c r="C77" t="n">
        <v>74.97</v>
      </c>
    </row>
    <row r="78">
      <c r="A78" s="9" t="n">
        <v>46176</v>
      </c>
      <c r="B78" s="23">
        <f>B77</f>
        <v/>
      </c>
      <c r="C78" t="n">
        <v>75.17</v>
      </c>
    </row>
    <row r="79">
      <c r="A79" s="9" t="n">
        <v>46178</v>
      </c>
      <c r="B79" s="23">
        <f>B78</f>
        <v/>
      </c>
      <c r="C79" t="n">
        <v>75.79000000000001</v>
      </c>
    </row>
    <row r="80">
      <c r="A80" s="9" t="n">
        <v>46181</v>
      </c>
      <c r="B80" s="23">
        <f>B79</f>
        <v/>
      </c>
      <c r="C80" t="n">
        <v>75.23999999999999</v>
      </c>
    </row>
    <row r="81">
      <c r="A81" s="9" t="n">
        <v>46182</v>
      </c>
      <c r="B81" s="23">
        <f>B80</f>
        <v/>
      </c>
      <c r="C81" t="n">
        <v>75.14</v>
      </c>
    </row>
    <row r="82">
      <c r="A82" s="9" t="n">
        <v>46183</v>
      </c>
      <c r="B82" s="23">
        <f>B81</f>
        <v/>
      </c>
      <c r="C82" t="n">
        <v>75.09</v>
      </c>
    </row>
    <row r="83">
      <c r="A83" s="9" t="n">
        <v>46184</v>
      </c>
      <c r="B83" s="23">
        <f>B82</f>
        <v/>
      </c>
      <c r="C83" t="n">
        <v>74.98999999999999</v>
      </c>
    </row>
    <row r="84">
      <c r="A84" s="9" t="n">
        <v>46185</v>
      </c>
      <c r="B84" s="23">
        <f>B83</f>
        <v/>
      </c>
      <c r="C84" t="n">
        <v>75.13</v>
      </c>
    </row>
    <row r="85">
      <c r="A85" s="9" t="n">
        <v>46188</v>
      </c>
      <c r="B85" s="23">
        <f>B84</f>
        <v/>
      </c>
      <c r="C85" t="n">
        <v>75.22</v>
      </c>
    </row>
    <row r="86">
      <c r="A86" s="9" t="n">
        <v>46189</v>
      </c>
      <c r="B86" s="23">
        <f>B85</f>
        <v/>
      </c>
      <c r="C86" t="n">
        <v>75.11</v>
      </c>
    </row>
    <row r="87">
      <c r="A87" s="9" t="n">
        <v>46190</v>
      </c>
      <c r="B87" s="23">
        <f>B86</f>
        <v/>
      </c>
      <c r="C87" t="n">
        <v>75.09999999999999</v>
      </c>
    </row>
    <row r="88">
      <c r="A88" s="9" t="n">
        <v>46191</v>
      </c>
      <c r="B88" s="23">
        <f>B87</f>
        <v/>
      </c>
      <c r="C88" t="n">
        <v>75.13</v>
      </c>
    </row>
    <row r="89">
      <c r="A89" s="9" t="n">
        <v>46192</v>
      </c>
      <c r="B89" s="23">
        <f>B88</f>
        <v/>
      </c>
      <c r="C89" t="n">
        <v>74.88</v>
      </c>
    </row>
    <row r="90">
      <c r="A90" s="9" t="n">
        <v>46195</v>
      </c>
      <c r="B90" s="23">
        <f>B89</f>
        <v/>
      </c>
      <c r="C90" t="n">
        <v>74.92</v>
      </c>
    </row>
    <row r="91">
      <c r="A91" s="9" t="n">
        <v>46196</v>
      </c>
      <c r="B91" s="23">
        <f>B90</f>
        <v/>
      </c>
      <c r="C91" t="n">
        <v>75.13</v>
      </c>
    </row>
    <row r="92">
      <c r="A92" s="9" t="n">
        <v>46197</v>
      </c>
      <c r="B92" s="23">
        <f>B91</f>
        <v/>
      </c>
      <c r="C92" t="n">
        <v>75.09</v>
      </c>
    </row>
    <row r="93">
      <c r="A93" s="9" t="n">
        <v>46198</v>
      </c>
      <c r="B93" s="23">
        <f>B92</f>
        <v/>
      </c>
      <c r="C93" t="n">
        <v>75.19</v>
      </c>
    </row>
    <row r="94">
      <c r="A94" s="9" t="n">
        <v>46199</v>
      </c>
      <c r="B94" s="23">
        <f>B93</f>
        <v/>
      </c>
      <c r="C94" t="n">
        <v>74.98999999999999</v>
      </c>
    </row>
    <row r="95">
      <c r="A95" s="9">
        <f>IF('S.H BOI GORDO'!A7174=""," ",'S.H BOI GORDO'!A7174)</f>
        <v/>
      </c>
      <c r="B95" s="23">
        <f>B103</f>
        <v/>
      </c>
    </row>
    <row r="96">
      <c r="A96" s="9">
        <f>IF('S.H BOI GORDO'!A7175=""," ",'S.H BOI GORDO'!A7175)</f>
        <v/>
      </c>
      <c r="B96" s="23">
        <f>B104</f>
        <v/>
      </c>
    </row>
    <row r="97">
      <c r="A97" s="9">
        <f>IF('S.H BOI GORDO'!A7176=""," ",'S.H BOI GORDO'!A7176)</f>
        <v/>
      </c>
      <c r="B97" s="23">
        <f>B105</f>
        <v/>
      </c>
    </row>
    <row r="98">
      <c r="A98" s="9">
        <f>IF('S.H BOI GORDO'!A7177=""," ",'S.H BOI GORDO'!A7177)</f>
        <v/>
      </c>
      <c r="B98" s="23">
        <f>B106</f>
        <v/>
      </c>
    </row>
    <row r="99">
      <c r="A99" s="9">
        <f>IF('S.H BOI GORDO'!A7178=""," ",'S.H BOI GORDO'!A7178)</f>
        <v/>
      </c>
      <c r="B99" s="23">
        <f>B107</f>
        <v/>
      </c>
    </row>
    <row r="100">
      <c r="A100" s="9">
        <f>IF('S.H BOI GORDO'!A7179=""," ",'S.H BOI GORDO'!A7179)</f>
        <v/>
      </c>
      <c r="B100" s="23">
        <f>B108</f>
        <v/>
      </c>
    </row>
    <row r="101">
      <c r="A101" s="9">
        <f>IF('S.H BOI GORDO'!A7180=""," ",'S.H BOI GORDO'!A7180)</f>
        <v/>
      </c>
      <c r="B101" s="23">
        <f>B109</f>
        <v/>
      </c>
    </row>
    <row r="102">
      <c r="A102" s="9">
        <f>IF('S.H BOI GORDO'!A7181=""," ",'S.H BOI GORDO'!A7181)</f>
        <v/>
      </c>
      <c r="B102" s="23">
        <f>B110</f>
        <v/>
      </c>
    </row>
    <row r="103">
      <c r="A103" s="9">
        <f>IF('S.H BOI GORDO'!A7182=""," ",'S.H BOI GORDO'!A7182)</f>
        <v/>
      </c>
      <c r="B103" s="23">
        <f>B111</f>
        <v/>
      </c>
    </row>
    <row r="104">
      <c r="A104" s="9">
        <f>IF('S.H BOI GORDO'!A7183=""," ",'S.H BOI GORDO'!A7183)</f>
        <v/>
      </c>
      <c r="B104" s="23">
        <f>B112</f>
        <v/>
      </c>
    </row>
    <row r="105">
      <c r="A105" s="9">
        <f>IF('S.H BOI GORDO'!A7184=""," ",'S.H BOI GORDO'!A7184)</f>
        <v/>
      </c>
      <c r="B105" s="23">
        <f>B113</f>
        <v/>
      </c>
    </row>
    <row r="106">
      <c r="A106" s="9">
        <f>IF('S.H BOI GORDO'!A7185=""," ",'S.H BOI GORDO'!A7185)</f>
        <v/>
      </c>
      <c r="B106" s="23">
        <f>B114</f>
        <v/>
      </c>
    </row>
    <row r="107">
      <c r="A107" s="9">
        <f>IF('S.H BOI GORDO'!A7186=""," ",'S.H BOI GORDO'!A7186)</f>
        <v/>
      </c>
      <c r="B107" s="23">
        <f>B115</f>
        <v/>
      </c>
    </row>
    <row r="108">
      <c r="A108" s="9">
        <f>IF('S.H BOI GORDO'!A7187=""," ",'S.H BOI GORDO'!A7187)</f>
        <v/>
      </c>
      <c r="B108" s="23">
        <f>B116</f>
        <v/>
      </c>
    </row>
    <row r="109">
      <c r="A109" s="9">
        <f>IF('S.H BOI GORDO'!A7188=""," ",'S.H BOI GORDO'!A7188)</f>
        <v/>
      </c>
      <c r="B109" s="23">
        <f>B117</f>
        <v/>
      </c>
    </row>
    <row r="110">
      <c r="A110" s="9">
        <f>IF('S.H BOI GORDO'!A7189=""," ",'S.H BOI GORDO'!A7189)</f>
        <v/>
      </c>
      <c r="B110" s="23">
        <f>B118</f>
        <v/>
      </c>
    </row>
    <row r="111">
      <c r="A111" s="9">
        <f>IF('S.H BOI GORDO'!A7190=""," ",'S.H BOI GORDO'!A7190)</f>
        <v/>
      </c>
      <c r="B111" s="23">
        <f>B119</f>
        <v/>
      </c>
    </row>
    <row r="112">
      <c r="A112" s="9">
        <f>IF('S.H BOI GORDO'!A7191=""," ",'S.H BOI GORDO'!A7191)</f>
        <v/>
      </c>
      <c r="B112" s="23">
        <f>B120</f>
        <v/>
      </c>
    </row>
    <row r="113">
      <c r="A113" s="9">
        <f>IF('S.H BOI GORDO'!A7192=""," ",'S.H BOI GORDO'!A7192)</f>
        <v/>
      </c>
      <c r="B113" s="23">
        <f>B121</f>
        <v/>
      </c>
    </row>
    <row r="114">
      <c r="A114" s="9">
        <f>IF('S.H BOI GORDO'!A7193=""," ",'S.H BOI GORDO'!A7193)</f>
        <v/>
      </c>
      <c r="B114" s="23">
        <f>B122</f>
        <v/>
      </c>
    </row>
    <row r="115">
      <c r="A115" s="9">
        <f>IF('S.H BOI GORDO'!A7194=""," ",'S.H BOI GORDO'!A7194)</f>
        <v/>
      </c>
      <c r="B115" s="23">
        <f>B123</f>
        <v/>
      </c>
    </row>
    <row r="116">
      <c r="A116" s="9">
        <f>IF('S.H BOI GORDO'!A7195=""," ",'S.H BOI GORDO'!A7195)</f>
        <v/>
      </c>
      <c r="B116" s="23">
        <f>B124</f>
        <v/>
      </c>
    </row>
    <row r="117">
      <c r="A117" s="9">
        <f>IF('S.H BOI GORDO'!A7196=""," ",'S.H BOI GORDO'!A7196)</f>
        <v/>
      </c>
      <c r="B117" s="23">
        <f>B125</f>
        <v/>
      </c>
    </row>
    <row r="118">
      <c r="A118" s="9">
        <f>IF('S.H BOI GORDO'!A7197=""," ",'S.H BOI GORDO'!A7197)</f>
        <v/>
      </c>
      <c r="B118" s="23">
        <f>B126</f>
        <v/>
      </c>
    </row>
    <row r="119">
      <c r="A119" s="9">
        <f>IF('S.H BOI GORDO'!A7198=""," ",'S.H BOI GORDO'!A7198)</f>
        <v/>
      </c>
      <c r="B119" s="23">
        <f>B127</f>
        <v/>
      </c>
    </row>
    <row r="120">
      <c r="A120" s="9">
        <f>IF('S.H BOI GORDO'!A7199=""," ",'S.H BOI GORDO'!A7199)</f>
        <v/>
      </c>
      <c r="B120" s="23">
        <f>B128</f>
        <v/>
      </c>
    </row>
    <row r="121">
      <c r="A121" s="9">
        <f>IF('S.H BOI GORDO'!A7200=""," ",'S.H BOI GORDO'!A7200)</f>
        <v/>
      </c>
      <c r="B121" s="23">
        <f>B129</f>
        <v/>
      </c>
    </row>
    <row r="122">
      <c r="A122" s="9">
        <f>IF('S.H BOI GORDO'!A7201=""," ",'S.H BOI GORDO'!A7201)</f>
        <v/>
      </c>
      <c r="B122" s="23">
        <f>B130</f>
        <v/>
      </c>
    </row>
    <row r="123">
      <c r="A123" s="9">
        <f>IF('S.H BOI GORDO'!A7202=""," ",'S.H BOI GORDO'!A7202)</f>
        <v/>
      </c>
      <c r="B123" s="23">
        <f>B131</f>
        <v/>
      </c>
    </row>
    <row r="124">
      <c r="A124" s="9">
        <f>IF('S.H BOI GORDO'!A7203=""," ",'S.H BOI GORDO'!A7203)</f>
        <v/>
      </c>
      <c r="B124" s="23">
        <f>B132</f>
        <v/>
      </c>
    </row>
    <row r="125">
      <c r="A125" s="9">
        <f>IF('S.H BOI GORDO'!A7204=""," ",'S.H BOI GORDO'!A7204)</f>
        <v/>
      </c>
      <c r="B125" s="23">
        <f>B133</f>
        <v/>
      </c>
    </row>
    <row r="126">
      <c r="A126" s="9">
        <f>IF('S.H BOI GORDO'!A7205=""," ",'S.H BOI GORDO'!A7205)</f>
        <v/>
      </c>
      <c r="B126" s="23">
        <f>B134</f>
        <v/>
      </c>
    </row>
    <row r="127">
      <c r="A127" s="9">
        <f>IF('S.H BOI GORDO'!A7206=""," ",'S.H BOI GORDO'!A7206)</f>
        <v/>
      </c>
      <c r="B127" s="23">
        <f>B135</f>
        <v/>
      </c>
    </row>
    <row r="128">
      <c r="B128" s="23">
        <f>B136</f>
        <v/>
      </c>
    </row>
    <row r="129">
      <c r="B129" s="23">
        <f>B137</f>
        <v/>
      </c>
    </row>
    <row r="130">
      <c r="B130" s="23">
        <f>B138</f>
        <v/>
      </c>
    </row>
    <row r="131">
      <c r="B131" s="23">
        <f>B139</f>
        <v/>
      </c>
    </row>
    <row r="132">
      <c r="B132" s="23">
        <f>B140</f>
        <v/>
      </c>
    </row>
    <row r="133">
      <c r="B133" s="23">
        <f>B141</f>
        <v/>
      </c>
    </row>
    <row r="134">
      <c r="B134" s="23">
        <f>B142</f>
        <v/>
      </c>
    </row>
    <row r="135">
      <c r="B135" s="23">
        <f>B143</f>
        <v/>
      </c>
    </row>
    <row r="136">
      <c r="B136" s="23">
        <f>B144</f>
        <v/>
      </c>
    </row>
    <row r="137">
      <c r="B137" s="23">
        <f>B145</f>
        <v/>
      </c>
    </row>
    <row r="138">
      <c r="B138" s="23">
        <f>B146</f>
        <v/>
      </c>
    </row>
    <row r="139">
      <c r="B139" s="23">
        <f>B147</f>
        <v/>
      </c>
    </row>
    <row r="140">
      <c r="B140" s="23">
        <f>B148</f>
        <v/>
      </c>
    </row>
    <row r="141">
      <c r="B141" s="23">
        <f>B149</f>
        <v/>
      </c>
    </row>
    <row r="142">
      <c r="B142" s="23">
        <f>B150</f>
        <v/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3">
        <f>B2</f>
        <v/>
      </c>
      <c r="C3" t="n">
        <v>71.22</v>
      </c>
    </row>
    <row r="4">
      <c r="A4" s="9" t="n">
        <v>46063</v>
      </c>
      <c r="B4" s="23">
        <f>B3</f>
        <v/>
      </c>
      <c r="C4" t="n">
        <v>71.23</v>
      </c>
    </row>
    <row r="5">
      <c r="A5" s="9" t="n">
        <v>46064</v>
      </c>
      <c r="B5" s="23">
        <f>B4</f>
        <v/>
      </c>
      <c r="C5" t="n">
        <v>71.25</v>
      </c>
    </row>
    <row r="6">
      <c r="A6" s="9" t="n">
        <v>46065</v>
      </c>
      <c r="B6" s="23">
        <f>B5</f>
        <v/>
      </c>
      <c r="C6" t="n">
        <v>71.16</v>
      </c>
    </row>
    <row r="7">
      <c r="A7" s="9" t="n">
        <v>46066</v>
      </c>
      <c r="B7" s="23">
        <f>B6</f>
        <v/>
      </c>
      <c r="C7" t="n">
        <v>71.34</v>
      </c>
    </row>
    <row r="8">
      <c r="A8" s="9" t="n">
        <v>46071</v>
      </c>
      <c r="B8" s="23">
        <f>B7</f>
        <v/>
      </c>
      <c r="C8" t="n">
        <v>71.15000000000001</v>
      </c>
    </row>
    <row r="9">
      <c r="A9" s="9" t="n">
        <v>46072</v>
      </c>
      <c r="B9" s="23">
        <f>B8</f>
        <v/>
      </c>
      <c r="C9" t="n">
        <v>71.09</v>
      </c>
    </row>
    <row r="10">
      <c r="A10" s="9" t="n">
        <v>46073</v>
      </c>
      <c r="B10" s="23">
        <f>B9</f>
        <v/>
      </c>
      <c r="C10" t="n">
        <v>71.09</v>
      </c>
    </row>
    <row r="11">
      <c r="A11" s="9" t="n">
        <v>46076</v>
      </c>
      <c r="B11" s="23">
        <f>B10</f>
        <v/>
      </c>
      <c r="C11" t="n">
        <v>70.76000000000001</v>
      </c>
    </row>
    <row r="12">
      <c r="A12" s="9" t="n">
        <v>46077</v>
      </c>
      <c r="B12" s="23">
        <f>B11</f>
        <v/>
      </c>
      <c r="C12" t="n">
        <v>70.58</v>
      </c>
    </row>
    <row r="13">
      <c r="A13" s="9" t="n">
        <v>46078</v>
      </c>
      <c r="B13" s="23">
        <f>B12</f>
        <v/>
      </c>
      <c r="C13" t="n">
        <v>70.43000000000001</v>
      </c>
    </row>
    <row r="14">
      <c r="A14" s="9" t="n">
        <v>46079</v>
      </c>
      <c r="B14" s="23">
        <f>B13</f>
        <v/>
      </c>
      <c r="C14" t="n">
        <v>70.68000000000001</v>
      </c>
    </row>
    <row r="15">
      <c r="A15" s="9" t="n">
        <v>46080</v>
      </c>
      <c r="B15" s="23">
        <f>B14</f>
        <v/>
      </c>
      <c r="C15" t="n">
        <v>71.09</v>
      </c>
    </row>
    <row r="16">
      <c r="A16" s="9" t="n">
        <v>46083</v>
      </c>
      <c r="B16" s="23">
        <f>B15</f>
        <v/>
      </c>
      <c r="C16" t="n">
        <v>71.53</v>
      </c>
    </row>
    <row r="17">
      <c r="A17" s="9" t="n">
        <v>46084</v>
      </c>
      <c r="B17" s="23">
        <f>B16</f>
        <v/>
      </c>
      <c r="C17" t="n">
        <v>71.68000000000001</v>
      </c>
    </row>
    <row r="18">
      <c r="A18" s="9" t="n">
        <v>46085</v>
      </c>
      <c r="B18" s="23">
        <f>B17</f>
        <v/>
      </c>
      <c r="C18" t="n">
        <v>71.69</v>
      </c>
    </row>
    <row r="19">
      <c r="A19" s="9" t="n">
        <v>46086</v>
      </c>
      <c r="B19" s="23">
        <f>B18</f>
        <v/>
      </c>
      <c r="C19" t="n">
        <v>71.81</v>
      </c>
    </row>
    <row r="20">
      <c r="A20" s="4" t="n">
        <v>46087</v>
      </c>
      <c r="B20" s="23">
        <f>B19</f>
        <v/>
      </c>
      <c r="C20" t="n">
        <v>71.81999999999999</v>
      </c>
    </row>
    <row r="21">
      <c r="A21" s="4" t="n">
        <v>46090</v>
      </c>
      <c r="B21" s="23">
        <f>B20</f>
        <v/>
      </c>
      <c r="C21" t="n">
        <v>72.04000000000001</v>
      </c>
    </row>
    <row r="22">
      <c r="A22" s="4" t="n">
        <v>46091</v>
      </c>
      <c r="B22" s="23">
        <f>B21</f>
        <v/>
      </c>
      <c r="C22" t="n">
        <v>72.09</v>
      </c>
    </row>
    <row r="23">
      <c r="A23" s="4" t="n">
        <v>46092</v>
      </c>
      <c r="B23" s="23">
        <f>B22</f>
        <v/>
      </c>
      <c r="C23" t="n">
        <v>72.54000000000001</v>
      </c>
    </row>
    <row r="24">
      <c r="A24" s="4" t="n">
        <v>46093</v>
      </c>
      <c r="B24" s="23">
        <f>B23</f>
        <v/>
      </c>
      <c r="C24" t="n">
        <v>73.08</v>
      </c>
    </row>
    <row r="25">
      <c r="A25" s="4" t="n">
        <v>46094</v>
      </c>
      <c r="B25" s="23">
        <f>B24</f>
        <v/>
      </c>
      <c r="C25" t="n">
        <v>73.37</v>
      </c>
    </row>
    <row r="26">
      <c r="A26" s="4" t="n">
        <v>46097</v>
      </c>
      <c r="B26" s="23">
        <f>B25</f>
        <v/>
      </c>
      <c r="C26" t="n">
        <v>72.31</v>
      </c>
    </row>
    <row r="27">
      <c r="A27" s="4" t="n">
        <v>46098</v>
      </c>
      <c r="B27" s="23">
        <f>B26</f>
        <v/>
      </c>
      <c r="C27" t="n">
        <v>71.98999999999999</v>
      </c>
    </row>
    <row r="28">
      <c r="A28" s="4" t="n">
        <v>46099</v>
      </c>
      <c r="B28" s="23">
        <f>B27</f>
        <v/>
      </c>
      <c r="C28" t="n">
        <v>72.76000000000001</v>
      </c>
    </row>
    <row r="29">
      <c r="A29" s="4" t="n">
        <v>46100</v>
      </c>
      <c r="B29" s="23">
        <f>B28</f>
        <v/>
      </c>
      <c r="C29" t="n">
        <v>72.65000000000001</v>
      </c>
    </row>
    <row r="30">
      <c r="A30" s="4" t="n">
        <v>46101</v>
      </c>
      <c r="B30" s="23">
        <f>B29</f>
        <v/>
      </c>
      <c r="C30" t="n">
        <v>74.75</v>
      </c>
    </row>
    <row r="31">
      <c r="A31" s="4" t="n">
        <v>46104</v>
      </c>
      <c r="B31" s="23">
        <f>B30</f>
        <v/>
      </c>
      <c r="C31" t="n">
        <v>74.33</v>
      </c>
    </row>
    <row r="32">
      <c r="A32" s="9" t="n">
        <v>46105</v>
      </c>
      <c r="B32" s="23">
        <f>B31</f>
        <v/>
      </c>
      <c r="C32" t="n">
        <v>74.2</v>
      </c>
    </row>
    <row r="33">
      <c r="A33" s="4" t="n">
        <v>46107</v>
      </c>
      <c r="B33" s="23">
        <f>B32</f>
        <v/>
      </c>
      <c r="C33" t="n">
        <v>74.16</v>
      </c>
    </row>
    <row r="34">
      <c r="A34" s="4" t="n">
        <v>46108</v>
      </c>
      <c r="B34" s="23">
        <f>B33</f>
        <v/>
      </c>
      <c r="C34" t="n">
        <v>74.2</v>
      </c>
    </row>
    <row r="35">
      <c r="A35" s="9" t="n">
        <v>46111</v>
      </c>
      <c r="B35" s="23">
        <f>B34</f>
        <v/>
      </c>
      <c r="C35" t="n">
        <v>75.27</v>
      </c>
    </row>
    <row r="36">
      <c r="A36" s="9" t="n">
        <v>46112</v>
      </c>
      <c r="B36" s="23">
        <f>B35</f>
        <v/>
      </c>
      <c r="C36" t="n">
        <v>75.11</v>
      </c>
    </row>
    <row r="37">
      <c r="A37" s="9" t="n">
        <v>46113</v>
      </c>
      <c r="B37" s="23">
        <f>B46</f>
        <v/>
      </c>
      <c r="C37" t="n">
        <v>74.98</v>
      </c>
    </row>
    <row r="38">
      <c r="A38" s="9" t="n">
        <v>46114</v>
      </c>
      <c r="B38" s="23">
        <f>B47</f>
        <v/>
      </c>
      <c r="C38" t="n">
        <v>74.73999999999999</v>
      </c>
    </row>
    <row r="39">
      <c r="A39" s="9" t="n">
        <v>46118</v>
      </c>
      <c r="B39" s="23">
        <f>B48</f>
        <v/>
      </c>
      <c r="C39" t="n">
        <v>74.51000000000001</v>
      </c>
    </row>
    <row r="40">
      <c r="A40" s="9" t="n">
        <v>46119</v>
      </c>
      <c r="B40" s="23">
        <f>B49</f>
        <v/>
      </c>
      <c r="C40" t="n">
        <v>74.17</v>
      </c>
    </row>
    <row r="41">
      <c r="A41" s="9" t="n">
        <v>46120</v>
      </c>
      <c r="B41" s="23">
        <f>B50</f>
        <v/>
      </c>
      <c r="C41" t="n">
        <v>73.41</v>
      </c>
    </row>
    <row r="42">
      <c r="A42" s="9" t="n">
        <v>46121</v>
      </c>
      <c r="B42" s="23">
        <f>B51</f>
        <v/>
      </c>
      <c r="C42" t="n">
        <v>73.06999999999999</v>
      </c>
    </row>
    <row r="43">
      <c r="A43" s="9" t="n">
        <v>46122</v>
      </c>
      <c r="B43" s="23">
        <f>B52</f>
        <v/>
      </c>
      <c r="C43" t="n">
        <v>72.43000000000001</v>
      </c>
    </row>
    <row r="44">
      <c r="A44" s="9" t="n">
        <v>46125</v>
      </c>
      <c r="B44" s="23">
        <f>B53</f>
        <v/>
      </c>
      <c r="C44" t="n">
        <v>72.17</v>
      </c>
    </row>
    <row r="45">
      <c r="A45" s="9" t="n">
        <v>46126</v>
      </c>
      <c r="B45" s="23">
        <f>B54</f>
        <v/>
      </c>
      <c r="C45" t="n">
        <v>71.98</v>
      </c>
    </row>
    <row r="46">
      <c r="A46" s="9" t="n">
        <v>46127</v>
      </c>
      <c r="B46" s="23">
        <f>B55</f>
        <v/>
      </c>
      <c r="C46" t="n">
        <v>71.52</v>
      </c>
    </row>
    <row r="47">
      <c r="A47" s="9" t="n">
        <v>46128</v>
      </c>
      <c r="B47" s="23">
        <f>B56</f>
        <v/>
      </c>
      <c r="C47" t="n">
        <v>71.75</v>
      </c>
    </row>
    <row r="48">
      <c r="A48" s="9" t="n">
        <v>46129</v>
      </c>
      <c r="B48" s="23">
        <f>B47</f>
        <v/>
      </c>
      <c r="C48" t="n">
        <v>71.55</v>
      </c>
    </row>
    <row r="49">
      <c r="A49" s="9" t="n">
        <v>46132</v>
      </c>
      <c r="B49" s="23">
        <f>B48</f>
        <v/>
      </c>
      <c r="C49" t="n">
        <v>72.31</v>
      </c>
    </row>
    <row r="50">
      <c r="A50" s="9" t="n">
        <v>46134</v>
      </c>
      <c r="B50" s="23">
        <f>B49</f>
        <v/>
      </c>
      <c r="C50" t="n">
        <v>73.18000000000001</v>
      </c>
    </row>
    <row r="51">
      <c r="A51" s="9" t="n">
        <v>46135</v>
      </c>
      <c r="B51" s="23">
        <f>B50</f>
        <v/>
      </c>
      <c r="C51" t="n">
        <v>72.75</v>
      </c>
    </row>
    <row r="52">
      <c r="A52" s="9" t="n">
        <v>46136</v>
      </c>
      <c r="B52" s="23">
        <f>B51</f>
        <v/>
      </c>
      <c r="C52" t="n">
        <v>72.95999999999999</v>
      </c>
    </row>
    <row r="53">
      <c r="A53" s="9" t="n">
        <v>46139</v>
      </c>
      <c r="B53" s="23">
        <f>B52</f>
        <v/>
      </c>
      <c r="C53" t="n">
        <v>73.45999999999999</v>
      </c>
    </row>
    <row r="54">
      <c r="A54" s="9" t="n">
        <v>46140</v>
      </c>
      <c r="B54" s="23">
        <f>B53</f>
        <v/>
      </c>
      <c r="C54" t="n">
        <v>73.22</v>
      </c>
    </row>
    <row r="55">
      <c r="A55" s="9" t="n">
        <v>46141</v>
      </c>
      <c r="B55" s="23">
        <f>B54</f>
        <v/>
      </c>
      <c r="C55" t="n">
        <v>73.62</v>
      </c>
    </row>
    <row r="56">
      <c r="A56" s="9" t="n">
        <v>46142</v>
      </c>
      <c r="B56" s="23">
        <f>B55</f>
        <v/>
      </c>
      <c r="C56" t="n">
        <v>73.31</v>
      </c>
    </row>
    <row r="57">
      <c r="A57" s="9" t="n">
        <v>46146</v>
      </c>
      <c r="B57" s="23">
        <f>B56</f>
        <v/>
      </c>
      <c r="C57" t="n">
        <v>73.15000000000001</v>
      </c>
    </row>
    <row r="58">
      <c r="A58" s="9" t="n">
        <v>46147</v>
      </c>
      <c r="B58" s="23">
        <f>B57</f>
        <v/>
      </c>
      <c r="C58" t="n">
        <v>72.45</v>
      </c>
    </row>
    <row r="59">
      <c r="A59" s="9" t="n">
        <v>46148</v>
      </c>
      <c r="B59" s="23">
        <f>B58</f>
        <v/>
      </c>
      <c r="C59" t="n">
        <v>72.03</v>
      </c>
    </row>
    <row r="60">
      <c r="A60" s="9" t="n">
        <v>46149</v>
      </c>
      <c r="B60" s="23">
        <f>B59</f>
        <v/>
      </c>
      <c r="C60" t="n">
        <v>72.40000000000001</v>
      </c>
    </row>
    <row r="61">
      <c r="A61" s="9" t="n">
        <v>46150</v>
      </c>
      <c r="B61" s="23">
        <f>B60</f>
        <v/>
      </c>
      <c r="C61" t="n">
        <v>72.75</v>
      </c>
    </row>
    <row r="62">
      <c r="A62" s="9" t="n">
        <v>46153</v>
      </c>
      <c r="B62" s="23">
        <f>B61</f>
        <v/>
      </c>
      <c r="C62" t="n">
        <v>73</v>
      </c>
    </row>
    <row r="63">
      <c r="A63" s="9" t="n">
        <v>46154</v>
      </c>
      <c r="B63" s="23">
        <f>B62</f>
        <v/>
      </c>
      <c r="C63" t="n">
        <v>73.25</v>
      </c>
    </row>
    <row r="64">
      <c r="A64" s="9" t="n">
        <v>46155</v>
      </c>
      <c r="B64" s="23">
        <f>B63</f>
        <v/>
      </c>
      <c r="C64" t="n">
        <v>72.97</v>
      </c>
    </row>
    <row r="65">
      <c r="A65" s="9" t="n">
        <v>46156</v>
      </c>
      <c r="B65" s="23">
        <f>B64</f>
        <v/>
      </c>
      <c r="C65" t="n">
        <v>72.95</v>
      </c>
    </row>
    <row r="66">
      <c r="A66" s="9" t="n">
        <v>46157</v>
      </c>
      <c r="B66" s="23">
        <f>B65</f>
        <v/>
      </c>
      <c r="C66" t="n">
        <v>73</v>
      </c>
    </row>
    <row r="67">
      <c r="A67" s="9" t="n">
        <v>46160</v>
      </c>
      <c r="B67" s="23">
        <f>B66</f>
        <v/>
      </c>
      <c r="C67" t="n">
        <v>72.95</v>
      </c>
    </row>
    <row r="68">
      <c r="A68" s="9" t="n">
        <v>46161</v>
      </c>
      <c r="B68" s="23">
        <f>B67</f>
        <v/>
      </c>
      <c r="C68" t="n">
        <v>73.12</v>
      </c>
    </row>
    <row r="69">
      <c r="A69" s="9" t="n">
        <v>46162</v>
      </c>
      <c r="B69" s="23">
        <f>B68</f>
        <v/>
      </c>
      <c r="C69" t="n">
        <v>73.28</v>
      </c>
    </row>
    <row r="70">
      <c r="A70" s="9" t="n">
        <v>46163</v>
      </c>
      <c r="B70" s="23">
        <f>B69</f>
        <v/>
      </c>
      <c r="C70" t="n">
        <v>73.40000000000001</v>
      </c>
    </row>
    <row r="71">
      <c r="A71" s="9" t="n">
        <v>46164</v>
      </c>
      <c r="B71" s="23">
        <f>B70</f>
        <v/>
      </c>
      <c r="C71" t="n">
        <v>73.53</v>
      </c>
    </row>
    <row r="72">
      <c r="A72" s="9" t="n">
        <v>46167</v>
      </c>
      <c r="B72" s="23">
        <f>B71</f>
        <v/>
      </c>
      <c r="C72" t="n">
        <v>73.23999999999999</v>
      </c>
    </row>
    <row r="73">
      <c r="A73" s="9" t="n">
        <v>46168</v>
      </c>
      <c r="B73" s="23">
        <f>B72</f>
        <v/>
      </c>
      <c r="C73" t="n">
        <v>73.01000000000001</v>
      </c>
    </row>
    <row r="74">
      <c r="A74" s="9" t="n">
        <v>46169</v>
      </c>
      <c r="B74" s="23">
        <f>B73</f>
        <v/>
      </c>
      <c r="C74" t="n">
        <v>72.34999999999999</v>
      </c>
    </row>
    <row r="75">
      <c r="A75" s="9" t="n">
        <v>46170</v>
      </c>
      <c r="B75" s="23">
        <f>B74</f>
        <v/>
      </c>
      <c r="C75" t="n">
        <v>72.66</v>
      </c>
    </row>
    <row r="76">
      <c r="A76" s="9" t="n">
        <v>46171</v>
      </c>
      <c r="B76" s="23">
        <f>B75</f>
        <v/>
      </c>
      <c r="C76" t="n">
        <v>72.66</v>
      </c>
    </row>
    <row r="77">
      <c r="A77" s="9" t="n">
        <v>46174</v>
      </c>
      <c r="B77" s="23">
        <f>B76</f>
        <v/>
      </c>
      <c r="C77" t="n">
        <v>73.58</v>
      </c>
    </row>
    <row r="78">
      <c r="A78" s="9" t="n">
        <v>46175</v>
      </c>
      <c r="B78" s="23">
        <f>B77</f>
        <v/>
      </c>
      <c r="C78" t="n">
        <v>73.75</v>
      </c>
    </row>
    <row r="79">
      <c r="A79" s="9" t="n">
        <v>46176</v>
      </c>
      <c r="B79" s="23">
        <f>B78</f>
        <v/>
      </c>
      <c r="C79" t="n">
        <v>74.31999999999999</v>
      </c>
    </row>
    <row r="80">
      <c r="A80" s="9" t="n">
        <v>46178</v>
      </c>
      <c r="B80" s="23">
        <f>B79</f>
        <v/>
      </c>
      <c r="C80" t="n">
        <v>74.79000000000001</v>
      </c>
    </row>
    <row r="81">
      <c r="A81" s="9" t="n">
        <v>46181</v>
      </c>
      <c r="B81" s="23">
        <f>B80</f>
        <v/>
      </c>
      <c r="C81" t="n">
        <v>74.48999999999999</v>
      </c>
    </row>
    <row r="82">
      <c r="A82" s="9" t="n">
        <v>46182</v>
      </c>
      <c r="B82" s="23">
        <f>B81</f>
        <v/>
      </c>
      <c r="C82" t="n">
        <v>74.38</v>
      </c>
    </row>
    <row r="83">
      <c r="A83" s="9" t="n">
        <v>46183</v>
      </c>
      <c r="B83" s="23">
        <f>B82</f>
        <v/>
      </c>
      <c r="C83" t="n">
        <v>74.11</v>
      </c>
    </row>
    <row r="84">
      <c r="A84" s="9" t="n">
        <v>46184</v>
      </c>
      <c r="B84" s="23">
        <f>B83</f>
        <v/>
      </c>
      <c r="C84" t="n">
        <v>73.91</v>
      </c>
    </row>
    <row r="85">
      <c r="A85" s="9" t="n">
        <v>46185</v>
      </c>
      <c r="B85" s="23">
        <f>B84</f>
        <v/>
      </c>
      <c r="C85" t="n">
        <v>74.18000000000001</v>
      </c>
    </row>
    <row r="86">
      <c r="A86" s="9" t="n">
        <v>46188</v>
      </c>
      <c r="B86" s="23">
        <f>B85</f>
        <v/>
      </c>
      <c r="C86" t="n">
        <v>74.33</v>
      </c>
    </row>
    <row r="87">
      <c r="A87" s="9" t="n">
        <v>46189</v>
      </c>
      <c r="B87" s="23">
        <f>B86</f>
        <v/>
      </c>
      <c r="C87" t="n">
        <v>74.16</v>
      </c>
    </row>
    <row r="88">
      <c r="A88" s="9" t="n">
        <v>46190</v>
      </c>
      <c r="B88" s="23">
        <f>B87</f>
        <v/>
      </c>
      <c r="C88" t="n">
        <v>74.23999999999999</v>
      </c>
    </row>
    <row r="89">
      <c r="A89" s="9" t="n">
        <v>46191</v>
      </c>
      <c r="B89" s="23">
        <f>B88</f>
        <v/>
      </c>
      <c r="C89" t="n">
        <v>74.18000000000001</v>
      </c>
    </row>
    <row r="90">
      <c r="A90" s="9" t="n">
        <v>46192</v>
      </c>
      <c r="B90" s="23">
        <f>B89</f>
        <v/>
      </c>
      <c r="C90" t="n">
        <v>73.56</v>
      </c>
    </row>
    <row r="91">
      <c r="A91" s="9" t="n">
        <v>46195</v>
      </c>
      <c r="B91" s="23">
        <f>B90</f>
        <v/>
      </c>
      <c r="C91" t="n">
        <v>73.15000000000001</v>
      </c>
    </row>
    <row r="92">
      <c r="A92" s="9" t="n">
        <v>46196</v>
      </c>
      <c r="B92" s="23">
        <f>B91</f>
        <v/>
      </c>
      <c r="C92" t="n">
        <v>73.5</v>
      </c>
    </row>
    <row r="93">
      <c r="A93" s="9" t="n">
        <v>46197</v>
      </c>
      <c r="B93" s="23">
        <f>B92</f>
        <v/>
      </c>
      <c r="C93" t="n">
        <v>73.41</v>
      </c>
    </row>
    <row r="94">
      <c r="A94" s="9" t="n">
        <v>46198</v>
      </c>
      <c r="B94" s="23">
        <f>B93</f>
        <v/>
      </c>
      <c r="C94" t="n">
        <v>73.42</v>
      </c>
    </row>
    <row r="95">
      <c r="A95" s="9" t="n">
        <v>46199</v>
      </c>
      <c r="B95" s="23">
        <f>B94</f>
        <v/>
      </c>
      <c r="C95" t="n">
        <v>73.38</v>
      </c>
    </row>
    <row r="96">
      <c r="A96" s="9">
        <f>IF('S.H BOI GORDO'!A7178=""," ",'S.H BOI GORDO'!A7178)</f>
        <v/>
      </c>
      <c r="B96" s="23">
        <f>B105</f>
        <v/>
      </c>
    </row>
    <row r="97">
      <c r="A97" s="9">
        <f>IF('S.H BOI GORDO'!A7179=""," ",'S.H BOI GORDO'!A7179)</f>
        <v/>
      </c>
      <c r="B97" s="23">
        <f>B106</f>
        <v/>
      </c>
    </row>
    <row r="98">
      <c r="A98" s="9">
        <f>IF('S.H BOI GORDO'!A7180=""," ",'S.H BOI GORDO'!A7180)</f>
        <v/>
      </c>
      <c r="B98" s="23">
        <f>B107</f>
        <v/>
      </c>
    </row>
    <row r="99">
      <c r="A99" s="9">
        <f>IF('S.H BOI GORDO'!A7181=""," ",'S.H BOI GORDO'!A7181)</f>
        <v/>
      </c>
      <c r="B99" s="23">
        <f>B108</f>
        <v/>
      </c>
    </row>
    <row r="100">
      <c r="A100" s="9">
        <f>IF('S.H BOI GORDO'!A7182=""," ",'S.H BOI GORDO'!A7182)</f>
        <v/>
      </c>
      <c r="B100" s="23">
        <f>B109</f>
        <v/>
      </c>
    </row>
    <row r="101">
      <c r="A101" s="9">
        <f>IF('S.H BOI GORDO'!A7183=""," ",'S.H BOI GORDO'!A7183)</f>
        <v/>
      </c>
      <c r="B101" s="23">
        <f>B110</f>
        <v/>
      </c>
    </row>
    <row r="102">
      <c r="A102" s="9">
        <f>IF('S.H BOI GORDO'!A7184=""," ",'S.H BOI GORDO'!A7184)</f>
        <v/>
      </c>
      <c r="B102" s="23">
        <f>B111</f>
        <v/>
      </c>
    </row>
    <row r="103">
      <c r="A103" s="9">
        <f>IF('S.H BOI GORDO'!A7185=""," ",'S.H BOI GORDO'!A7185)</f>
        <v/>
      </c>
      <c r="B103" s="23">
        <f>B112</f>
        <v/>
      </c>
    </row>
    <row r="104">
      <c r="A104" s="9">
        <f>IF('S.H BOI GORDO'!A7186=""," ",'S.H BOI GORDO'!A7186)</f>
        <v/>
      </c>
      <c r="B104" s="23">
        <f>B113</f>
        <v/>
      </c>
    </row>
    <row r="105">
      <c r="A105" s="9">
        <f>IF('S.H BOI GORDO'!A7187=""," ",'S.H BOI GORDO'!A7187)</f>
        <v/>
      </c>
      <c r="B105" s="23">
        <f>B114</f>
        <v/>
      </c>
    </row>
    <row r="106">
      <c r="A106" s="9">
        <f>IF('S.H BOI GORDO'!A7188=""," ",'S.H BOI GORDO'!A7188)</f>
        <v/>
      </c>
      <c r="B106" s="23">
        <f>B115</f>
        <v/>
      </c>
    </row>
    <row r="107">
      <c r="A107" s="9">
        <f>IF('S.H BOI GORDO'!A7189=""," ",'S.H BOI GORDO'!A7189)</f>
        <v/>
      </c>
      <c r="B107" s="23">
        <f>B116</f>
        <v/>
      </c>
    </row>
    <row r="108">
      <c r="A108" s="9">
        <f>IF('S.H BOI GORDO'!A7190=""," ",'S.H BOI GORDO'!A7190)</f>
        <v/>
      </c>
      <c r="B108" s="23">
        <f>B117</f>
        <v/>
      </c>
    </row>
    <row r="109">
      <c r="A109" s="9">
        <f>IF('S.H BOI GORDO'!A7191=""," ",'S.H BOI GORDO'!A7191)</f>
        <v/>
      </c>
      <c r="B109" s="23">
        <f>B118</f>
        <v/>
      </c>
    </row>
    <row r="110">
      <c r="A110" s="9">
        <f>IF('S.H BOI GORDO'!A7192=""," ",'S.H BOI GORDO'!A7192)</f>
        <v/>
      </c>
      <c r="B110" s="23">
        <f>B119</f>
        <v/>
      </c>
    </row>
    <row r="111">
      <c r="A111" s="9">
        <f>IF('S.H BOI GORDO'!A7193=""," ",'S.H BOI GORDO'!A7193)</f>
        <v/>
      </c>
      <c r="B111" s="23">
        <f>B120</f>
        <v/>
      </c>
    </row>
    <row r="112">
      <c r="A112" s="9">
        <f>IF('S.H BOI GORDO'!A7194=""," ",'S.H BOI GORDO'!A7194)</f>
        <v/>
      </c>
      <c r="B112" s="23">
        <f>B121</f>
        <v/>
      </c>
    </row>
    <row r="113">
      <c r="A113" s="9">
        <f>IF('S.H BOI GORDO'!A7195=""," ",'S.H BOI GORDO'!A7195)</f>
        <v/>
      </c>
      <c r="B113" s="23">
        <f>B122</f>
        <v/>
      </c>
    </row>
    <row r="114">
      <c r="A114" s="9">
        <f>IF('S.H BOI GORDO'!A7196=""," ",'S.H BOI GORDO'!A7196)</f>
        <v/>
      </c>
      <c r="B114" s="23">
        <f>B123</f>
        <v/>
      </c>
    </row>
    <row r="115">
      <c r="A115" s="9">
        <f>IF('S.H BOI GORDO'!A7197=""," ",'S.H BOI GORDO'!A7197)</f>
        <v/>
      </c>
      <c r="B115" s="23">
        <f>B124</f>
        <v/>
      </c>
    </row>
    <row r="116">
      <c r="A116" s="9">
        <f>IF('S.H BOI GORDO'!A7198=""," ",'S.H BOI GORDO'!A7198)</f>
        <v/>
      </c>
      <c r="B116" s="23">
        <f>B125</f>
        <v/>
      </c>
    </row>
    <row r="117">
      <c r="A117" s="9">
        <f>IF('S.H BOI GORDO'!A7199=""," ",'S.H BOI GORDO'!A7199)</f>
        <v/>
      </c>
      <c r="B117" s="23">
        <f>B126</f>
        <v/>
      </c>
    </row>
    <row r="118">
      <c r="A118" s="9">
        <f>IF('S.H BOI GORDO'!A7200=""," ",'S.H BOI GORDO'!A7200)</f>
        <v/>
      </c>
      <c r="B118" s="23">
        <f>B127</f>
        <v/>
      </c>
    </row>
    <row r="119">
      <c r="A119" s="9">
        <f>IF('S.H BOI GORDO'!A7201=""," ",'S.H BOI GORDO'!A7201)</f>
        <v/>
      </c>
      <c r="B119" s="23">
        <f>B128</f>
        <v/>
      </c>
    </row>
    <row r="120">
      <c r="A120" s="9">
        <f>IF('S.H BOI GORDO'!A7202=""," ",'S.H BOI GORDO'!A7202)</f>
        <v/>
      </c>
      <c r="B120" s="23">
        <f>B129</f>
        <v/>
      </c>
    </row>
    <row r="121">
      <c r="A121" s="9">
        <f>IF('S.H BOI GORDO'!A7203=""," ",'S.H BOI GORDO'!A7203)</f>
        <v/>
      </c>
      <c r="B121" s="23">
        <f>B130</f>
        <v/>
      </c>
    </row>
    <row r="122">
      <c r="A122" s="9">
        <f>IF('S.H BOI GORDO'!A7204=""," ",'S.H BOI GORDO'!A7204)</f>
        <v/>
      </c>
      <c r="B122" s="23">
        <f>B131</f>
        <v/>
      </c>
    </row>
    <row r="123">
      <c r="A123" s="9">
        <f>IF('S.H BOI GORDO'!A7205=""," ",'S.H BOI GORDO'!A7205)</f>
        <v/>
      </c>
      <c r="B123" s="23">
        <f>B132</f>
        <v/>
      </c>
    </row>
    <row r="124">
      <c r="A124" s="9">
        <f>IF('S.H BOI GORDO'!A7206=""," ",'S.H BOI GORDO'!A7206)</f>
        <v/>
      </c>
      <c r="B124" s="23">
        <f>B133</f>
        <v/>
      </c>
    </row>
    <row r="125">
      <c r="B125" s="23">
        <f>B134</f>
        <v/>
      </c>
    </row>
    <row r="126">
      <c r="B126" s="23">
        <f>B135</f>
        <v/>
      </c>
    </row>
    <row r="127">
      <c r="B127" s="23">
        <f>B136</f>
        <v/>
      </c>
    </row>
    <row r="128">
      <c r="B128" s="23">
        <f>B137</f>
        <v/>
      </c>
    </row>
    <row r="129">
      <c r="B129" s="23">
        <f>B138</f>
        <v/>
      </c>
    </row>
    <row r="130">
      <c r="B130" s="23">
        <f>B139</f>
        <v/>
      </c>
    </row>
    <row r="131">
      <c r="B131" s="23">
        <f>B140</f>
        <v/>
      </c>
    </row>
    <row r="132">
      <c r="B132" s="23">
        <f>B141</f>
        <v/>
      </c>
    </row>
    <row r="133">
      <c r="B133" s="23">
        <f>B142</f>
        <v/>
      </c>
    </row>
    <row r="134">
      <c r="B134" s="23">
        <f>B143</f>
        <v/>
      </c>
    </row>
    <row r="135">
      <c r="B135" s="23">
        <f>B144</f>
        <v/>
      </c>
    </row>
    <row r="136">
      <c r="B136" s="23">
        <f>B145</f>
        <v/>
      </c>
    </row>
    <row r="137">
      <c r="B137" s="23">
        <f>B146</f>
        <v/>
      </c>
    </row>
    <row r="138">
      <c r="B138" s="23">
        <f>B147</f>
        <v/>
      </c>
    </row>
    <row r="139">
      <c r="B139" s="23">
        <f>B148</f>
        <v/>
      </c>
    </row>
    <row r="140">
      <c r="B140" s="23">
        <f>B149</f>
        <v/>
      </c>
    </row>
    <row r="141">
      <c r="B141" s="23">
        <f>B150</f>
        <v/>
      </c>
    </row>
    <row r="142">
      <c r="B142" s="23">
        <f>B151</f>
        <v/>
      </c>
    </row>
    <row r="143">
      <c r="B143" s="23">
        <f>B152</f>
        <v/>
      </c>
    </row>
    <row r="144">
      <c r="B144" s="23">
        <f>B153</f>
        <v/>
      </c>
    </row>
    <row r="145">
      <c r="B145" s="23">
        <f>B154</f>
        <v/>
      </c>
    </row>
    <row r="146">
      <c r="B146" s="23">
        <f>B155</f>
        <v/>
      </c>
    </row>
    <row r="147">
      <c r="B147" s="23">
        <f>B156</f>
        <v/>
      </c>
    </row>
    <row r="148">
      <c r="B148" s="23">
        <f>B157</f>
        <v/>
      </c>
    </row>
    <row r="149">
      <c r="B149" s="23">
        <f>B158</f>
        <v/>
      </c>
    </row>
    <row r="150">
      <c r="B150" s="23">
        <f>B159</f>
        <v/>
      </c>
    </row>
    <row r="151">
      <c r="B151" s="23">
        <f>B160</f>
        <v/>
      </c>
    </row>
    <row r="152">
      <c r="B152" s="23">
        <f>B161</f>
        <v/>
      </c>
    </row>
    <row r="153">
      <c r="B153" s="23">
        <f>B162</f>
        <v/>
      </c>
    </row>
    <row r="154">
      <c r="B154" s="23">
        <f>B163</f>
        <v/>
      </c>
    </row>
    <row r="155">
      <c r="B155" s="23">
        <f>B164</f>
        <v/>
      </c>
    </row>
    <row r="156">
      <c r="B156" s="23">
        <f>B165</f>
        <v/>
      </c>
    </row>
    <row r="157">
      <c r="B157" s="23">
        <f>B166</f>
        <v/>
      </c>
    </row>
    <row r="158">
      <c r="B158" s="23">
        <f>B167</f>
        <v/>
      </c>
    </row>
    <row r="159">
      <c r="B159" s="23">
        <f>B168</f>
        <v/>
      </c>
    </row>
    <row r="160">
      <c r="B160" s="23">
        <f>B169</f>
        <v/>
      </c>
    </row>
    <row r="161">
      <c r="B161" s="23">
        <f>B170</f>
        <v/>
      </c>
    </row>
    <row r="162">
      <c r="B162" s="23">
        <f>B171</f>
        <v/>
      </c>
    </row>
    <row r="163">
      <c r="B163" s="23">
        <f>B172</f>
        <v/>
      </c>
    </row>
    <row r="164">
      <c r="B164" s="23">
        <f>B173</f>
        <v/>
      </c>
    </row>
    <row r="165">
      <c r="B165" s="23">
        <f>B174</f>
        <v/>
      </c>
    </row>
    <row r="166">
      <c r="B166" s="23">
        <f>B175</f>
        <v/>
      </c>
    </row>
    <row r="167">
      <c r="B167" s="23">
        <f>B176</f>
        <v/>
      </c>
    </row>
    <row r="168">
      <c r="B168" s="23">
        <f>B177</f>
        <v/>
      </c>
    </row>
    <row r="169">
      <c r="B169" s="23">
        <f>B178</f>
        <v/>
      </c>
    </row>
    <row r="170">
      <c r="B170" s="23">
        <f>B179</f>
        <v/>
      </c>
    </row>
    <row r="171">
      <c r="B171" s="23">
        <f>B180</f>
        <v/>
      </c>
    </row>
    <row r="172">
      <c r="B172" s="23">
        <f>B181</f>
        <v/>
      </c>
    </row>
    <row r="173">
      <c r="B173" s="23">
        <f>B182</f>
        <v/>
      </c>
    </row>
    <row r="174">
      <c r="B174" s="23">
        <f>B183</f>
        <v/>
      </c>
    </row>
    <row r="175">
      <c r="B175" s="23">
        <f>B184</f>
        <v/>
      </c>
    </row>
    <row r="176">
      <c r="B176" s="23">
        <f>B185</f>
        <v/>
      </c>
    </row>
    <row r="177">
      <c r="B177" s="23">
        <f>B186</f>
        <v/>
      </c>
    </row>
    <row r="178">
      <c r="B178" s="23">
        <f>B187</f>
        <v/>
      </c>
    </row>
    <row r="179">
      <c r="B179" s="23">
        <f>B188</f>
        <v/>
      </c>
    </row>
    <row r="180">
      <c r="B180" s="23">
        <f>B189</f>
        <v/>
      </c>
    </row>
    <row r="181">
      <c r="B181" s="23">
        <f>B190</f>
        <v/>
      </c>
    </row>
    <row r="182">
      <c r="B182" s="23">
        <f>B191</f>
        <v/>
      </c>
    </row>
    <row r="183">
      <c r="B183" s="23">
        <f>B192</f>
        <v/>
      </c>
    </row>
    <row r="184">
      <c r="B184" s="23">
        <f>B193</f>
        <v/>
      </c>
    </row>
    <row r="185">
      <c r="B185" s="23">
        <f>B194</f>
        <v/>
      </c>
    </row>
    <row r="186">
      <c r="B186" s="23">
        <f>B195</f>
        <v/>
      </c>
    </row>
    <row r="187">
      <c r="B187" s="23">
        <f>B196</f>
        <v/>
      </c>
    </row>
    <row r="188">
      <c r="B188" s="23">
        <f>B197</f>
        <v/>
      </c>
    </row>
    <row r="189">
      <c r="B189" s="23">
        <f>B198</f>
        <v/>
      </c>
    </row>
    <row r="190">
      <c r="B190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3">
        <f>B2</f>
        <v/>
      </c>
      <c r="C3" t="n">
        <v>70.40000000000001</v>
      </c>
    </row>
    <row r="4">
      <c r="A4" s="9" t="n">
        <v>46065</v>
      </c>
      <c r="B4" s="23">
        <f>B3</f>
        <v/>
      </c>
      <c r="C4" t="n">
        <v>70.31</v>
      </c>
    </row>
    <row r="5">
      <c r="A5" s="9" t="n">
        <v>46066</v>
      </c>
      <c r="B5" s="23">
        <f>B4</f>
        <v/>
      </c>
      <c r="C5" t="n">
        <v>70.48999999999999</v>
      </c>
    </row>
    <row r="6">
      <c r="A6" s="9" t="n">
        <v>46071</v>
      </c>
      <c r="B6" s="23">
        <f>B5</f>
        <v/>
      </c>
      <c r="C6" t="n">
        <v>70.3</v>
      </c>
    </row>
    <row r="7">
      <c r="A7" s="9" t="n">
        <v>46072</v>
      </c>
      <c r="B7" s="23">
        <f>B6</f>
        <v/>
      </c>
      <c r="C7" t="n">
        <v>70.23999999999999</v>
      </c>
    </row>
    <row r="8">
      <c r="A8" s="9" t="n">
        <v>46073</v>
      </c>
      <c r="B8" s="23">
        <f>B7</f>
        <v/>
      </c>
      <c r="C8" t="n">
        <v>70.23999999999999</v>
      </c>
    </row>
    <row r="9">
      <c r="A9" s="9" t="n">
        <v>46076</v>
      </c>
      <c r="B9" s="23">
        <f>B8</f>
        <v/>
      </c>
      <c r="C9" t="n">
        <v>69.91</v>
      </c>
    </row>
    <row r="10">
      <c r="A10" s="9" t="n">
        <v>46077</v>
      </c>
      <c r="B10" s="23">
        <f>B9</f>
        <v/>
      </c>
      <c r="C10" t="n">
        <v>69.73</v>
      </c>
    </row>
    <row r="11">
      <c r="A11" s="9" t="n">
        <v>46078</v>
      </c>
      <c r="B11" s="23">
        <f>B10</f>
        <v/>
      </c>
      <c r="C11" t="n">
        <v>69.58</v>
      </c>
    </row>
    <row r="12">
      <c r="A12" s="9" t="n">
        <v>46079</v>
      </c>
      <c r="B12" s="23">
        <f>B11</f>
        <v/>
      </c>
      <c r="C12" t="n">
        <v>69.83</v>
      </c>
    </row>
    <row r="13">
      <c r="A13" s="9" t="n">
        <v>46080</v>
      </c>
      <c r="B13" s="23">
        <f>B12</f>
        <v/>
      </c>
      <c r="C13" t="n">
        <v>70.23999999999999</v>
      </c>
    </row>
    <row r="14">
      <c r="A14" s="9" t="n">
        <v>46083</v>
      </c>
      <c r="B14" s="23">
        <f>B13</f>
        <v/>
      </c>
      <c r="C14" t="n">
        <v>70.68000000000001</v>
      </c>
    </row>
    <row r="15">
      <c r="A15" s="9" t="n">
        <v>46084</v>
      </c>
      <c r="B15" s="23">
        <f>B14</f>
        <v/>
      </c>
      <c r="C15" t="n">
        <v>70.83</v>
      </c>
    </row>
    <row r="16">
      <c r="A16" s="9" t="n">
        <v>46085</v>
      </c>
      <c r="B16" s="23">
        <f>B15</f>
        <v/>
      </c>
      <c r="C16" t="n">
        <v>70.84</v>
      </c>
    </row>
    <row r="17">
      <c r="A17" s="9" t="n">
        <v>46086</v>
      </c>
      <c r="B17" s="23">
        <f>B16</f>
        <v/>
      </c>
      <c r="C17" t="n">
        <v>70.95999999999999</v>
      </c>
    </row>
    <row r="18">
      <c r="A18" s="4" t="n">
        <v>46087</v>
      </c>
      <c r="B18" s="23">
        <f>B17</f>
        <v/>
      </c>
      <c r="C18" t="n">
        <v>70.97</v>
      </c>
    </row>
    <row r="19">
      <c r="A19" s="4" t="n">
        <v>46090</v>
      </c>
      <c r="B19" s="23">
        <f>B18</f>
        <v/>
      </c>
      <c r="C19" t="n">
        <v>71.19</v>
      </c>
    </row>
    <row r="20">
      <c r="A20" s="4" t="n">
        <v>46091</v>
      </c>
      <c r="B20" s="23">
        <f>B19</f>
        <v/>
      </c>
      <c r="C20" t="n">
        <v>71.23999999999999</v>
      </c>
    </row>
    <row r="21">
      <c r="A21" s="4" t="n">
        <v>46092</v>
      </c>
      <c r="B21" s="23">
        <f>B20</f>
        <v/>
      </c>
      <c r="C21" t="n">
        <v>71.69</v>
      </c>
    </row>
    <row r="22">
      <c r="A22" s="4" t="n">
        <v>46093</v>
      </c>
      <c r="B22" s="23">
        <f>B21</f>
        <v/>
      </c>
      <c r="C22" t="n">
        <v>72.23</v>
      </c>
    </row>
    <row r="23">
      <c r="A23" s="4" t="n">
        <v>46094</v>
      </c>
      <c r="B23" s="23">
        <f>B22</f>
        <v/>
      </c>
      <c r="C23" t="n">
        <v>72.52</v>
      </c>
    </row>
    <row r="24">
      <c r="A24" s="4" t="n">
        <v>46097</v>
      </c>
      <c r="B24" s="23">
        <f>B23</f>
        <v/>
      </c>
      <c r="C24" t="n">
        <v>71.45999999999999</v>
      </c>
    </row>
    <row r="25">
      <c r="A25" s="4" t="n">
        <v>46098</v>
      </c>
      <c r="B25" s="23">
        <f>B24</f>
        <v/>
      </c>
      <c r="C25" t="n">
        <v>71.14</v>
      </c>
    </row>
    <row r="26">
      <c r="A26" s="4" t="n">
        <v>46099</v>
      </c>
      <c r="B26" s="23">
        <f>B25</f>
        <v/>
      </c>
      <c r="C26" t="n">
        <v>71.91</v>
      </c>
    </row>
    <row r="27">
      <c r="A27" s="4" t="n">
        <v>46100</v>
      </c>
      <c r="B27" s="23">
        <f>B26</f>
        <v/>
      </c>
      <c r="C27" t="n">
        <v>71.8</v>
      </c>
    </row>
    <row r="28">
      <c r="A28" s="4" t="n">
        <v>46101</v>
      </c>
      <c r="B28" s="23">
        <f>B27</f>
        <v/>
      </c>
      <c r="C28" t="n">
        <v>72.58</v>
      </c>
    </row>
    <row r="29">
      <c r="A29" s="4" t="n">
        <v>46104</v>
      </c>
      <c r="B29" s="23">
        <f>B28</f>
        <v/>
      </c>
      <c r="C29" t="n">
        <v>72.40000000000001</v>
      </c>
    </row>
    <row r="30">
      <c r="A30" s="4" t="n">
        <v>46105</v>
      </c>
      <c r="B30" s="23">
        <f>B29</f>
        <v/>
      </c>
      <c r="C30" t="n">
        <v>72.31999999999999</v>
      </c>
    </row>
    <row r="31">
      <c r="A31" s="4" t="n">
        <v>46106</v>
      </c>
      <c r="B31" s="23">
        <f>B30</f>
        <v/>
      </c>
      <c r="C31" t="n">
        <v>72.28</v>
      </c>
    </row>
    <row r="32">
      <c r="A32" s="4" t="n">
        <v>46107</v>
      </c>
      <c r="B32" s="23">
        <f>B31</f>
        <v/>
      </c>
      <c r="C32" t="n">
        <v>72.28</v>
      </c>
    </row>
    <row r="33">
      <c r="A33" s="9" t="n">
        <v>46108</v>
      </c>
      <c r="B33" s="23">
        <f>B32</f>
        <v/>
      </c>
      <c r="C33" t="n">
        <v>72.31999999999999</v>
      </c>
    </row>
    <row r="34">
      <c r="A34" s="4" t="n">
        <v>46111</v>
      </c>
      <c r="B34" s="23">
        <f>B33</f>
        <v/>
      </c>
      <c r="C34" t="n">
        <v>73.39</v>
      </c>
    </row>
    <row r="35">
      <c r="A35" s="4" t="n">
        <v>46112</v>
      </c>
      <c r="B35" s="23">
        <f>B34</f>
        <v/>
      </c>
      <c r="C35" t="n">
        <v>73.23</v>
      </c>
    </row>
    <row r="36">
      <c r="A36" s="9" t="n">
        <v>46113</v>
      </c>
      <c r="B36" s="23">
        <f>B45</f>
        <v/>
      </c>
      <c r="C36" t="n">
        <v>73.09999999999999</v>
      </c>
    </row>
    <row r="37">
      <c r="A37" s="9" t="n">
        <v>46114</v>
      </c>
      <c r="B37" s="23">
        <f>B46</f>
        <v/>
      </c>
      <c r="C37" t="n">
        <v>73.18000000000001</v>
      </c>
    </row>
    <row r="38">
      <c r="A38" s="9" t="n">
        <v>46118</v>
      </c>
      <c r="B38" s="23">
        <f>B47</f>
        <v/>
      </c>
      <c r="C38" t="n">
        <v>72.95</v>
      </c>
    </row>
    <row r="39">
      <c r="A39" s="9" t="n">
        <v>46119</v>
      </c>
      <c r="B39" s="23">
        <f>B48</f>
        <v/>
      </c>
      <c r="C39" t="n">
        <v>72.61</v>
      </c>
    </row>
    <row r="40">
      <c r="A40" s="9" t="n">
        <v>46120</v>
      </c>
      <c r="B40" s="23">
        <f>B49</f>
        <v/>
      </c>
      <c r="C40" t="n">
        <v>71.84999999999999</v>
      </c>
    </row>
    <row r="41">
      <c r="A41" s="9" t="n">
        <v>46121</v>
      </c>
      <c r="B41" s="23">
        <f>B50</f>
        <v/>
      </c>
      <c r="C41" t="n">
        <v>71.51000000000001</v>
      </c>
    </row>
    <row r="42">
      <c r="A42" s="9" t="n">
        <v>46122</v>
      </c>
      <c r="B42" s="23">
        <f>B51</f>
        <v/>
      </c>
      <c r="C42" t="n">
        <v>70.87</v>
      </c>
    </row>
    <row r="43">
      <c r="A43" s="9" t="n">
        <v>46125</v>
      </c>
      <c r="B43" s="23">
        <f>B52</f>
        <v/>
      </c>
      <c r="C43" t="n">
        <v>70.61</v>
      </c>
    </row>
    <row r="44">
      <c r="A44" s="9" t="n">
        <v>46126</v>
      </c>
      <c r="B44" s="23">
        <f>B53</f>
        <v/>
      </c>
      <c r="C44" t="n">
        <v>72.27</v>
      </c>
    </row>
    <row r="45">
      <c r="A45" s="9" t="n">
        <v>46127</v>
      </c>
      <c r="B45" s="23">
        <f>B54</f>
        <v/>
      </c>
      <c r="C45" t="n">
        <v>71.81</v>
      </c>
    </row>
    <row r="46">
      <c r="A46" s="9" t="n">
        <v>46128</v>
      </c>
      <c r="B46" s="23">
        <f>B55</f>
        <v/>
      </c>
      <c r="C46" t="n">
        <v>72.04000000000001</v>
      </c>
    </row>
    <row r="47">
      <c r="A47" s="9" t="n">
        <v>46129</v>
      </c>
      <c r="B47" s="23">
        <f>B46</f>
        <v/>
      </c>
      <c r="C47" t="n">
        <v>71.84</v>
      </c>
    </row>
    <row r="48">
      <c r="A48" s="9" t="n">
        <v>46132</v>
      </c>
      <c r="B48" s="23">
        <f>B47</f>
        <v/>
      </c>
      <c r="C48" t="n">
        <v>71.98</v>
      </c>
    </row>
    <row r="49">
      <c r="A49" s="9" t="n">
        <v>46134</v>
      </c>
      <c r="B49" s="23">
        <f>B48</f>
        <v/>
      </c>
      <c r="C49" t="n">
        <v>72.51000000000001</v>
      </c>
    </row>
    <row r="50">
      <c r="A50" s="9" t="n">
        <v>46135</v>
      </c>
      <c r="B50" s="23">
        <f>B49</f>
        <v/>
      </c>
      <c r="C50" t="n">
        <v>72.08</v>
      </c>
    </row>
    <row r="51">
      <c r="A51" s="9" t="n">
        <v>46136</v>
      </c>
      <c r="B51" s="23">
        <f>B50</f>
        <v/>
      </c>
      <c r="C51" t="n">
        <v>72.31999999999999</v>
      </c>
    </row>
    <row r="52">
      <c r="A52" s="9" t="n">
        <v>46139</v>
      </c>
      <c r="B52" s="23">
        <f>B51</f>
        <v/>
      </c>
      <c r="C52" t="n">
        <v>72.81999999999999</v>
      </c>
    </row>
    <row r="53">
      <c r="A53" s="9" t="n">
        <v>46140</v>
      </c>
      <c r="B53" s="23">
        <f>B52</f>
        <v/>
      </c>
      <c r="C53" t="n">
        <v>72.42</v>
      </c>
    </row>
    <row r="54">
      <c r="A54" s="9" t="n">
        <v>46141</v>
      </c>
      <c r="B54" s="23">
        <f>B53</f>
        <v/>
      </c>
      <c r="C54" t="n">
        <v>72.81999999999999</v>
      </c>
    </row>
    <row r="55">
      <c r="A55" s="9" t="n">
        <v>46142</v>
      </c>
      <c r="B55" s="23">
        <f>B54</f>
        <v/>
      </c>
      <c r="C55" t="n">
        <v>72.51000000000001</v>
      </c>
    </row>
    <row r="56">
      <c r="A56" s="9" t="n">
        <v>46146</v>
      </c>
      <c r="B56" s="23">
        <f>B55</f>
        <v/>
      </c>
      <c r="C56" t="n">
        <v>72.47</v>
      </c>
    </row>
    <row r="57">
      <c r="A57" s="9" t="n">
        <v>46147</v>
      </c>
      <c r="B57" s="23">
        <f>B56</f>
        <v/>
      </c>
      <c r="C57" t="n">
        <v>72.27</v>
      </c>
    </row>
    <row r="58">
      <c r="A58" s="9" t="n">
        <v>46148</v>
      </c>
      <c r="B58" s="23">
        <f>B57</f>
        <v/>
      </c>
      <c r="C58" t="n">
        <v>71.84</v>
      </c>
    </row>
    <row r="59">
      <c r="A59" s="9" t="n">
        <v>46149</v>
      </c>
      <c r="B59" s="23">
        <f>B58</f>
        <v/>
      </c>
      <c r="C59" t="n">
        <v>72.04000000000001</v>
      </c>
    </row>
    <row r="60">
      <c r="A60" s="9" t="n">
        <v>46150</v>
      </c>
      <c r="B60" s="23">
        <f>B59</f>
        <v/>
      </c>
      <c r="C60" t="n">
        <v>72.09</v>
      </c>
    </row>
    <row r="61">
      <c r="A61" s="9" t="n">
        <v>46153</v>
      </c>
      <c r="B61" s="23">
        <f>B60</f>
        <v/>
      </c>
      <c r="C61" t="n">
        <v>72.05</v>
      </c>
    </row>
    <row r="62">
      <c r="A62" s="9" t="n">
        <v>46154</v>
      </c>
      <c r="B62" s="23">
        <f>B61</f>
        <v/>
      </c>
      <c r="C62" t="n">
        <v>71.81</v>
      </c>
    </row>
    <row r="63">
      <c r="A63" s="9" t="n">
        <v>46155</v>
      </c>
      <c r="B63" s="23">
        <f>B62</f>
        <v/>
      </c>
      <c r="C63" t="n">
        <v>71.84999999999999</v>
      </c>
    </row>
    <row r="64">
      <c r="A64" s="9" t="n">
        <v>46156</v>
      </c>
      <c r="B64" s="23">
        <f>B63</f>
        <v/>
      </c>
      <c r="C64" t="n">
        <v>71.75</v>
      </c>
    </row>
    <row r="65">
      <c r="A65" s="9" t="n">
        <v>46157</v>
      </c>
      <c r="B65" s="23">
        <f>B64</f>
        <v/>
      </c>
      <c r="C65" t="n">
        <v>71.87</v>
      </c>
    </row>
    <row r="66">
      <c r="A66" s="9" t="n">
        <v>46160</v>
      </c>
      <c r="B66" s="23">
        <f>B65</f>
        <v/>
      </c>
      <c r="C66" t="n">
        <v>71.81999999999999</v>
      </c>
    </row>
    <row r="67">
      <c r="A67" s="9" t="n">
        <v>46161</v>
      </c>
      <c r="B67" s="23">
        <f>B66</f>
        <v/>
      </c>
      <c r="C67" t="n">
        <v>71.98999999999999</v>
      </c>
    </row>
    <row r="68">
      <c r="A68" s="9" t="n">
        <v>46162</v>
      </c>
      <c r="B68" s="23">
        <f>B67</f>
        <v/>
      </c>
      <c r="C68" t="n">
        <v>71.84</v>
      </c>
    </row>
    <row r="69">
      <c r="A69" s="9" t="n">
        <v>46163</v>
      </c>
      <c r="B69" s="23">
        <f>B68</f>
        <v/>
      </c>
      <c r="C69" t="n">
        <v>71.83</v>
      </c>
    </row>
    <row r="70">
      <c r="A70" s="9" t="n">
        <v>46164</v>
      </c>
      <c r="B70" s="23">
        <f>B69</f>
        <v/>
      </c>
      <c r="C70" t="n">
        <v>72.02</v>
      </c>
    </row>
    <row r="71">
      <c r="A71" s="9" t="n">
        <v>46167</v>
      </c>
      <c r="B71" s="23">
        <f>B70</f>
        <v/>
      </c>
      <c r="C71" t="n">
        <v>71.89</v>
      </c>
    </row>
    <row r="72">
      <c r="A72" s="9" t="n">
        <v>46168</v>
      </c>
      <c r="B72" s="23">
        <f>B71</f>
        <v/>
      </c>
      <c r="C72" t="n">
        <v>71.95</v>
      </c>
    </row>
    <row r="73">
      <c r="A73" s="9" t="n">
        <v>46169</v>
      </c>
      <c r="B73" s="23">
        <f>B72</f>
        <v/>
      </c>
      <c r="C73" t="n">
        <v>71.8</v>
      </c>
    </row>
    <row r="74">
      <c r="A74" s="9" t="n">
        <v>46170</v>
      </c>
      <c r="B74" s="23">
        <f>B73</f>
        <v/>
      </c>
      <c r="C74" t="n">
        <v>71.91</v>
      </c>
    </row>
    <row r="75">
      <c r="A75" s="9" t="n">
        <v>46171</v>
      </c>
      <c r="B75" s="23">
        <f>B74</f>
        <v/>
      </c>
      <c r="C75" t="n">
        <v>72</v>
      </c>
    </row>
    <row r="76">
      <c r="A76" s="9" t="n">
        <v>46174</v>
      </c>
      <c r="B76" s="23">
        <f>B75</f>
        <v/>
      </c>
      <c r="C76" t="n">
        <v>71.70999999999999</v>
      </c>
    </row>
    <row r="77">
      <c r="A77" s="9" t="n">
        <v>46175</v>
      </c>
      <c r="B77" s="23">
        <f>B76</f>
        <v/>
      </c>
      <c r="C77" t="n">
        <v>71.48999999999999</v>
      </c>
    </row>
    <row r="78">
      <c r="A78" s="9" t="n">
        <v>46176</v>
      </c>
      <c r="B78" s="23">
        <f>B77</f>
        <v/>
      </c>
      <c r="C78" t="n">
        <v>71.88</v>
      </c>
    </row>
    <row r="79">
      <c r="A79" s="9" t="n">
        <v>46178</v>
      </c>
      <c r="B79" s="23">
        <f>B78</f>
        <v/>
      </c>
      <c r="C79" t="n">
        <v>71.91</v>
      </c>
    </row>
    <row r="80">
      <c r="A80" s="9" t="n">
        <v>46181</v>
      </c>
      <c r="B80" s="23">
        <f>B79</f>
        <v/>
      </c>
      <c r="C80" t="n">
        <v>71.65000000000001</v>
      </c>
    </row>
    <row r="81">
      <c r="A81" s="9" t="n">
        <v>46182</v>
      </c>
      <c r="B81" s="23">
        <f>B80</f>
        <v/>
      </c>
      <c r="C81" t="n">
        <v>71.40000000000001</v>
      </c>
    </row>
    <row r="82">
      <c r="A82" s="9" t="n">
        <v>46183</v>
      </c>
      <c r="B82" s="23">
        <f>B81</f>
        <v/>
      </c>
      <c r="C82" t="n">
        <v>71.61</v>
      </c>
    </row>
    <row r="83">
      <c r="A83" s="9" t="n">
        <v>46184</v>
      </c>
      <c r="B83" s="23">
        <f>B82</f>
        <v/>
      </c>
      <c r="C83" t="n">
        <v>71.59</v>
      </c>
    </row>
    <row r="84">
      <c r="A84" s="9" t="n">
        <v>46185</v>
      </c>
      <c r="B84" s="23">
        <f>B83</f>
        <v/>
      </c>
      <c r="C84" t="n">
        <v>71.63</v>
      </c>
    </row>
    <row r="85">
      <c r="A85" s="9" t="n">
        <v>46188</v>
      </c>
      <c r="B85" s="23">
        <f>B84</f>
        <v/>
      </c>
      <c r="C85" t="n">
        <v>71.5</v>
      </c>
    </row>
    <row r="86">
      <c r="A86" s="9" t="n">
        <v>46189</v>
      </c>
      <c r="B86" s="23">
        <f>B85</f>
        <v/>
      </c>
      <c r="C86" t="n">
        <v>71.19</v>
      </c>
    </row>
    <row r="87">
      <c r="A87" s="9" t="n">
        <v>46190</v>
      </c>
      <c r="B87" s="23">
        <f>B86</f>
        <v/>
      </c>
      <c r="C87" t="n">
        <v>71.34999999999999</v>
      </c>
    </row>
    <row r="88">
      <c r="A88" s="9" t="n">
        <v>46191</v>
      </c>
      <c r="B88" s="23">
        <f>B87</f>
        <v/>
      </c>
      <c r="C88" t="n">
        <v>71.36</v>
      </c>
    </row>
    <row r="89">
      <c r="A89" s="9" t="n">
        <v>46192</v>
      </c>
      <c r="B89" s="23">
        <f>B88</f>
        <v/>
      </c>
      <c r="C89" t="n">
        <v>71.18000000000001</v>
      </c>
    </row>
    <row r="90">
      <c r="A90" s="9" t="n">
        <v>46195</v>
      </c>
      <c r="B90" s="23">
        <f>B89</f>
        <v/>
      </c>
      <c r="C90" t="n">
        <v>71.20999999999999</v>
      </c>
    </row>
    <row r="91">
      <c r="A91" s="9" t="n">
        <v>46196</v>
      </c>
      <c r="B91" s="23">
        <f>B90</f>
        <v/>
      </c>
      <c r="C91" t="n">
        <v>71.20999999999999</v>
      </c>
    </row>
    <row r="92">
      <c r="A92" s="9" t="n">
        <v>46197</v>
      </c>
      <c r="B92" s="23">
        <f>B91</f>
        <v/>
      </c>
      <c r="C92" t="n">
        <v>71.20999999999999</v>
      </c>
    </row>
    <row r="93">
      <c r="A93" s="9" t="n">
        <v>46198</v>
      </c>
      <c r="B93" s="23">
        <f>B92</f>
        <v/>
      </c>
      <c r="C93" t="n">
        <v>71.2</v>
      </c>
    </row>
    <row r="94">
      <c r="A94" s="9" t="n">
        <v>46199</v>
      </c>
      <c r="B94" s="23">
        <f>B93</f>
        <v/>
      </c>
      <c r="C94" t="n">
        <v>71.39</v>
      </c>
    </row>
    <row r="95">
      <c r="A95" s="9">
        <f>IF('S.H BOI GORDO'!A7176=""," ",'S.H BOI GORDO'!A7176)</f>
        <v/>
      </c>
      <c r="B95" s="23">
        <f>B104</f>
        <v/>
      </c>
    </row>
    <row r="96">
      <c r="A96" s="9">
        <f>IF('S.H BOI GORDO'!A7177=""," ",'S.H BOI GORDO'!A7177)</f>
        <v/>
      </c>
      <c r="B96" s="23">
        <f>B105</f>
        <v/>
      </c>
    </row>
    <row r="97">
      <c r="A97" s="9">
        <f>IF('S.H BOI GORDO'!A7178=""," ",'S.H BOI GORDO'!A7178)</f>
        <v/>
      </c>
      <c r="B97" s="23">
        <f>B106</f>
        <v/>
      </c>
    </row>
    <row r="98">
      <c r="A98" s="9">
        <f>IF('S.H BOI GORDO'!A7179=""," ",'S.H BOI GORDO'!A7179)</f>
        <v/>
      </c>
      <c r="B98" s="23">
        <f>B107</f>
        <v/>
      </c>
    </row>
    <row r="99">
      <c r="A99" s="9">
        <f>IF('S.H BOI GORDO'!A7180=""," ",'S.H BOI GORDO'!A7180)</f>
        <v/>
      </c>
      <c r="B99" s="23">
        <f>B108</f>
        <v/>
      </c>
    </row>
    <row r="100">
      <c r="A100" s="9">
        <f>IF('S.H BOI GORDO'!A7181=""," ",'S.H BOI GORDO'!A7181)</f>
        <v/>
      </c>
      <c r="B100" s="23">
        <f>B109</f>
        <v/>
      </c>
    </row>
    <row r="101">
      <c r="A101" s="9">
        <f>IF('S.H BOI GORDO'!A7182=""," ",'S.H BOI GORDO'!A7182)</f>
        <v/>
      </c>
      <c r="B101" s="23">
        <f>B110</f>
        <v/>
      </c>
    </row>
    <row r="102">
      <c r="A102" s="9">
        <f>IF('S.H BOI GORDO'!A7183=""," ",'S.H BOI GORDO'!A7183)</f>
        <v/>
      </c>
      <c r="B102" s="23">
        <f>B111</f>
        <v/>
      </c>
    </row>
    <row r="103">
      <c r="A103" s="9">
        <f>IF('S.H BOI GORDO'!A7184=""," ",'S.H BOI GORDO'!A7184)</f>
        <v/>
      </c>
      <c r="B103" s="23">
        <f>B112</f>
        <v/>
      </c>
    </row>
    <row r="104">
      <c r="A104" s="9">
        <f>IF('S.H BOI GORDO'!A7185=""," ",'S.H BOI GORDO'!A7185)</f>
        <v/>
      </c>
      <c r="B104" s="23">
        <f>B113</f>
        <v/>
      </c>
    </row>
    <row r="105">
      <c r="A105" s="9">
        <f>IF('S.H BOI GORDO'!A7186=""," ",'S.H BOI GORDO'!A7186)</f>
        <v/>
      </c>
      <c r="B105" s="23">
        <f>B114</f>
        <v/>
      </c>
    </row>
    <row r="106">
      <c r="A106" s="9">
        <f>IF('S.H BOI GORDO'!A7187=""," ",'S.H BOI GORDO'!A7187)</f>
        <v/>
      </c>
      <c r="B106" s="23">
        <f>B115</f>
        <v/>
      </c>
    </row>
    <row r="107">
      <c r="A107" s="9">
        <f>IF('S.H BOI GORDO'!A7188=""," ",'S.H BOI GORDO'!A7188)</f>
        <v/>
      </c>
      <c r="B107" s="23">
        <f>B116</f>
        <v/>
      </c>
    </row>
    <row r="108">
      <c r="A108" s="9">
        <f>IF('S.H BOI GORDO'!A7189=""," ",'S.H BOI GORDO'!A7189)</f>
        <v/>
      </c>
      <c r="B108" s="23">
        <f>B117</f>
        <v/>
      </c>
    </row>
    <row r="109">
      <c r="A109" s="9">
        <f>IF('S.H BOI GORDO'!A7190=""," ",'S.H BOI GORDO'!A7190)</f>
        <v/>
      </c>
      <c r="B109" s="23">
        <f>B118</f>
        <v/>
      </c>
    </row>
    <row r="110">
      <c r="A110" s="9">
        <f>IF('S.H BOI GORDO'!A7191=""," ",'S.H BOI GORDO'!A7191)</f>
        <v/>
      </c>
      <c r="B110" s="23">
        <f>B119</f>
        <v/>
      </c>
    </row>
    <row r="111">
      <c r="A111" s="9">
        <f>IF('S.H BOI GORDO'!A7192=""," ",'S.H BOI GORDO'!A7192)</f>
        <v/>
      </c>
      <c r="B111" s="23">
        <f>B120</f>
        <v/>
      </c>
    </row>
    <row r="112">
      <c r="A112" s="9">
        <f>IF('S.H BOI GORDO'!A7193=""," ",'S.H BOI GORDO'!A7193)</f>
        <v/>
      </c>
      <c r="B112" s="23">
        <f>B121</f>
        <v/>
      </c>
    </row>
    <row r="113">
      <c r="A113" s="9">
        <f>IF('S.H BOI GORDO'!A7194=""," ",'S.H BOI GORDO'!A7194)</f>
        <v/>
      </c>
      <c r="B113" s="23">
        <f>B122</f>
        <v/>
      </c>
    </row>
    <row r="114">
      <c r="A114" s="9">
        <f>IF('S.H BOI GORDO'!A7195=""," ",'S.H BOI GORDO'!A7195)</f>
        <v/>
      </c>
      <c r="B114" s="23">
        <f>B123</f>
        <v/>
      </c>
    </row>
    <row r="115">
      <c r="A115" s="9">
        <f>IF('S.H BOI GORDO'!A7196=""," ",'S.H BOI GORDO'!A7196)</f>
        <v/>
      </c>
      <c r="B115" s="23">
        <f>B124</f>
        <v/>
      </c>
    </row>
    <row r="116">
      <c r="A116" s="9">
        <f>IF('S.H BOI GORDO'!A7197=""," ",'S.H BOI GORDO'!A7197)</f>
        <v/>
      </c>
      <c r="B116" s="23">
        <f>B125</f>
        <v/>
      </c>
    </row>
    <row r="117">
      <c r="A117" s="9">
        <f>IF('S.H BOI GORDO'!A7198=""," ",'S.H BOI GORDO'!A7198)</f>
        <v/>
      </c>
      <c r="B117" s="23">
        <f>B126</f>
        <v/>
      </c>
    </row>
    <row r="118">
      <c r="A118" s="9">
        <f>IF('S.H BOI GORDO'!A7199=""," ",'S.H BOI GORDO'!A7199)</f>
        <v/>
      </c>
      <c r="B118" s="23">
        <f>B127</f>
        <v/>
      </c>
    </row>
    <row r="119">
      <c r="A119" s="9">
        <f>IF('S.H BOI GORDO'!A7200=""," ",'S.H BOI GORDO'!A7200)</f>
        <v/>
      </c>
      <c r="B119" s="23">
        <f>B128</f>
        <v/>
      </c>
    </row>
    <row r="120">
      <c r="A120" s="9">
        <f>IF('S.H BOI GORDO'!A7201=""," ",'S.H BOI GORDO'!A7201)</f>
        <v/>
      </c>
      <c r="B120" s="23">
        <f>B129</f>
        <v/>
      </c>
    </row>
    <row r="121">
      <c r="A121" s="9">
        <f>IF('S.H BOI GORDO'!A7202=""," ",'S.H BOI GORDO'!A7202)</f>
        <v/>
      </c>
      <c r="B121" s="23">
        <f>B130</f>
        <v/>
      </c>
    </row>
    <row r="122">
      <c r="A122" s="9">
        <f>IF('S.H BOI GORDO'!A7203=""," ",'S.H BOI GORDO'!A7203)</f>
        <v/>
      </c>
      <c r="B122" s="23">
        <f>B131</f>
        <v/>
      </c>
    </row>
    <row r="123">
      <c r="A123" s="9">
        <f>IF('S.H BOI GORDO'!A7204=""," ",'S.H BOI GORDO'!A7204)</f>
        <v/>
      </c>
      <c r="B123" s="23">
        <f>B132</f>
        <v/>
      </c>
    </row>
    <row r="124">
      <c r="A124" s="9">
        <f>IF('S.H BOI GORDO'!A7205=""," ",'S.H BOI GORDO'!A7205)</f>
        <v/>
      </c>
      <c r="B124" s="23">
        <f>B133</f>
        <v/>
      </c>
    </row>
    <row r="125">
      <c r="A125" s="9">
        <f>IF('S.H BOI GORDO'!A7206=""," ",'S.H BOI GORDO'!A7206)</f>
        <v/>
      </c>
      <c r="B125" s="23">
        <f>B134</f>
        <v/>
      </c>
    </row>
    <row r="126">
      <c r="B126" s="23">
        <f>B135</f>
        <v/>
      </c>
    </row>
    <row r="127">
      <c r="B127" s="23">
        <f>B136</f>
        <v/>
      </c>
    </row>
    <row r="128">
      <c r="B128" s="23">
        <f>B137</f>
        <v/>
      </c>
    </row>
    <row r="129">
      <c r="B129" s="23">
        <f>B138</f>
        <v/>
      </c>
    </row>
    <row r="130">
      <c r="B130" s="23">
        <f>B139</f>
        <v/>
      </c>
    </row>
    <row r="131">
      <c r="B131" s="23">
        <f>B140</f>
        <v/>
      </c>
    </row>
    <row r="132">
      <c r="B132" s="23">
        <f>B141</f>
        <v/>
      </c>
    </row>
    <row r="133">
      <c r="B133" s="23">
        <f>B142</f>
        <v/>
      </c>
    </row>
    <row r="134">
      <c r="B134" s="23">
        <f>B143</f>
        <v/>
      </c>
    </row>
    <row r="135">
      <c r="B135" s="23">
        <f>B144</f>
        <v/>
      </c>
    </row>
    <row r="136">
      <c r="B136" s="23">
        <f>B145</f>
        <v/>
      </c>
    </row>
    <row r="137">
      <c r="B137" s="23">
        <f>B146</f>
        <v/>
      </c>
    </row>
    <row r="138">
      <c r="B138" s="23">
        <f>B147</f>
        <v/>
      </c>
    </row>
    <row r="139">
      <c r="B139" s="23">
        <f>B148</f>
        <v/>
      </c>
    </row>
    <row r="140">
      <c r="B140" s="23">
        <f>B149</f>
        <v/>
      </c>
    </row>
    <row r="141">
      <c r="B141" s="23">
        <f>B150</f>
        <v/>
      </c>
    </row>
    <row r="142">
      <c r="B142" s="23">
        <f>B151</f>
        <v/>
      </c>
    </row>
    <row r="143">
      <c r="B143" s="23">
        <f>B152</f>
        <v/>
      </c>
    </row>
    <row r="144">
      <c r="B144" s="23">
        <f>B153</f>
        <v/>
      </c>
    </row>
    <row r="145">
      <c r="B145" s="23">
        <f>B154</f>
        <v/>
      </c>
    </row>
    <row r="146">
      <c r="B146" s="23">
        <f>B155</f>
        <v/>
      </c>
    </row>
    <row r="147">
      <c r="B147" s="23">
        <f>B156</f>
        <v/>
      </c>
    </row>
    <row r="148">
      <c r="B148" s="23">
        <f>B157</f>
        <v/>
      </c>
    </row>
    <row r="149">
      <c r="B149" s="23">
        <f>B158</f>
        <v/>
      </c>
    </row>
    <row r="150">
      <c r="B150" s="23">
        <f>B159</f>
        <v/>
      </c>
    </row>
    <row r="151">
      <c r="B151" s="23">
        <f>B160</f>
        <v/>
      </c>
    </row>
    <row r="152">
      <c r="B152" s="23">
        <f>B161</f>
        <v/>
      </c>
    </row>
    <row r="153">
      <c r="B153" s="23">
        <f>B162</f>
        <v/>
      </c>
    </row>
    <row r="154">
      <c r="B154" s="23">
        <f>B163</f>
        <v/>
      </c>
    </row>
    <row r="155">
      <c r="B155" s="23">
        <f>B164</f>
        <v/>
      </c>
    </row>
    <row r="156">
      <c r="B156" s="23">
        <f>B165</f>
        <v/>
      </c>
    </row>
    <row r="157">
      <c r="B157" s="23">
        <f>B166</f>
        <v/>
      </c>
    </row>
    <row r="158">
      <c r="B158" s="23">
        <f>B167</f>
        <v/>
      </c>
    </row>
    <row r="159">
      <c r="B159" s="23">
        <f>B168</f>
        <v/>
      </c>
    </row>
    <row r="160">
      <c r="B160" s="23">
        <f>B169</f>
        <v/>
      </c>
    </row>
    <row r="161">
      <c r="B161" s="23">
        <f>B170</f>
        <v/>
      </c>
    </row>
    <row r="162">
      <c r="B162" s="23">
        <f>B171</f>
        <v/>
      </c>
    </row>
    <row r="163">
      <c r="B163" s="23">
        <f>B172</f>
        <v/>
      </c>
    </row>
    <row r="164">
      <c r="B164" s="23">
        <f>B173</f>
        <v/>
      </c>
    </row>
    <row r="165">
      <c r="B165" s="23">
        <f>B174</f>
        <v/>
      </c>
    </row>
    <row r="166">
      <c r="B166" s="23">
        <f>B175</f>
        <v/>
      </c>
    </row>
    <row r="167">
      <c r="B167" s="23">
        <f>B176</f>
        <v/>
      </c>
    </row>
    <row r="168">
      <c r="B168" s="23">
        <f>B177</f>
        <v/>
      </c>
    </row>
    <row r="169">
      <c r="B169" s="23">
        <f>B178</f>
        <v/>
      </c>
    </row>
    <row r="170">
      <c r="B170" s="23">
        <f>B179</f>
        <v/>
      </c>
    </row>
    <row r="171">
      <c r="B171" s="23">
        <f>B180</f>
        <v/>
      </c>
    </row>
    <row r="172">
      <c r="B172" s="23">
        <f>B181</f>
        <v/>
      </c>
    </row>
    <row r="173">
      <c r="B173" s="23">
        <f>B182</f>
        <v/>
      </c>
    </row>
    <row r="174">
      <c r="B174" s="23">
        <f>B183</f>
        <v/>
      </c>
    </row>
    <row r="175">
      <c r="B175" s="23">
        <f>B184</f>
        <v/>
      </c>
    </row>
    <row r="176">
      <c r="B176" s="23">
        <f>B185</f>
        <v/>
      </c>
    </row>
    <row r="177">
      <c r="B177" s="23">
        <f>B186</f>
        <v/>
      </c>
    </row>
    <row r="178">
      <c r="B178" s="23">
        <f>B187</f>
        <v/>
      </c>
    </row>
    <row r="179">
      <c r="B179" s="23">
        <f>B188</f>
        <v/>
      </c>
    </row>
    <row r="180">
      <c r="B180" s="23">
        <f>B189</f>
        <v/>
      </c>
    </row>
    <row r="181">
      <c r="B181" s="23">
        <f>B190</f>
        <v/>
      </c>
    </row>
    <row r="182">
      <c r="B182" s="23">
        <f>B191</f>
        <v/>
      </c>
    </row>
    <row r="183">
      <c r="B183" s="23">
        <f>B192</f>
        <v/>
      </c>
    </row>
    <row r="184">
      <c r="B184" s="23">
        <f>B193</f>
        <v/>
      </c>
    </row>
    <row r="185">
      <c r="B185" s="23">
        <f>B194</f>
        <v/>
      </c>
    </row>
    <row r="186">
      <c r="B186" s="23">
        <f>B195</f>
        <v/>
      </c>
    </row>
    <row r="187">
      <c r="B187" s="23">
        <f>B196</f>
        <v/>
      </c>
    </row>
    <row r="188">
      <c r="B188" s="23">
        <f>B197</f>
        <v/>
      </c>
    </row>
    <row r="189">
      <c r="B189" s="23">
        <f>B198</f>
        <v/>
      </c>
    </row>
    <row r="190">
      <c r="B190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3">
        <f>B2</f>
        <v/>
      </c>
      <c r="C3" t="n">
        <v>69.51000000000001</v>
      </c>
    </row>
    <row r="4">
      <c r="A4" s="9" t="n">
        <v>46063</v>
      </c>
      <c r="B4" s="23">
        <f>B3</f>
        <v/>
      </c>
      <c r="C4" t="n">
        <v>69.52</v>
      </c>
    </row>
    <row r="5">
      <c r="A5" s="9" t="n">
        <v>46064</v>
      </c>
      <c r="B5" s="23">
        <f>B4</f>
        <v/>
      </c>
      <c r="C5" t="n">
        <v>69.54000000000001</v>
      </c>
    </row>
    <row r="6">
      <c r="A6" s="9" t="n">
        <v>46065</v>
      </c>
      <c r="B6" s="23">
        <f>B5</f>
        <v/>
      </c>
      <c r="C6" t="n">
        <v>69.45</v>
      </c>
    </row>
    <row r="7">
      <c r="A7" s="9" t="n">
        <v>46066</v>
      </c>
      <c r="B7" s="23">
        <f>B6</f>
        <v/>
      </c>
      <c r="C7" t="n">
        <v>69.63</v>
      </c>
    </row>
    <row r="8">
      <c r="A8" s="9" t="n">
        <v>46071</v>
      </c>
      <c r="B8" s="23">
        <f>B7</f>
        <v/>
      </c>
      <c r="C8" t="n">
        <v>69.44</v>
      </c>
    </row>
    <row r="9">
      <c r="A9" s="9" t="n">
        <v>46072</v>
      </c>
      <c r="B9" s="23">
        <f>B8</f>
        <v/>
      </c>
      <c r="C9" t="n">
        <v>69.38</v>
      </c>
    </row>
    <row r="10">
      <c r="A10" s="9" t="n">
        <v>46073</v>
      </c>
      <c r="B10" s="23">
        <f>B9</f>
        <v/>
      </c>
      <c r="C10" t="n">
        <v>69.38</v>
      </c>
    </row>
    <row r="11">
      <c r="A11" s="9" t="n">
        <v>46076</v>
      </c>
      <c r="B11" s="23">
        <f>B10</f>
        <v/>
      </c>
      <c r="C11" t="n">
        <v>69.05</v>
      </c>
    </row>
    <row r="12">
      <c r="A12" s="9" t="n">
        <v>46077</v>
      </c>
      <c r="B12" s="23">
        <f>B11</f>
        <v/>
      </c>
      <c r="C12" t="n">
        <v>68.87</v>
      </c>
    </row>
    <row r="13">
      <c r="A13" s="9" t="n">
        <v>46078</v>
      </c>
      <c r="B13" s="23">
        <f>B12</f>
        <v/>
      </c>
      <c r="C13" t="n">
        <v>68.72</v>
      </c>
    </row>
    <row r="14">
      <c r="A14" s="9" t="n">
        <v>46079</v>
      </c>
      <c r="B14" s="23">
        <f>B13</f>
        <v/>
      </c>
      <c r="C14" t="n">
        <v>68.72</v>
      </c>
    </row>
    <row r="15">
      <c r="A15" s="9" t="n">
        <v>46080</v>
      </c>
      <c r="B15" s="23">
        <f>B14</f>
        <v/>
      </c>
      <c r="C15" t="n">
        <v>69.38</v>
      </c>
    </row>
    <row r="16">
      <c r="A16" s="9" t="n">
        <v>46083</v>
      </c>
      <c r="B16" s="23">
        <f>B15</f>
        <v/>
      </c>
      <c r="C16" t="n">
        <v>69.81999999999999</v>
      </c>
    </row>
    <row r="17">
      <c r="A17" s="9" t="n">
        <v>46084</v>
      </c>
      <c r="B17" s="23">
        <f>B16</f>
        <v/>
      </c>
      <c r="C17" t="n">
        <v>69.97</v>
      </c>
    </row>
    <row r="18">
      <c r="A18" s="9" t="n">
        <v>46085</v>
      </c>
      <c r="B18" s="23">
        <f>B17</f>
        <v/>
      </c>
      <c r="C18" t="n">
        <v>69.98</v>
      </c>
    </row>
    <row r="19">
      <c r="A19" s="9" t="n">
        <v>46086</v>
      </c>
      <c r="B19" s="23">
        <f>B18</f>
        <v/>
      </c>
      <c r="C19" t="n">
        <v>70.09999999999999</v>
      </c>
    </row>
    <row r="20">
      <c r="A20" s="4" t="n">
        <v>46087</v>
      </c>
      <c r="B20" s="23">
        <f>B19</f>
        <v/>
      </c>
      <c r="C20" t="n">
        <v>70.11</v>
      </c>
    </row>
    <row r="21">
      <c r="A21" s="4" t="n">
        <v>46090</v>
      </c>
      <c r="B21" s="23">
        <f>B20</f>
        <v/>
      </c>
      <c r="C21" t="n">
        <v>70.33</v>
      </c>
    </row>
    <row r="22">
      <c r="A22" s="4" t="n">
        <v>46091</v>
      </c>
      <c r="B22" s="23">
        <f>B21</f>
        <v/>
      </c>
      <c r="C22" t="n">
        <v>70.38</v>
      </c>
    </row>
    <row r="23">
      <c r="A23" s="4" t="n">
        <v>46092</v>
      </c>
      <c r="B23" s="23">
        <f>B22</f>
        <v/>
      </c>
      <c r="C23" t="n">
        <v>70.83</v>
      </c>
    </row>
    <row r="24">
      <c r="A24" s="4" t="n">
        <v>46093</v>
      </c>
      <c r="B24" s="23">
        <f>B23</f>
        <v/>
      </c>
      <c r="C24" t="n">
        <v>71.37</v>
      </c>
    </row>
    <row r="25">
      <c r="A25" s="4" t="n">
        <v>46094</v>
      </c>
      <c r="B25" s="23">
        <f>B24</f>
        <v/>
      </c>
      <c r="C25" t="n">
        <v>71.66</v>
      </c>
    </row>
    <row r="26">
      <c r="A26" s="4" t="n">
        <v>46097</v>
      </c>
      <c r="B26" s="23">
        <f>B25</f>
        <v/>
      </c>
      <c r="C26" t="n">
        <v>70.59999999999999</v>
      </c>
    </row>
    <row r="27">
      <c r="A27" s="4" t="n">
        <v>46098</v>
      </c>
      <c r="B27" s="23">
        <f>B26</f>
        <v/>
      </c>
      <c r="C27" t="n">
        <v>70.28</v>
      </c>
    </row>
    <row r="28">
      <c r="A28" s="4" t="n">
        <v>46099</v>
      </c>
      <c r="B28" s="23">
        <f>B27</f>
        <v/>
      </c>
      <c r="C28" t="n">
        <v>71.05</v>
      </c>
    </row>
    <row r="29">
      <c r="A29" s="4" t="n">
        <v>46100</v>
      </c>
      <c r="B29" s="23">
        <f>B28</f>
        <v/>
      </c>
      <c r="C29" t="n">
        <v>70.94</v>
      </c>
    </row>
    <row r="30">
      <c r="A30" s="4" t="n">
        <v>46101</v>
      </c>
      <c r="B30" s="23">
        <f>B29</f>
        <v/>
      </c>
      <c r="C30" t="n">
        <v>71.72</v>
      </c>
    </row>
    <row r="31">
      <c r="A31" s="4" t="n">
        <v>46104</v>
      </c>
      <c r="B31" s="23">
        <f>B30</f>
        <v/>
      </c>
      <c r="C31" t="n">
        <v>71.54000000000001</v>
      </c>
    </row>
    <row r="32">
      <c r="A32" s="4" t="n">
        <v>46105</v>
      </c>
      <c r="B32" s="23">
        <f>B31</f>
        <v/>
      </c>
      <c r="C32" t="n">
        <v>71.45999999999999</v>
      </c>
    </row>
    <row r="33">
      <c r="A33" s="9" t="n">
        <v>46107</v>
      </c>
      <c r="B33" s="23">
        <f>B32</f>
        <v/>
      </c>
      <c r="C33" t="n">
        <v>71.42</v>
      </c>
    </row>
    <row r="34">
      <c r="A34" s="4" t="n">
        <v>46108</v>
      </c>
      <c r="B34" s="23">
        <f>B33</f>
        <v/>
      </c>
      <c r="C34" t="n">
        <v>71.45999999999999</v>
      </c>
    </row>
    <row r="35">
      <c r="A35" s="4" t="n">
        <v>46111</v>
      </c>
      <c r="B35" s="23">
        <f>B34</f>
        <v/>
      </c>
      <c r="C35" t="n">
        <v>72.53</v>
      </c>
    </row>
    <row r="36">
      <c r="A36" s="9" t="n">
        <v>46112</v>
      </c>
      <c r="B36" s="23">
        <f>B35</f>
        <v/>
      </c>
      <c r="C36" t="n">
        <v>72.37</v>
      </c>
    </row>
    <row r="37">
      <c r="A37" s="9" t="n">
        <v>46113</v>
      </c>
      <c r="B37" s="23">
        <f>B45</f>
        <v/>
      </c>
      <c r="C37" t="n">
        <v>72.25</v>
      </c>
    </row>
    <row r="38">
      <c r="A38" s="9" t="n">
        <v>46114</v>
      </c>
      <c r="B38" s="23">
        <f>B46</f>
        <v/>
      </c>
      <c r="C38" t="n">
        <v>72.5</v>
      </c>
    </row>
    <row r="39">
      <c r="A39" s="9" t="n">
        <v>46118</v>
      </c>
      <c r="B39" s="23">
        <f>B47</f>
        <v/>
      </c>
      <c r="C39" t="n">
        <v>72.52</v>
      </c>
    </row>
    <row r="40">
      <c r="A40" s="9" t="n">
        <v>46120</v>
      </c>
      <c r="B40" s="23">
        <f>B48</f>
        <v/>
      </c>
      <c r="C40" t="n">
        <v>72.08</v>
      </c>
    </row>
    <row r="41">
      <c r="A41" s="9" t="n">
        <v>46121</v>
      </c>
      <c r="B41" s="23">
        <f>B49</f>
        <v/>
      </c>
      <c r="C41" t="n">
        <v>71.73999999999999</v>
      </c>
    </row>
    <row r="42">
      <c r="A42" s="9" t="n">
        <v>46122</v>
      </c>
      <c r="B42" s="23">
        <f>B50</f>
        <v/>
      </c>
      <c r="C42" t="n">
        <v>71.09999999999999</v>
      </c>
    </row>
    <row r="43">
      <c r="A43" s="9" t="n">
        <v>46125</v>
      </c>
      <c r="B43" s="23">
        <f>B51</f>
        <v/>
      </c>
      <c r="C43" t="n">
        <v>70.84</v>
      </c>
    </row>
    <row r="44">
      <c r="A44" s="9" t="n">
        <v>46126</v>
      </c>
      <c r="B44" s="23">
        <f>B52</f>
        <v/>
      </c>
      <c r="C44" t="n">
        <v>72.5</v>
      </c>
    </row>
    <row r="45">
      <c r="A45" s="9" t="n">
        <v>46127</v>
      </c>
      <c r="B45" s="23">
        <f>B53</f>
        <v/>
      </c>
      <c r="C45" t="n">
        <v>72.04000000000001</v>
      </c>
    </row>
    <row r="46">
      <c r="A46" s="9" t="n">
        <v>46128</v>
      </c>
      <c r="B46" s="23">
        <f>B54</f>
        <v/>
      </c>
      <c r="C46" t="n">
        <v>72.27</v>
      </c>
    </row>
    <row r="47">
      <c r="A47" s="9" t="n">
        <v>46129</v>
      </c>
      <c r="B47" s="23">
        <f>B46</f>
        <v/>
      </c>
      <c r="C47" t="n">
        <v>72.06999999999999</v>
      </c>
    </row>
    <row r="48">
      <c r="A48" s="9" t="n">
        <v>46132</v>
      </c>
      <c r="B48" s="23">
        <f>B47</f>
        <v/>
      </c>
      <c r="C48" t="n">
        <v>72.20999999999999</v>
      </c>
    </row>
    <row r="49">
      <c r="A49" s="9" t="n">
        <v>46134</v>
      </c>
      <c r="B49" s="23">
        <f>B48</f>
        <v/>
      </c>
      <c r="C49" t="n">
        <v>72.73999999999999</v>
      </c>
    </row>
    <row r="50">
      <c r="A50" s="9" t="n">
        <v>46135</v>
      </c>
      <c r="B50" s="23">
        <f>B49</f>
        <v/>
      </c>
      <c r="C50" t="n">
        <v>72.45999999999999</v>
      </c>
    </row>
    <row r="51">
      <c r="A51" s="9" t="n">
        <v>46136</v>
      </c>
      <c r="B51" s="23">
        <f>B50</f>
        <v/>
      </c>
      <c r="C51" t="n">
        <v>72.7</v>
      </c>
    </row>
    <row r="52">
      <c r="A52" s="9" t="n">
        <v>46139</v>
      </c>
      <c r="B52" s="23">
        <f>B51</f>
        <v/>
      </c>
      <c r="C52" t="n">
        <v>73.2</v>
      </c>
    </row>
    <row r="53">
      <c r="A53" s="9" t="n">
        <v>46140</v>
      </c>
      <c r="B53" s="23">
        <f>B52</f>
        <v/>
      </c>
      <c r="C53" t="n">
        <v>72.8</v>
      </c>
    </row>
    <row r="54">
      <c r="A54" s="9" t="n">
        <v>46141</v>
      </c>
      <c r="B54" s="23">
        <f>B53</f>
        <v/>
      </c>
      <c r="C54" t="n">
        <v>73.2</v>
      </c>
    </row>
    <row r="55">
      <c r="A55" s="9" t="n">
        <v>46142</v>
      </c>
      <c r="B55" s="23">
        <f>B54</f>
        <v/>
      </c>
      <c r="C55" t="n">
        <v>72.89</v>
      </c>
    </row>
    <row r="56">
      <c r="A56" s="9" t="n">
        <v>46146</v>
      </c>
      <c r="B56" s="23">
        <f>B55</f>
        <v/>
      </c>
      <c r="C56" t="n">
        <v>72.84999999999999</v>
      </c>
    </row>
    <row r="57">
      <c r="A57" s="9" t="n">
        <v>46147</v>
      </c>
      <c r="B57" s="23">
        <f>B56</f>
        <v/>
      </c>
      <c r="C57" t="n">
        <v>72.65000000000001</v>
      </c>
    </row>
    <row r="58">
      <c r="A58" s="9" t="n">
        <v>46148</v>
      </c>
      <c r="B58" s="23">
        <f>B57</f>
        <v/>
      </c>
      <c r="C58" t="n">
        <v>72.22</v>
      </c>
    </row>
    <row r="59">
      <c r="A59" s="9" t="n">
        <v>46149</v>
      </c>
      <c r="B59" s="23">
        <f>B58</f>
        <v/>
      </c>
      <c r="C59" t="n">
        <v>72.42</v>
      </c>
    </row>
    <row r="60">
      <c r="A60" s="9" t="n">
        <v>46150</v>
      </c>
      <c r="B60" s="23">
        <f>B59</f>
        <v/>
      </c>
      <c r="C60" t="n">
        <v>72.47</v>
      </c>
    </row>
    <row r="61">
      <c r="A61" s="9" t="n">
        <v>46153</v>
      </c>
      <c r="B61" s="23">
        <f>B60</f>
        <v/>
      </c>
      <c r="C61" t="n">
        <v>72.43000000000001</v>
      </c>
    </row>
    <row r="62">
      <c r="A62" s="9" t="n">
        <v>46154</v>
      </c>
      <c r="B62" s="23">
        <f>B61</f>
        <v/>
      </c>
      <c r="C62" t="n">
        <v>72.19</v>
      </c>
    </row>
    <row r="63">
      <c r="A63" s="9" t="n">
        <v>46155</v>
      </c>
      <c r="B63" s="23">
        <f>B62</f>
        <v/>
      </c>
      <c r="C63" t="n">
        <v>72.23</v>
      </c>
    </row>
    <row r="64">
      <c r="A64" s="9" t="n">
        <v>46156</v>
      </c>
      <c r="B64" s="23">
        <f>B63</f>
        <v/>
      </c>
      <c r="C64" t="n">
        <v>72.13</v>
      </c>
    </row>
    <row r="65">
      <c r="A65" s="9" t="n">
        <v>46157</v>
      </c>
      <c r="B65" s="23">
        <f>B64</f>
        <v/>
      </c>
      <c r="C65" t="n">
        <v>72.25</v>
      </c>
    </row>
    <row r="66">
      <c r="A66" s="9" t="n">
        <v>46160</v>
      </c>
      <c r="B66" s="23">
        <f>B65</f>
        <v/>
      </c>
      <c r="C66" t="n">
        <v>72.2</v>
      </c>
    </row>
    <row r="67">
      <c r="A67" s="9" t="n">
        <v>46161</v>
      </c>
      <c r="B67" s="23">
        <f>B66</f>
        <v/>
      </c>
      <c r="C67" t="n">
        <v>72.37</v>
      </c>
    </row>
    <row r="68">
      <c r="A68" s="9" t="n">
        <v>46162</v>
      </c>
      <c r="B68" s="23">
        <f>B67</f>
        <v/>
      </c>
      <c r="C68" t="n">
        <v>72.22</v>
      </c>
    </row>
    <row r="69">
      <c r="A69" s="9" t="n">
        <v>46163</v>
      </c>
      <c r="B69" s="23">
        <f>B68</f>
        <v/>
      </c>
      <c r="C69" t="n">
        <v>72.20999999999999</v>
      </c>
    </row>
    <row r="70">
      <c r="A70" s="9" t="n">
        <v>46164</v>
      </c>
      <c r="B70" s="23">
        <f>B69</f>
        <v/>
      </c>
      <c r="C70" t="n">
        <v>72.40000000000001</v>
      </c>
    </row>
    <row r="71">
      <c r="A71" s="9" t="n">
        <v>46167</v>
      </c>
      <c r="B71" s="23">
        <f>B70</f>
        <v/>
      </c>
      <c r="C71" t="n">
        <v>72.27</v>
      </c>
    </row>
    <row r="72">
      <c r="A72" s="9" t="n">
        <v>46168</v>
      </c>
      <c r="B72" s="23">
        <f>B71</f>
        <v/>
      </c>
      <c r="C72" t="n">
        <v>72.33</v>
      </c>
    </row>
    <row r="73">
      <c r="A73" s="9" t="n">
        <v>46169</v>
      </c>
      <c r="B73" s="23">
        <f>B72</f>
        <v/>
      </c>
      <c r="C73" t="n">
        <v>72.18000000000001</v>
      </c>
    </row>
    <row r="74">
      <c r="A74" s="9" t="n">
        <v>46170</v>
      </c>
      <c r="B74" s="23">
        <f>B73</f>
        <v/>
      </c>
      <c r="C74" t="n">
        <v>72.29000000000001</v>
      </c>
    </row>
    <row r="75">
      <c r="A75" s="9" t="n">
        <v>46171</v>
      </c>
      <c r="B75" s="23">
        <f>B74</f>
        <v/>
      </c>
      <c r="C75" t="n">
        <v>72.01000000000001</v>
      </c>
    </row>
    <row r="76">
      <c r="A76" s="9" t="n">
        <v>46174</v>
      </c>
      <c r="B76" s="23">
        <f>B75</f>
        <v/>
      </c>
      <c r="C76" t="n">
        <v>71.72</v>
      </c>
    </row>
    <row r="77">
      <c r="A77" s="9" t="n">
        <v>46175</v>
      </c>
      <c r="B77" s="23">
        <f>B76</f>
        <v/>
      </c>
      <c r="C77" t="n">
        <v>71.5</v>
      </c>
    </row>
    <row r="78">
      <c r="A78" s="9" t="n">
        <v>46176</v>
      </c>
      <c r="B78" s="23">
        <f>B77</f>
        <v/>
      </c>
      <c r="C78" t="n">
        <v>71.89</v>
      </c>
    </row>
    <row r="79">
      <c r="A79" s="9" t="n">
        <v>46178</v>
      </c>
      <c r="B79" s="23">
        <f>B78</f>
        <v/>
      </c>
      <c r="C79" t="n">
        <v>71.92</v>
      </c>
    </row>
    <row r="80">
      <c r="A80" s="9" t="n">
        <v>46181</v>
      </c>
      <c r="B80" s="23">
        <f>B79</f>
        <v/>
      </c>
      <c r="C80" t="n">
        <v>71.66</v>
      </c>
    </row>
    <row r="81">
      <c r="A81" s="9" t="n">
        <v>46182</v>
      </c>
      <c r="B81" s="23">
        <f>B80</f>
        <v/>
      </c>
      <c r="C81" t="n">
        <v>71.41</v>
      </c>
    </row>
    <row r="82">
      <c r="A82" s="9" t="n">
        <v>46183</v>
      </c>
      <c r="B82" s="23">
        <f>B81</f>
        <v/>
      </c>
      <c r="C82" t="n">
        <v>71.62</v>
      </c>
    </row>
    <row r="83">
      <c r="A83" s="9" t="n">
        <v>46184</v>
      </c>
      <c r="B83" s="23">
        <f>B82</f>
        <v/>
      </c>
      <c r="C83" t="n">
        <v>71.59999999999999</v>
      </c>
    </row>
    <row r="84">
      <c r="A84" s="9" t="n">
        <v>46185</v>
      </c>
      <c r="B84" s="23">
        <f>B83</f>
        <v/>
      </c>
      <c r="C84" t="n">
        <v>71.64</v>
      </c>
    </row>
    <row r="85">
      <c r="A85" s="9" t="n">
        <v>46188</v>
      </c>
      <c r="B85" s="23">
        <f>B84</f>
        <v/>
      </c>
      <c r="C85" t="n">
        <v>71.51000000000001</v>
      </c>
    </row>
    <row r="86">
      <c r="A86" s="9" t="n">
        <v>46189</v>
      </c>
      <c r="B86" s="23">
        <f>B85</f>
        <v/>
      </c>
      <c r="C86" t="n">
        <v>71.2</v>
      </c>
    </row>
    <row r="87">
      <c r="A87" s="9" t="n">
        <v>46190</v>
      </c>
      <c r="B87" s="23">
        <f>B86</f>
        <v/>
      </c>
      <c r="C87" t="n">
        <v>71.36</v>
      </c>
    </row>
    <row r="88">
      <c r="A88" s="9" t="n">
        <v>46191</v>
      </c>
      <c r="B88" s="23">
        <f>B87</f>
        <v/>
      </c>
      <c r="C88" t="n">
        <v>71.37</v>
      </c>
    </row>
    <row r="89">
      <c r="A89" s="9" t="n">
        <v>46192</v>
      </c>
      <c r="B89" s="23">
        <f>B88</f>
        <v/>
      </c>
      <c r="C89" t="n">
        <v>71.19</v>
      </c>
    </row>
    <row r="90">
      <c r="A90" s="9" t="n">
        <v>46195</v>
      </c>
      <c r="B90" s="23">
        <f>B89</f>
        <v/>
      </c>
      <c r="C90" t="n">
        <v>71.22</v>
      </c>
    </row>
    <row r="91">
      <c r="A91" s="9" t="n">
        <v>46196</v>
      </c>
      <c r="B91" s="23">
        <f>B90</f>
        <v/>
      </c>
      <c r="C91" t="n">
        <v>71.22</v>
      </c>
    </row>
    <row r="92">
      <c r="A92" s="9" t="n">
        <v>46197</v>
      </c>
      <c r="B92" s="23">
        <f>B91</f>
        <v/>
      </c>
      <c r="C92" t="n">
        <v>71.22</v>
      </c>
    </row>
    <row r="93">
      <c r="A93" s="9" t="n">
        <v>46198</v>
      </c>
      <c r="B93" s="23">
        <f>B92</f>
        <v/>
      </c>
      <c r="C93" t="n">
        <v>71.16</v>
      </c>
    </row>
    <row r="94">
      <c r="A94" s="9" t="n">
        <v>46199</v>
      </c>
      <c r="B94" s="23">
        <f>B93</f>
        <v/>
      </c>
      <c r="C94" t="n">
        <v>71.09</v>
      </c>
    </row>
    <row r="95">
      <c r="A95" s="9">
        <f>IF('S.H BOI GORDO'!A7173=""," ",'S.H BOI GORDO'!A7173)</f>
        <v/>
      </c>
      <c r="B95" s="23">
        <f>B103</f>
        <v/>
      </c>
    </row>
    <row r="96">
      <c r="A96" s="9">
        <f>IF('S.H BOI GORDO'!A7174=""," ",'S.H BOI GORDO'!A7174)</f>
        <v/>
      </c>
      <c r="B96" s="23">
        <f>B104</f>
        <v/>
      </c>
    </row>
    <row r="97">
      <c r="A97" s="9">
        <f>IF('S.H BOI GORDO'!A7175=""," ",'S.H BOI GORDO'!A7175)</f>
        <v/>
      </c>
      <c r="B97" s="23">
        <f>B105</f>
        <v/>
      </c>
    </row>
    <row r="98">
      <c r="A98" s="9">
        <f>IF('S.H BOI GORDO'!A7176=""," ",'S.H BOI GORDO'!A7176)</f>
        <v/>
      </c>
      <c r="B98" s="23">
        <f>B106</f>
        <v/>
      </c>
    </row>
    <row r="99">
      <c r="A99" s="9">
        <f>IF('S.H BOI GORDO'!A7177=""," ",'S.H BOI GORDO'!A7177)</f>
        <v/>
      </c>
      <c r="B99" s="23">
        <f>B107</f>
        <v/>
      </c>
    </row>
    <row r="100">
      <c r="A100" s="9">
        <f>IF('S.H BOI GORDO'!A7178=""," ",'S.H BOI GORDO'!A7178)</f>
        <v/>
      </c>
      <c r="B100" s="23">
        <f>B108</f>
        <v/>
      </c>
    </row>
    <row r="101">
      <c r="A101" s="9">
        <f>IF('S.H BOI GORDO'!A7179=""," ",'S.H BOI GORDO'!A7179)</f>
        <v/>
      </c>
      <c r="B101" s="23">
        <f>B109</f>
        <v/>
      </c>
    </row>
    <row r="102">
      <c r="A102" s="9">
        <f>IF('S.H BOI GORDO'!A7180=""," ",'S.H BOI GORDO'!A7180)</f>
        <v/>
      </c>
      <c r="B102" s="23">
        <f>B110</f>
        <v/>
      </c>
    </row>
    <row r="103">
      <c r="A103" s="9">
        <f>IF('S.H BOI GORDO'!A7181=""," ",'S.H BOI GORDO'!A7181)</f>
        <v/>
      </c>
      <c r="B103" s="23">
        <f>B111</f>
        <v/>
      </c>
    </row>
    <row r="104">
      <c r="A104" s="9">
        <f>IF('S.H BOI GORDO'!A7182=""," ",'S.H BOI GORDO'!A7182)</f>
        <v/>
      </c>
      <c r="B104" s="23">
        <f>B112</f>
        <v/>
      </c>
    </row>
    <row r="105">
      <c r="A105" s="9">
        <f>IF('S.H BOI GORDO'!A7183=""," ",'S.H BOI GORDO'!A7183)</f>
        <v/>
      </c>
      <c r="B105" s="23">
        <f>B113</f>
        <v/>
      </c>
    </row>
    <row r="106">
      <c r="A106" s="9">
        <f>IF('S.H BOI GORDO'!A7184=""," ",'S.H BOI GORDO'!A7184)</f>
        <v/>
      </c>
      <c r="B106" s="23">
        <f>B114</f>
        <v/>
      </c>
    </row>
    <row r="107">
      <c r="A107" s="9">
        <f>IF('S.H BOI GORDO'!A7185=""," ",'S.H BOI GORDO'!A7185)</f>
        <v/>
      </c>
      <c r="B107" s="23">
        <f>B115</f>
        <v/>
      </c>
    </row>
    <row r="108">
      <c r="A108" s="9">
        <f>IF('S.H BOI GORDO'!A7186=""," ",'S.H BOI GORDO'!A7186)</f>
        <v/>
      </c>
      <c r="B108" s="23">
        <f>B116</f>
        <v/>
      </c>
    </row>
    <row r="109">
      <c r="A109" s="9">
        <f>IF('S.H BOI GORDO'!A7187=""," ",'S.H BOI GORDO'!A7187)</f>
        <v/>
      </c>
      <c r="B109" s="23">
        <f>B117</f>
        <v/>
      </c>
    </row>
    <row r="110">
      <c r="A110" s="9">
        <f>IF('S.H BOI GORDO'!A7188=""," ",'S.H BOI GORDO'!A7188)</f>
        <v/>
      </c>
      <c r="B110" s="23">
        <f>B118</f>
        <v/>
      </c>
    </row>
    <row r="111">
      <c r="A111" s="9">
        <f>IF('S.H BOI GORDO'!A7189=""," ",'S.H BOI GORDO'!A7189)</f>
        <v/>
      </c>
      <c r="B111" s="23">
        <f>B119</f>
        <v/>
      </c>
    </row>
    <row r="112">
      <c r="A112" s="9">
        <f>IF('S.H BOI GORDO'!A7190=""," ",'S.H BOI GORDO'!A7190)</f>
        <v/>
      </c>
      <c r="B112" s="23">
        <f>B120</f>
        <v/>
      </c>
    </row>
    <row r="113">
      <c r="A113" s="9">
        <f>IF('S.H BOI GORDO'!A7191=""," ",'S.H BOI GORDO'!A7191)</f>
        <v/>
      </c>
      <c r="B113" s="23">
        <f>B121</f>
        <v/>
      </c>
    </row>
    <row r="114">
      <c r="A114" s="9">
        <f>IF('S.H BOI GORDO'!A7192=""," ",'S.H BOI GORDO'!A7192)</f>
        <v/>
      </c>
      <c r="B114" s="23">
        <f>B122</f>
        <v/>
      </c>
    </row>
    <row r="115">
      <c r="A115" s="9">
        <f>IF('S.H BOI GORDO'!A7193=""," ",'S.H BOI GORDO'!A7193)</f>
        <v/>
      </c>
      <c r="B115" s="23">
        <f>B123</f>
        <v/>
      </c>
    </row>
    <row r="116">
      <c r="A116" s="9">
        <f>IF('S.H BOI GORDO'!A7194=""," ",'S.H BOI GORDO'!A7194)</f>
        <v/>
      </c>
      <c r="B116" s="23">
        <f>B124</f>
        <v/>
      </c>
    </row>
    <row r="117">
      <c r="A117" s="9">
        <f>IF('S.H BOI GORDO'!A7195=""," ",'S.H BOI GORDO'!A7195)</f>
        <v/>
      </c>
      <c r="B117" s="23">
        <f>B125</f>
        <v/>
      </c>
    </row>
    <row r="118">
      <c r="A118" s="9">
        <f>IF('S.H BOI GORDO'!A7196=""," ",'S.H BOI GORDO'!A7196)</f>
        <v/>
      </c>
      <c r="B118" s="23">
        <f>B126</f>
        <v/>
      </c>
    </row>
    <row r="119">
      <c r="A119" s="9">
        <f>IF('S.H BOI GORDO'!A7197=""," ",'S.H BOI GORDO'!A7197)</f>
        <v/>
      </c>
      <c r="B119" s="23">
        <f>B127</f>
        <v/>
      </c>
    </row>
    <row r="120">
      <c r="A120" s="9">
        <f>IF('S.H BOI GORDO'!A7198=""," ",'S.H BOI GORDO'!A7198)</f>
        <v/>
      </c>
      <c r="B120" s="23">
        <f>B128</f>
        <v/>
      </c>
    </row>
    <row r="121">
      <c r="A121" s="9">
        <f>IF('S.H BOI GORDO'!A7199=""," ",'S.H BOI GORDO'!A7199)</f>
        <v/>
      </c>
      <c r="B121" s="23">
        <f>B129</f>
        <v/>
      </c>
    </row>
    <row r="122">
      <c r="A122" s="9">
        <f>IF('S.H BOI GORDO'!A7200=""," ",'S.H BOI GORDO'!A7200)</f>
        <v/>
      </c>
      <c r="B122" s="23">
        <f>B130</f>
        <v/>
      </c>
    </row>
    <row r="123">
      <c r="A123" s="9">
        <f>IF('S.H BOI GORDO'!A7201=""," ",'S.H BOI GORDO'!A7201)</f>
        <v/>
      </c>
      <c r="B123" s="23">
        <f>B131</f>
        <v/>
      </c>
    </row>
    <row r="124">
      <c r="A124" s="9">
        <f>IF('S.H BOI GORDO'!A7202=""," ",'S.H BOI GORDO'!A7202)</f>
        <v/>
      </c>
      <c r="B124" s="23">
        <f>B132</f>
        <v/>
      </c>
    </row>
    <row r="125">
      <c r="A125" s="9">
        <f>IF('S.H BOI GORDO'!A7203=""," ",'S.H BOI GORDO'!A7203)</f>
        <v/>
      </c>
      <c r="B125" s="23">
        <f>B133</f>
        <v/>
      </c>
    </row>
    <row r="126">
      <c r="A126" s="9">
        <f>IF('S.H BOI GORDO'!A7204=""," ",'S.H BOI GORDO'!A7204)</f>
        <v/>
      </c>
      <c r="B126" s="23">
        <f>B134</f>
        <v/>
      </c>
    </row>
    <row r="127">
      <c r="A127" s="9">
        <f>IF('S.H BOI GORDO'!A7205=""," ",'S.H BOI GORDO'!A7205)</f>
        <v/>
      </c>
      <c r="B127" s="23">
        <f>B135</f>
        <v/>
      </c>
    </row>
    <row r="128">
      <c r="A128" s="9">
        <f>IF('S.H BOI GORDO'!A7206=""," ",'S.H BOI GORDO'!A7206)</f>
        <v/>
      </c>
      <c r="B128" s="23">
        <f>B136</f>
        <v/>
      </c>
    </row>
    <row r="129">
      <c r="B129" s="23">
        <f>B137</f>
        <v/>
      </c>
    </row>
    <row r="130">
      <c r="B130" s="23">
        <f>B138</f>
        <v/>
      </c>
    </row>
    <row r="131">
      <c r="B131" s="23">
        <f>B139</f>
        <v/>
      </c>
    </row>
    <row r="132">
      <c r="B132" s="23">
        <f>B140</f>
        <v/>
      </c>
    </row>
    <row r="133">
      <c r="B133" s="23">
        <f>B141</f>
        <v/>
      </c>
    </row>
    <row r="134">
      <c r="B134" s="23">
        <f>B142</f>
        <v/>
      </c>
    </row>
    <row r="135">
      <c r="B135" s="23">
        <f>B143</f>
        <v/>
      </c>
    </row>
    <row r="136">
      <c r="B136" s="23">
        <f>B144</f>
        <v/>
      </c>
    </row>
    <row r="137">
      <c r="B137" s="23">
        <f>B145</f>
        <v/>
      </c>
    </row>
    <row r="138">
      <c r="B138" s="23">
        <f>B146</f>
        <v/>
      </c>
    </row>
    <row r="139">
      <c r="B139" s="23">
        <f>B147</f>
        <v/>
      </c>
    </row>
    <row r="140">
      <c r="B140" s="23">
        <f>B148</f>
        <v/>
      </c>
    </row>
    <row r="141">
      <c r="B141" s="23">
        <f>B149</f>
        <v/>
      </c>
    </row>
    <row r="142">
      <c r="B142" s="23">
        <f>B150</f>
        <v/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3">
        <f>B3</f>
        <v/>
      </c>
      <c r="C4" t="n">
        <v>72.43000000000001</v>
      </c>
    </row>
    <row r="5">
      <c r="A5" s="9" t="n">
        <v>46154</v>
      </c>
      <c r="B5" s="23">
        <f>B4</f>
        <v/>
      </c>
      <c r="C5" t="n">
        <v>72.19</v>
      </c>
    </row>
    <row r="6">
      <c r="A6" s="9" t="n">
        <v>46155</v>
      </c>
      <c r="B6" s="23">
        <f>B5</f>
        <v/>
      </c>
      <c r="C6" t="n">
        <v>72.23</v>
      </c>
    </row>
    <row r="7">
      <c r="A7" s="9" t="n">
        <v>46156</v>
      </c>
      <c r="B7" s="23">
        <f>B6</f>
        <v/>
      </c>
      <c r="C7" t="n">
        <v>72.13</v>
      </c>
    </row>
    <row r="8">
      <c r="A8" s="9" t="n">
        <v>46157</v>
      </c>
      <c r="B8" s="23">
        <f>B7</f>
        <v/>
      </c>
      <c r="C8" t="n">
        <v>72.25</v>
      </c>
    </row>
    <row r="9">
      <c r="A9" s="9" t="n">
        <v>46160</v>
      </c>
      <c r="B9" s="23">
        <f>B8</f>
        <v/>
      </c>
      <c r="C9" t="n">
        <v>72.2</v>
      </c>
    </row>
    <row r="10">
      <c r="A10" s="9" t="n">
        <v>46161</v>
      </c>
      <c r="B10" s="23">
        <f>B9</f>
        <v/>
      </c>
      <c r="C10" t="n">
        <v>72.37</v>
      </c>
    </row>
    <row r="11">
      <c r="A11" s="9" t="n">
        <v>46162</v>
      </c>
      <c r="B11" s="23">
        <f>B10</f>
        <v/>
      </c>
      <c r="C11" t="n">
        <v>72.22</v>
      </c>
    </row>
    <row r="12">
      <c r="A12" s="9" t="n">
        <v>46163</v>
      </c>
      <c r="B12" s="23">
        <f>B11</f>
        <v/>
      </c>
      <c r="C12" t="n">
        <v>72.20999999999999</v>
      </c>
    </row>
    <row r="13">
      <c r="A13" s="9" t="n">
        <v>46164</v>
      </c>
      <c r="B13" s="23">
        <f>B12</f>
        <v/>
      </c>
      <c r="C13" t="n">
        <v>72.40000000000001</v>
      </c>
    </row>
    <row r="14">
      <c r="A14" s="9" t="n">
        <v>46167</v>
      </c>
      <c r="B14" s="23">
        <f>B13</f>
        <v/>
      </c>
      <c r="C14" t="n">
        <v>72.27</v>
      </c>
    </row>
    <row r="15">
      <c r="A15" s="9" t="n">
        <v>46168</v>
      </c>
      <c r="B15" s="23">
        <f>B14</f>
        <v/>
      </c>
      <c r="C15" t="n">
        <v>73</v>
      </c>
    </row>
    <row r="16">
      <c r="A16" s="9" t="n">
        <v>46169</v>
      </c>
      <c r="B16" s="23">
        <f>B15</f>
        <v/>
      </c>
      <c r="C16" t="n">
        <v>72.84999999999999</v>
      </c>
    </row>
    <row r="17">
      <c r="A17" s="9" t="n">
        <v>46170</v>
      </c>
      <c r="B17" s="23">
        <f>B16</f>
        <v/>
      </c>
      <c r="C17" t="n">
        <v>72.95999999999999</v>
      </c>
    </row>
    <row r="18">
      <c r="A18" s="9" t="n">
        <v>46171</v>
      </c>
      <c r="B18" s="23">
        <f>B17</f>
        <v/>
      </c>
      <c r="C18" t="n">
        <v>73</v>
      </c>
    </row>
    <row r="19">
      <c r="A19" s="9" t="n">
        <v>46174</v>
      </c>
      <c r="B19" s="23">
        <f>B18</f>
        <v/>
      </c>
      <c r="C19" t="n">
        <v>72.70999999999999</v>
      </c>
    </row>
    <row r="20">
      <c r="A20" s="9" t="n">
        <v>46175</v>
      </c>
      <c r="B20" s="23">
        <f>B19</f>
        <v/>
      </c>
      <c r="C20" t="n">
        <v>72.48999999999999</v>
      </c>
    </row>
    <row r="21">
      <c r="A21" s="4" t="n">
        <v>46176</v>
      </c>
      <c r="B21" s="23">
        <f>B20</f>
        <v/>
      </c>
      <c r="C21" t="n">
        <v>72.88</v>
      </c>
    </row>
    <row r="22">
      <c r="A22" s="4" t="n">
        <v>46178</v>
      </c>
      <c r="B22" s="23">
        <f>B21</f>
        <v/>
      </c>
      <c r="C22" t="n">
        <v>72.91</v>
      </c>
    </row>
    <row r="23">
      <c r="A23" s="4" t="n">
        <v>46181</v>
      </c>
      <c r="B23" s="23">
        <f>B22</f>
        <v/>
      </c>
      <c r="C23" t="n">
        <v>72.65000000000001</v>
      </c>
    </row>
    <row r="24">
      <c r="A24" s="4" t="n">
        <v>46182</v>
      </c>
      <c r="B24" s="23">
        <f>B23</f>
        <v/>
      </c>
      <c r="C24" t="n">
        <v>72.40000000000001</v>
      </c>
    </row>
    <row r="25">
      <c r="A25" s="9" t="n">
        <v>46183</v>
      </c>
      <c r="B25" s="23">
        <f>B24</f>
        <v/>
      </c>
      <c r="C25" t="n">
        <v>72.61</v>
      </c>
    </row>
    <row r="26">
      <c r="A26" s="9" t="n">
        <v>46184</v>
      </c>
      <c r="B26" s="23">
        <f>B25</f>
        <v/>
      </c>
      <c r="C26" t="n">
        <v>72.59</v>
      </c>
    </row>
    <row r="27">
      <c r="A27" s="9" t="n">
        <v>46185</v>
      </c>
      <c r="B27" s="23">
        <f>B26</f>
        <v/>
      </c>
      <c r="C27" t="n">
        <v>72.63</v>
      </c>
    </row>
    <row r="28">
      <c r="A28" s="9" t="n">
        <v>46188</v>
      </c>
      <c r="B28" s="23">
        <f>B27</f>
        <v/>
      </c>
      <c r="C28" t="n">
        <v>72.5</v>
      </c>
    </row>
    <row r="29">
      <c r="A29" s="9" t="n">
        <v>46189</v>
      </c>
      <c r="B29" s="23">
        <f>B28</f>
        <v/>
      </c>
      <c r="C29" t="n">
        <v>72.19</v>
      </c>
    </row>
    <row r="30">
      <c r="A30" s="9" t="n">
        <v>46190</v>
      </c>
      <c r="B30" s="23">
        <f>B29</f>
        <v/>
      </c>
      <c r="C30" t="n">
        <v>72.34999999999999</v>
      </c>
    </row>
    <row r="31">
      <c r="A31" s="9" t="n">
        <v>46191</v>
      </c>
      <c r="B31" s="23">
        <f>B30</f>
        <v/>
      </c>
      <c r="C31" t="n">
        <v>72.36</v>
      </c>
    </row>
    <row r="32">
      <c r="A32" s="9" t="n">
        <v>46192</v>
      </c>
      <c r="B32" s="23">
        <f>B31</f>
        <v/>
      </c>
      <c r="C32" t="n">
        <v>72.18000000000001</v>
      </c>
    </row>
    <row r="33">
      <c r="A33" s="9" t="n">
        <v>46195</v>
      </c>
      <c r="B33" s="23">
        <f>B32</f>
        <v/>
      </c>
      <c r="C33" t="n">
        <v>72.20999999999999</v>
      </c>
    </row>
    <row r="34">
      <c r="A34" s="9" t="n">
        <v>46196</v>
      </c>
      <c r="B34" s="23">
        <f>B33</f>
        <v/>
      </c>
      <c r="C34" t="n">
        <v>72.3</v>
      </c>
    </row>
    <row r="35">
      <c r="A35" s="9" t="n">
        <v>46197</v>
      </c>
      <c r="B35" s="23">
        <f>B34</f>
        <v/>
      </c>
      <c r="C35" t="n">
        <v>72.3</v>
      </c>
    </row>
    <row r="36">
      <c r="A36" s="9" t="n">
        <v>46198</v>
      </c>
      <c r="B36" s="23">
        <f>B35</f>
        <v/>
      </c>
      <c r="C36" t="n">
        <v>72.23999999999999</v>
      </c>
    </row>
    <row r="37">
      <c r="A37" s="9" t="n">
        <v>46199</v>
      </c>
      <c r="B37" s="23">
        <f>B36</f>
        <v/>
      </c>
      <c r="C37" t="n">
        <v>72.31999999999999</v>
      </c>
    </row>
    <row r="38">
      <c r="A38" s="9">
        <f>IF('S.H BOI GORDO'!A7170=""," ",'S.H BOI GORDO'!A7170)</f>
        <v/>
      </c>
      <c r="B38" s="23">
        <f>B47</f>
        <v/>
      </c>
    </row>
    <row r="39">
      <c r="A39" s="9">
        <f>IF('S.H BOI GORDO'!A7171=""," ",'S.H BOI GORDO'!A7171)</f>
        <v/>
      </c>
      <c r="B39" s="23">
        <f>B48</f>
        <v/>
      </c>
    </row>
    <row r="40">
      <c r="A40" s="9">
        <f>IF('S.H BOI GORDO'!A7172=""," ",'S.H BOI GORDO'!A7172)</f>
        <v/>
      </c>
      <c r="B40" s="23">
        <f>B49</f>
        <v/>
      </c>
    </row>
    <row r="41">
      <c r="A41" s="9">
        <f>IF('S.H BOI GORDO'!A7173=""," ",'S.H BOI GORDO'!A7173)</f>
        <v/>
      </c>
      <c r="B41" s="23">
        <f>B50</f>
        <v/>
      </c>
    </row>
    <row r="42">
      <c r="A42" s="9">
        <f>IF('S.H BOI GORDO'!A7174=""," ",'S.H BOI GORDO'!A7174)</f>
        <v/>
      </c>
      <c r="B42" s="23">
        <f>B51</f>
        <v/>
      </c>
    </row>
    <row r="43">
      <c r="A43" s="9">
        <f>IF('S.H BOI GORDO'!A7175=""," ",'S.H BOI GORDO'!A7175)</f>
        <v/>
      </c>
      <c r="B43" s="23">
        <f>B52</f>
        <v/>
      </c>
    </row>
    <row r="44">
      <c r="A44" s="9">
        <f>IF('S.H BOI GORDO'!A7176=""," ",'S.H BOI GORDO'!A7176)</f>
        <v/>
      </c>
      <c r="B44" s="23">
        <f>B53</f>
        <v/>
      </c>
    </row>
    <row r="45">
      <c r="A45" s="9">
        <f>IF('S.H BOI GORDO'!A7177=""," ",'S.H BOI GORDO'!A7177)</f>
        <v/>
      </c>
      <c r="B45" s="23">
        <f>B54</f>
        <v/>
      </c>
    </row>
    <row r="46">
      <c r="A46" s="9">
        <f>IF('S.H BOI GORDO'!A7178=""," ",'S.H BOI GORDO'!A7178)</f>
        <v/>
      </c>
      <c r="B46" s="23">
        <f>B55</f>
        <v/>
      </c>
    </row>
    <row r="47">
      <c r="A47" s="9">
        <f>IF('S.H BOI GORDO'!A7179=""," ",'S.H BOI GORDO'!A7179)</f>
        <v/>
      </c>
      <c r="B47" s="23">
        <f>B56</f>
        <v/>
      </c>
    </row>
    <row r="48">
      <c r="A48" s="9">
        <f>IF('S.H BOI GORDO'!A7180=""," ",'S.H BOI GORDO'!A7180)</f>
        <v/>
      </c>
      <c r="B48" s="23">
        <f>B57</f>
        <v/>
      </c>
    </row>
    <row r="49">
      <c r="A49" s="9">
        <f>IF('S.H BOI GORDO'!A7181=""," ",'S.H BOI GORDO'!A7181)</f>
        <v/>
      </c>
      <c r="B49" s="23">
        <f>B58</f>
        <v/>
      </c>
    </row>
    <row r="50">
      <c r="A50" s="9">
        <f>IF('S.H BOI GORDO'!A7182=""," ",'S.H BOI GORDO'!A7182)</f>
        <v/>
      </c>
      <c r="B50" s="23">
        <f>B59</f>
        <v/>
      </c>
    </row>
    <row r="51">
      <c r="A51" s="9">
        <f>IF('S.H BOI GORDO'!A7183=""," ",'S.H BOI GORDO'!A7183)</f>
        <v/>
      </c>
      <c r="B51" s="23">
        <f>B60</f>
        <v/>
      </c>
    </row>
    <row r="52">
      <c r="A52" s="9">
        <f>IF('S.H BOI GORDO'!A7184=""," ",'S.H BOI GORDO'!A7184)</f>
        <v/>
      </c>
      <c r="B52" s="23">
        <f>B61</f>
        <v/>
      </c>
    </row>
    <row r="53">
      <c r="A53" s="9">
        <f>IF('S.H BOI GORDO'!A7185=""," ",'S.H BOI GORDO'!A7185)</f>
        <v/>
      </c>
      <c r="B53" s="23">
        <f>B62</f>
        <v/>
      </c>
    </row>
    <row r="54">
      <c r="A54" s="9">
        <f>IF('S.H BOI GORDO'!A7186=""," ",'S.H BOI GORDO'!A7186)</f>
        <v/>
      </c>
      <c r="B54" s="23">
        <f>B63</f>
        <v/>
      </c>
    </row>
    <row r="55">
      <c r="A55" s="9">
        <f>IF('S.H BOI GORDO'!A7187=""," ",'S.H BOI GORDO'!A7187)</f>
        <v/>
      </c>
      <c r="B55" s="23">
        <f>B64</f>
        <v/>
      </c>
    </row>
    <row r="56">
      <c r="A56" s="9">
        <f>IF('S.H BOI GORDO'!A7188=""," ",'S.H BOI GORDO'!A7188)</f>
        <v/>
      </c>
      <c r="B56" s="23">
        <f>B65</f>
        <v/>
      </c>
    </row>
    <row r="57">
      <c r="A57" s="9">
        <f>IF('S.H BOI GORDO'!A7189=""," ",'S.H BOI GORDO'!A7189)</f>
        <v/>
      </c>
      <c r="B57" s="23">
        <f>B66</f>
        <v/>
      </c>
    </row>
    <row r="58">
      <c r="A58" s="9">
        <f>IF('S.H BOI GORDO'!A7190=""," ",'S.H BOI GORDO'!A7190)</f>
        <v/>
      </c>
      <c r="B58" s="23">
        <f>B67</f>
        <v/>
      </c>
    </row>
    <row r="59">
      <c r="A59" s="9">
        <f>IF('S.H BOI GORDO'!A7191=""," ",'S.H BOI GORDO'!A7191)</f>
        <v/>
      </c>
      <c r="B59" s="23">
        <f>B68</f>
        <v/>
      </c>
    </row>
    <row r="60">
      <c r="A60" s="9">
        <f>IF('S.H BOI GORDO'!A7192=""," ",'S.H BOI GORDO'!A7192)</f>
        <v/>
      </c>
      <c r="B60" s="23">
        <f>B69</f>
        <v/>
      </c>
    </row>
    <row r="61">
      <c r="A61" s="9">
        <f>IF('S.H BOI GORDO'!A7193=""," ",'S.H BOI GORDO'!A7193)</f>
        <v/>
      </c>
      <c r="B61" s="23">
        <f>B70</f>
        <v/>
      </c>
    </row>
    <row r="62">
      <c r="A62" s="9">
        <f>IF('S.H BOI GORDO'!A7194=""," ",'S.H BOI GORDO'!A7194)</f>
        <v/>
      </c>
      <c r="B62" s="23">
        <f>B71</f>
        <v/>
      </c>
    </row>
    <row r="63">
      <c r="A63" s="9">
        <f>IF('S.H BOI GORDO'!A7195=""," ",'S.H BOI GORDO'!A7195)</f>
        <v/>
      </c>
      <c r="B63" s="23">
        <f>B72</f>
        <v/>
      </c>
    </row>
    <row r="64">
      <c r="A64" s="9">
        <f>IF('S.H BOI GORDO'!A7196=""," ",'S.H BOI GORDO'!A7196)</f>
        <v/>
      </c>
      <c r="B64" s="23">
        <f>B73</f>
        <v/>
      </c>
    </row>
    <row r="65">
      <c r="A65" s="9">
        <f>IF('S.H BOI GORDO'!A7197=""," ",'S.H BOI GORDO'!A7197)</f>
        <v/>
      </c>
      <c r="B65" s="23">
        <f>B74</f>
        <v/>
      </c>
    </row>
    <row r="66">
      <c r="A66" s="9">
        <f>IF('S.H BOI GORDO'!A7198=""," ",'S.H BOI GORDO'!A7198)</f>
        <v/>
      </c>
      <c r="B66" s="23">
        <f>B75</f>
        <v/>
      </c>
    </row>
    <row r="67">
      <c r="A67" s="9">
        <f>IF('S.H BOI GORDO'!A7199=""," ",'S.H BOI GORDO'!A7199)</f>
        <v/>
      </c>
      <c r="B67" s="23">
        <f>B76</f>
        <v/>
      </c>
    </row>
    <row r="68">
      <c r="A68" s="9">
        <f>IF('S.H BOI GORDO'!A7200=""," ",'S.H BOI GORDO'!A7200)</f>
        <v/>
      </c>
      <c r="B68" s="23">
        <f>B77</f>
        <v/>
      </c>
    </row>
    <row r="69">
      <c r="A69" s="9">
        <f>IF('S.H BOI GORDO'!A7201=""," ",'S.H BOI GORDO'!A7201)</f>
        <v/>
      </c>
      <c r="B69" s="23">
        <f>B78</f>
        <v/>
      </c>
    </row>
    <row r="70">
      <c r="A70" s="9">
        <f>IF('S.H BOI GORDO'!A7202=""," ",'S.H BOI GORDO'!A7202)</f>
        <v/>
      </c>
      <c r="B70" s="23">
        <f>B79</f>
        <v/>
      </c>
    </row>
    <row r="71">
      <c r="A71" s="9">
        <f>IF('S.H BOI GORDO'!A7203=""," ",'S.H BOI GORDO'!A7203)</f>
        <v/>
      </c>
      <c r="B71" s="23">
        <f>B80</f>
        <v/>
      </c>
    </row>
    <row r="72">
      <c r="A72" s="9">
        <f>IF('S.H BOI GORDO'!A7204=""," ",'S.H BOI GORDO'!A7204)</f>
        <v/>
      </c>
      <c r="B72" s="23">
        <f>B81</f>
        <v/>
      </c>
    </row>
    <row r="73">
      <c r="A73" s="9">
        <f>IF('S.H BOI GORDO'!A7205=""," ",'S.H BOI GORDO'!A7205)</f>
        <v/>
      </c>
      <c r="B73" s="23">
        <f>B82</f>
        <v/>
      </c>
    </row>
    <row r="74">
      <c r="A74" s="9">
        <f>IF('S.H BOI GORDO'!A7206=""," ",'S.H BOI GORDO'!A7206)</f>
        <v/>
      </c>
      <c r="B74" s="23">
        <f>B83</f>
        <v/>
      </c>
    </row>
    <row r="75">
      <c r="B75" s="23">
        <f>B84</f>
        <v/>
      </c>
    </row>
    <row r="76">
      <c r="B76" s="23">
        <f>B85</f>
        <v/>
      </c>
    </row>
    <row r="77">
      <c r="B77" s="23">
        <f>B86</f>
        <v/>
      </c>
    </row>
    <row r="78">
      <c r="B78" s="23">
        <f>B87</f>
        <v/>
      </c>
    </row>
    <row r="79">
      <c r="B79" s="23">
        <f>B88</f>
        <v/>
      </c>
    </row>
    <row r="80">
      <c r="B80" s="23">
        <f>B89</f>
        <v/>
      </c>
    </row>
    <row r="81">
      <c r="B81" s="23">
        <f>B90</f>
        <v/>
      </c>
    </row>
    <row r="82">
      <c r="B82" s="23">
        <f>B91</f>
        <v/>
      </c>
    </row>
    <row r="83">
      <c r="B83" s="23">
        <f>B92</f>
        <v/>
      </c>
    </row>
    <row r="84">
      <c r="B84" s="23">
        <f>B93</f>
        <v/>
      </c>
    </row>
    <row r="85">
      <c r="B85" s="23">
        <f>B94</f>
        <v/>
      </c>
    </row>
    <row r="86">
      <c r="B86" s="23">
        <f>B95</f>
        <v/>
      </c>
    </row>
    <row r="87">
      <c r="B87" s="23">
        <f>B96</f>
        <v/>
      </c>
    </row>
    <row r="88">
      <c r="B88" s="23">
        <f>B97</f>
        <v/>
      </c>
    </row>
    <row r="89">
      <c r="B89" s="23">
        <f>B98</f>
        <v/>
      </c>
    </row>
    <row r="90">
      <c r="B90" s="23">
        <f>B99</f>
        <v/>
      </c>
    </row>
    <row r="91">
      <c r="B91" s="23">
        <f>B100</f>
        <v/>
      </c>
    </row>
    <row r="92">
      <c r="B92" s="23">
        <f>B101</f>
        <v/>
      </c>
    </row>
    <row r="93">
      <c r="B93" s="23">
        <f>B102</f>
        <v/>
      </c>
    </row>
    <row r="94">
      <c r="B94" s="23">
        <f>B103</f>
        <v/>
      </c>
    </row>
    <row r="95">
      <c r="B95" s="23">
        <f>B104</f>
        <v/>
      </c>
    </row>
    <row r="96">
      <c r="B96" s="23">
        <f>B105</f>
        <v/>
      </c>
    </row>
    <row r="97">
      <c r="B97" s="23">
        <f>B106</f>
        <v/>
      </c>
    </row>
    <row r="98">
      <c r="B98" s="23">
        <f>B107</f>
        <v/>
      </c>
    </row>
    <row r="99">
      <c r="B99" s="23">
        <f>B108</f>
        <v/>
      </c>
    </row>
    <row r="100">
      <c r="B100" s="23">
        <f>B109</f>
        <v/>
      </c>
    </row>
    <row r="101">
      <c r="B101" s="23">
        <f>B110</f>
        <v/>
      </c>
    </row>
    <row r="102">
      <c r="B102" s="23">
        <f>B111</f>
        <v/>
      </c>
    </row>
    <row r="103">
      <c r="B103" s="23">
        <f>B112</f>
        <v/>
      </c>
    </row>
    <row r="104">
      <c r="B104" s="23">
        <f>B113</f>
        <v/>
      </c>
    </row>
    <row r="105">
      <c r="B105" s="23">
        <f>B114</f>
        <v/>
      </c>
    </row>
    <row r="106">
      <c r="B106" s="23">
        <f>B115</f>
        <v/>
      </c>
    </row>
    <row r="107">
      <c r="B107" s="23">
        <f>B116</f>
        <v/>
      </c>
    </row>
    <row r="108">
      <c r="B108" s="23">
        <f>B117</f>
        <v/>
      </c>
    </row>
    <row r="109">
      <c r="B109" s="23">
        <f>B118</f>
        <v/>
      </c>
    </row>
    <row r="110">
      <c r="B110" s="23">
        <f>B119</f>
        <v/>
      </c>
    </row>
    <row r="111">
      <c r="B111" s="23">
        <f>B120</f>
        <v/>
      </c>
    </row>
    <row r="112">
      <c r="B112" s="23">
        <f>B121</f>
        <v/>
      </c>
    </row>
    <row r="113">
      <c r="B113" s="23">
        <f>B122</f>
        <v/>
      </c>
    </row>
    <row r="114">
      <c r="B114" s="23">
        <f>B123</f>
        <v/>
      </c>
    </row>
    <row r="115">
      <c r="B115" s="23">
        <f>B124</f>
        <v/>
      </c>
    </row>
    <row r="116">
      <c r="B116" s="23">
        <f>B125</f>
        <v/>
      </c>
    </row>
    <row r="117">
      <c r="B117" s="23">
        <f>B126</f>
        <v/>
      </c>
    </row>
    <row r="118">
      <c r="B118" s="23">
        <f>B127</f>
        <v/>
      </c>
    </row>
    <row r="119">
      <c r="B119" s="23">
        <f>B128</f>
        <v/>
      </c>
    </row>
    <row r="120">
      <c r="B120" s="23">
        <f>B129</f>
        <v/>
      </c>
    </row>
    <row r="121">
      <c r="B121" s="23">
        <f>B130</f>
        <v/>
      </c>
    </row>
    <row r="122">
      <c r="B122" s="23">
        <f>B131</f>
        <v/>
      </c>
    </row>
    <row r="123">
      <c r="B123" s="23">
        <f>B132</f>
        <v/>
      </c>
    </row>
    <row r="124">
      <c r="B124" s="23">
        <f>B133</f>
        <v/>
      </c>
    </row>
    <row r="125">
      <c r="B125" s="23">
        <f>B134</f>
        <v/>
      </c>
    </row>
    <row r="126">
      <c r="B126" s="23">
        <f>B135</f>
        <v/>
      </c>
    </row>
    <row r="127">
      <c r="B127" s="23">
        <f>B136</f>
        <v/>
      </c>
    </row>
    <row r="128">
      <c r="B128" s="23">
        <f>B137</f>
        <v/>
      </c>
    </row>
    <row r="129">
      <c r="B129" s="23">
        <f>B138</f>
        <v/>
      </c>
    </row>
    <row r="130">
      <c r="B130" s="23">
        <f>B139</f>
        <v/>
      </c>
    </row>
    <row r="131">
      <c r="B131" s="23">
        <f>B140</f>
        <v/>
      </c>
    </row>
    <row r="132">
      <c r="B132" s="23">
        <f>B141</f>
        <v/>
      </c>
    </row>
    <row r="133">
      <c r="B133" s="23">
        <f>B142</f>
        <v/>
      </c>
    </row>
    <row r="134">
      <c r="B134" s="23">
        <f>B143</f>
        <v/>
      </c>
    </row>
    <row r="135">
      <c r="B135" s="23">
        <f>B144</f>
        <v/>
      </c>
    </row>
    <row r="136">
      <c r="B136" s="23">
        <f>B145</f>
        <v/>
      </c>
    </row>
    <row r="137">
      <c r="B137" s="23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/>
  <cols>
    <col width="18.1406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7" t="n">
        <v>46113</v>
      </c>
      <c r="B144" s="1">
        <f>B153</f>
        <v/>
      </c>
      <c r="C144" t="n">
        <v>25.7606</v>
      </c>
    </row>
    <row r="145">
      <c r="A145" s="27" t="n">
        <v>46114</v>
      </c>
      <c r="B145" s="1">
        <f>B154</f>
        <v/>
      </c>
      <c r="C145" t="n">
        <v>25.6504</v>
      </c>
    </row>
    <row r="146">
      <c r="A146" s="27" t="n">
        <v>46118</v>
      </c>
      <c r="B146" s="1">
        <f>B155</f>
        <v/>
      </c>
      <c r="C146" t="n">
        <v>25.722</v>
      </c>
    </row>
    <row r="147">
      <c r="A147" s="27" t="n">
        <v>46119</v>
      </c>
      <c r="B147" s="1">
        <f>B156</f>
        <v/>
      </c>
      <c r="C147" t="n">
        <v>25.5346</v>
      </c>
    </row>
    <row r="148">
      <c r="A148" s="27" t="n">
        <v>46120</v>
      </c>
      <c r="B148" s="1">
        <f>B157</f>
        <v/>
      </c>
      <c r="C148" t="n">
        <v>25.6173</v>
      </c>
    </row>
    <row r="149">
      <c r="A149" s="27" t="n">
        <v>46121</v>
      </c>
      <c r="B149" s="1">
        <f>B158</f>
        <v/>
      </c>
      <c r="C149" t="n">
        <v>25.6889</v>
      </c>
    </row>
    <row r="150">
      <c r="A150" s="27" t="n">
        <v>46122</v>
      </c>
      <c r="B150" s="1">
        <f>B159</f>
        <v/>
      </c>
      <c r="C150" t="n">
        <v>25.9204</v>
      </c>
    </row>
    <row r="151">
      <c r="A151" s="27" t="n">
        <v>46125</v>
      </c>
      <c r="B151" s="1">
        <f>B160</f>
        <v/>
      </c>
      <c r="C151" t="n">
        <v>25.6228</v>
      </c>
    </row>
    <row r="152">
      <c r="A152" s="27" t="n">
        <v>46126</v>
      </c>
      <c r="B152" s="1">
        <f>B161</f>
        <v/>
      </c>
      <c r="C152" t="n">
        <v>25.5291</v>
      </c>
    </row>
    <row r="153">
      <c r="A153" s="27" t="n">
        <v>46127</v>
      </c>
      <c r="B153" s="1">
        <f>B162</f>
        <v/>
      </c>
      <c r="C153" t="n">
        <v>25.7275</v>
      </c>
    </row>
    <row r="154">
      <c r="A154" s="27" t="n">
        <v>46128</v>
      </c>
      <c r="B154" s="1">
        <f>B163</f>
        <v/>
      </c>
      <c r="C154" t="n">
        <v>25.6559</v>
      </c>
    </row>
    <row r="155">
      <c r="A155" s="27" t="n">
        <v>46129</v>
      </c>
      <c r="B155" s="1">
        <f>B154</f>
        <v/>
      </c>
      <c r="C155" t="n">
        <v>25.733</v>
      </c>
    </row>
    <row r="156">
      <c r="A156" s="27" t="n">
        <v>46132</v>
      </c>
      <c r="B156" s="1">
        <f>B155</f>
        <v/>
      </c>
      <c r="C156" t="n">
        <v>25.7</v>
      </c>
    </row>
    <row r="157">
      <c r="A157" s="27" t="n">
        <v>46134</v>
      </c>
      <c r="B157" s="1">
        <f>B156</f>
        <v/>
      </c>
      <c r="C157" t="n">
        <v>25.6724</v>
      </c>
    </row>
    <row r="158">
      <c r="A158" s="27" t="n">
        <v>46135</v>
      </c>
      <c r="B158" s="1">
        <f>B157</f>
        <v/>
      </c>
      <c r="C158" t="n">
        <v>25.5677</v>
      </c>
    </row>
    <row r="159">
      <c r="A159" s="27" t="n">
        <v>46136</v>
      </c>
      <c r="B159" s="1">
        <f>B158</f>
        <v/>
      </c>
      <c r="C159" t="n">
        <v>25.6559</v>
      </c>
    </row>
    <row r="160">
      <c r="A160" s="27" t="n">
        <v>46139</v>
      </c>
      <c r="B160" s="1">
        <f>B159</f>
        <v/>
      </c>
      <c r="C160" t="n">
        <v>25.9535</v>
      </c>
    </row>
    <row r="161">
      <c r="A161" s="27" t="n">
        <v>46140</v>
      </c>
      <c r="B161" s="1">
        <f>B160</f>
        <v/>
      </c>
      <c r="C161" t="n">
        <v>25.8598</v>
      </c>
    </row>
    <row r="162">
      <c r="A162" s="27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7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/>
  <cols>
    <col width="18.1406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7" t="n">
        <v>46178</v>
      </c>
      <c r="B143" s="1">
        <f>B142</f>
        <v/>
      </c>
      <c r="C143" t="n">
        <v>24.7244</v>
      </c>
    </row>
    <row r="144">
      <c r="A144" s="27" t="n">
        <v>46181</v>
      </c>
      <c r="B144" s="1">
        <f>B143</f>
        <v/>
      </c>
      <c r="C144" t="n">
        <v>24.5977</v>
      </c>
    </row>
    <row r="145">
      <c r="A145" s="27" t="n">
        <v>46182</v>
      </c>
      <c r="B145" s="1">
        <f>B144</f>
        <v/>
      </c>
      <c r="C145" t="n">
        <v>24.5536</v>
      </c>
    </row>
    <row r="146">
      <c r="A146" s="27" t="n">
        <v>46183</v>
      </c>
      <c r="B146" s="1">
        <f>B145</f>
        <v/>
      </c>
      <c r="C146" t="n">
        <v>24.7575</v>
      </c>
    </row>
    <row r="147">
      <c r="A147" s="27" t="n">
        <v>46184</v>
      </c>
      <c r="B147" s="1">
        <f>B146</f>
        <v/>
      </c>
      <c r="C147" t="n">
        <v>24.5811</v>
      </c>
    </row>
    <row r="148">
      <c r="A148" s="27" t="n">
        <v>46185</v>
      </c>
      <c r="B148" s="1">
        <f>B147</f>
        <v/>
      </c>
      <c r="C148" t="n">
        <v>24.5481</v>
      </c>
    </row>
    <row r="149">
      <c r="A149" s="27" t="n">
        <v>46188</v>
      </c>
      <c r="B149" s="1">
        <f>B148</f>
        <v/>
      </c>
      <c r="C149" t="n">
        <v>24.6748</v>
      </c>
    </row>
    <row r="150">
      <c r="A150" s="27" t="n">
        <v>46189</v>
      </c>
      <c r="B150" s="1">
        <f>B149</f>
        <v/>
      </c>
      <c r="C150" t="n">
        <v>24.9118</v>
      </c>
    </row>
    <row r="151">
      <c r="A151" s="27" t="n">
        <v>46190</v>
      </c>
      <c r="B151" s="1">
        <f>B150</f>
        <v/>
      </c>
      <c r="C151" t="n">
        <v>24.9559</v>
      </c>
    </row>
    <row r="152">
      <c r="A152" s="27" t="n">
        <v>46191</v>
      </c>
      <c r="B152" s="1">
        <f>B151</f>
        <v/>
      </c>
      <c r="C152" t="n">
        <v>24.752</v>
      </c>
    </row>
    <row r="153">
      <c r="A153" s="27" t="n">
        <v>46192</v>
      </c>
      <c r="B153" s="1">
        <f>B152</f>
        <v/>
      </c>
      <c r="C153" t="n">
        <v>24.752</v>
      </c>
    </row>
    <row r="154">
      <c r="A154" s="27" t="n">
        <v>46195</v>
      </c>
      <c r="B154" s="1">
        <f>B153</f>
        <v/>
      </c>
      <c r="C154" t="n">
        <v>24.5977</v>
      </c>
    </row>
    <row r="155">
      <c r="A155" s="27" t="n">
        <v>46196</v>
      </c>
      <c r="B155" s="1">
        <f>B154</f>
        <v/>
      </c>
      <c r="C155" t="n">
        <v>24.6252</v>
      </c>
    </row>
    <row r="156">
      <c r="A156" s="27" t="n">
        <v>46197</v>
      </c>
      <c r="B156" s="1">
        <f>B155</f>
        <v/>
      </c>
      <c r="C156" t="n">
        <v>24.4433</v>
      </c>
    </row>
    <row r="157">
      <c r="A157" s="27" t="n">
        <v>46198</v>
      </c>
      <c r="B157" s="1">
        <f>B156</f>
        <v/>
      </c>
      <c r="C157" t="n">
        <v>24.8567</v>
      </c>
    </row>
    <row r="158">
      <c r="A158" s="80" t="n">
        <v>46199</v>
      </c>
      <c r="B158" s="1">
        <f>B157</f>
        <v/>
      </c>
      <c r="C158" t="n">
        <v>24.8291</v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>
        <f>IF('S.H BOI GORDO'!A7234=""," ",'S.H BOI GORDO'!A7234)</f>
        <v/>
      </c>
      <c r="B123" s="1">
        <f>B132</f>
        <v/>
      </c>
    </row>
    <row r="124">
      <c r="A124" s="9">
        <f>IF('S.H BOI GORDO'!A7235=""," ",'S.H BOI GORDO'!A7235)</f>
        <v/>
      </c>
      <c r="B124" s="1">
        <f>B133</f>
        <v/>
      </c>
    </row>
    <row r="125">
      <c r="A125" s="9">
        <f>IF('S.H BOI GORDO'!A7236=""," ",'S.H BOI GORDO'!A7236)</f>
        <v/>
      </c>
      <c r="B125" s="1">
        <f>B134</f>
        <v/>
      </c>
    </row>
    <row r="126">
      <c r="A126" s="9">
        <f>IF('S.H BOI GORDO'!A7237=""," ",'S.H BOI GORDO'!A7237)</f>
        <v/>
      </c>
      <c r="B126" s="1">
        <f>B135</f>
        <v/>
      </c>
    </row>
    <row r="127">
      <c r="A127" s="9">
        <f>IF('S.H BOI GORDO'!A7238=""," ",'S.H BOI GORDO'!A7238)</f>
        <v/>
      </c>
      <c r="B127" s="1">
        <f>B136</f>
        <v/>
      </c>
    </row>
    <row r="128">
      <c r="A128" s="9">
        <f>IF('S.H BOI GORDO'!A7239=""," ",'S.H BOI GORDO'!A7239)</f>
        <v/>
      </c>
      <c r="B128" s="1">
        <f>B137</f>
        <v/>
      </c>
    </row>
    <row r="129">
      <c r="A129" s="9">
        <f>IF('S.H BOI GORDO'!A7240=""," ",'S.H BOI GORDO'!A7240)</f>
        <v/>
      </c>
      <c r="B129" s="1">
        <f>B138</f>
        <v/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>
        <f>IF('S.H BOI GORDO'!A7234=""," ",'S.H BOI GORDO'!A7234)</f>
        <v/>
      </c>
      <c r="B123" s="1">
        <f>B132</f>
        <v/>
      </c>
    </row>
    <row r="124">
      <c r="A124" s="9">
        <f>IF('S.H BOI GORDO'!A7235=""," ",'S.H BOI GORDO'!A7235)</f>
        <v/>
      </c>
      <c r="B124" s="1">
        <f>B133</f>
        <v/>
      </c>
    </row>
    <row r="125">
      <c r="A125" s="9">
        <f>IF('S.H BOI GORDO'!A7236=""," ",'S.H BOI GORDO'!A7236)</f>
        <v/>
      </c>
      <c r="B125" s="1">
        <f>B134</f>
        <v/>
      </c>
    </row>
    <row r="126">
      <c r="A126" s="9">
        <f>IF('S.H BOI GORDO'!A7237=""," ",'S.H BOI GORDO'!A7237)</f>
        <v/>
      </c>
      <c r="B126" s="1">
        <f>B135</f>
        <v/>
      </c>
    </row>
    <row r="127">
      <c r="A127" s="9">
        <f>IF('S.H BOI GORDO'!A7238=""," ",'S.H BOI GORDO'!A7238)</f>
        <v/>
      </c>
      <c r="B127" s="1">
        <f>B136</f>
        <v/>
      </c>
    </row>
    <row r="128">
      <c r="A128" s="9">
        <f>IF('S.H BOI GORDO'!A7239=""," ",'S.H BOI GORDO'!A7239)</f>
        <v/>
      </c>
      <c r="B128" s="1">
        <f>B137</f>
        <v/>
      </c>
    </row>
    <row r="129">
      <c r="A129" s="9">
        <f>IF('S.H BOI GORDO'!A7240=""," ",'S.H BOI GORDO'!A7240)</f>
        <v/>
      </c>
      <c r="B129" s="1">
        <f>B138</f>
        <v/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>
        <f>IF('S.H BOI GORDO'!A7234=""," ",'S.H BOI GORDO'!A7234)</f>
        <v/>
      </c>
      <c r="B123" s="1">
        <f>B132</f>
        <v/>
      </c>
    </row>
    <row r="124">
      <c r="A124" s="9">
        <f>IF('S.H BOI GORDO'!A7235=""," ",'S.H BOI GORDO'!A7235)</f>
        <v/>
      </c>
      <c r="B124" s="1">
        <f>B133</f>
        <v/>
      </c>
    </row>
    <row r="125">
      <c r="A125" s="9">
        <f>IF('S.H BOI GORDO'!A7236=""," ",'S.H BOI GORDO'!A7236)</f>
        <v/>
      </c>
      <c r="B125" s="1">
        <f>B134</f>
        <v/>
      </c>
    </row>
    <row r="126">
      <c r="A126" s="9">
        <f>IF('S.H BOI GORDO'!A7237=""," ",'S.H BOI GORDO'!A7237)</f>
        <v/>
      </c>
      <c r="B126" s="1">
        <f>B135</f>
        <v/>
      </c>
    </row>
    <row r="127">
      <c r="A127" s="9">
        <f>IF('S.H BOI GORDO'!A7238=""," ",'S.H BOI GORDO'!A7238)</f>
        <v/>
      </c>
      <c r="B127" s="1">
        <f>B136</f>
        <v/>
      </c>
    </row>
    <row r="128">
      <c r="A128" s="9">
        <f>IF('S.H BOI GORDO'!A7239=""," ",'S.H BOI GORDO'!A7239)</f>
        <v/>
      </c>
      <c r="B128" s="1">
        <f>B137</f>
        <v/>
      </c>
    </row>
    <row r="129">
      <c r="A129" s="9">
        <f>IF('S.H BOI GORDO'!A7240=""," ",'S.H BOI GORDO'!A7240)</f>
        <v/>
      </c>
      <c r="B129" s="1">
        <f>B138</f>
        <v/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3">
        <f>B2</f>
        <v/>
      </c>
      <c r="C3" t="n">
        <v>24.3717</v>
      </c>
    </row>
    <row r="4">
      <c r="A4" s="9" t="n">
        <v>46063</v>
      </c>
      <c r="B4" s="23">
        <f>B3</f>
        <v/>
      </c>
      <c r="C4" t="n">
        <v>24.6087</v>
      </c>
    </row>
    <row r="5">
      <c r="A5" s="9" t="n">
        <v>46064</v>
      </c>
      <c r="B5" s="23">
        <f>B4</f>
        <v/>
      </c>
      <c r="C5" t="n">
        <v>24.7024</v>
      </c>
    </row>
    <row r="6">
      <c r="A6" s="9" t="n">
        <v>46065</v>
      </c>
      <c r="B6" s="23">
        <f>B5</f>
        <v/>
      </c>
      <c r="C6" t="n">
        <v>24.8181</v>
      </c>
    </row>
    <row r="7">
      <c r="A7" s="9" t="n">
        <v>46066</v>
      </c>
      <c r="B7" s="23">
        <f>B6</f>
        <v/>
      </c>
      <c r="C7" t="n">
        <v>24.763</v>
      </c>
    </row>
    <row r="8">
      <c r="A8" s="9" t="n">
        <v>46071</v>
      </c>
      <c r="B8" s="23">
        <f>B7</f>
        <v/>
      </c>
      <c r="C8" t="n">
        <v>24.8347</v>
      </c>
    </row>
    <row r="9">
      <c r="A9" s="9" t="n">
        <v>46072</v>
      </c>
      <c r="B9" s="23">
        <f>B8</f>
        <v/>
      </c>
      <c r="C9" t="n">
        <v>24.8787</v>
      </c>
    </row>
    <row r="10">
      <c r="A10" s="9" t="n">
        <v>46073</v>
      </c>
      <c r="B10" s="23">
        <f>B9</f>
        <v/>
      </c>
      <c r="C10" t="n">
        <v>24.8126</v>
      </c>
    </row>
    <row r="11">
      <c r="A11" s="9" t="n">
        <v>46076</v>
      </c>
      <c r="B11" s="23">
        <f>B10</f>
        <v/>
      </c>
      <c r="C11" t="n">
        <v>24.8567</v>
      </c>
    </row>
    <row r="12">
      <c r="A12" s="9" t="n">
        <v>46077</v>
      </c>
      <c r="B12" s="23">
        <f>B11</f>
        <v/>
      </c>
      <c r="C12" t="n">
        <v>24.9504</v>
      </c>
    </row>
    <row r="13">
      <c r="A13" s="9" t="n">
        <v>46078</v>
      </c>
      <c r="B13" s="23">
        <f>B12</f>
        <v/>
      </c>
      <c r="C13" t="n">
        <v>25.0992</v>
      </c>
    </row>
    <row r="14">
      <c r="A14" s="9" t="n">
        <v>46079</v>
      </c>
      <c r="B14" s="23">
        <f>B13</f>
        <v/>
      </c>
      <c r="C14" t="n">
        <v>25.0937</v>
      </c>
    </row>
    <row r="15">
      <c r="A15" s="9" t="n">
        <v>46080</v>
      </c>
      <c r="B15" s="23">
        <f>B14</f>
        <v/>
      </c>
      <c r="C15" t="n">
        <v>25.1047</v>
      </c>
    </row>
    <row r="16">
      <c r="A16" s="9" t="n">
        <v>46083</v>
      </c>
      <c r="B16" s="23">
        <f>B15</f>
        <v/>
      </c>
      <c r="C16" t="n">
        <v>25.1157</v>
      </c>
    </row>
    <row r="17">
      <c r="A17" s="9" t="n">
        <v>46084</v>
      </c>
      <c r="B17" s="23">
        <f>B16</f>
        <v/>
      </c>
      <c r="C17" t="n">
        <v>25.1709</v>
      </c>
    </row>
    <row r="18">
      <c r="A18" s="9" t="n">
        <v>46085</v>
      </c>
      <c r="B18" s="23">
        <f>B17</f>
        <v/>
      </c>
      <c r="C18" t="n">
        <v>25.1543</v>
      </c>
    </row>
    <row r="19">
      <c r="A19" s="9" t="n">
        <v>46086</v>
      </c>
      <c r="B19" s="23">
        <f>B18</f>
        <v/>
      </c>
      <c r="C19" t="n">
        <v>25.2811</v>
      </c>
    </row>
    <row r="20">
      <c r="A20" s="9" t="n">
        <v>46087</v>
      </c>
      <c r="B20" s="23">
        <f>B19</f>
        <v/>
      </c>
      <c r="C20" t="n">
        <v>25.4685</v>
      </c>
    </row>
    <row r="21">
      <c r="A21" s="9" t="n">
        <v>46090</v>
      </c>
      <c r="B21" s="23">
        <f>B20</f>
        <v/>
      </c>
      <c r="C21" t="n">
        <v>25.5181</v>
      </c>
    </row>
    <row r="22">
      <c r="A22" s="9" t="n">
        <v>46091</v>
      </c>
      <c r="B22" s="23">
        <f>B21</f>
        <v/>
      </c>
      <c r="C22" t="n">
        <v>25.6338</v>
      </c>
    </row>
    <row r="23">
      <c r="A23" s="9" t="n">
        <v>46092</v>
      </c>
      <c r="B23" s="23">
        <f>B22</f>
        <v/>
      </c>
      <c r="C23" t="n">
        <v>25.8377</v>
      </c>
    </row>
    <row r="24">
      <c r="A24" s="9" t="n">
        <v>46093</v>
      </c>
      <c r="B24" s="23">
        <f>B23</f>
        <v/>
      </c>
      <c r="C24" t="n">
        <v>25.9314</v>
      </c>
    </row>
    <row r="25">
      <c r="A25" s="9" t="n">
        <v>46094</v>
      </c>
      <c r="B25" s="23">
        <f>B24</f>
        <v/>
      </c>
      <c r="C25" t="n">
        <v>25.7992</v>
      </c>
    </row>
    <row r="26">
      <c r="A26" s="9" t="n">
        <v>46097</v>
      </c>
      <c r="B26" s="23">
        <f>B25</f>
        <v/>
      </c>
      <c r="C26" t="n">
        <v>24.9504</v>
      </c>
    </row>
    <row r="27">
      <c r="A27" s="9" t="n">
        <v>46098</v>
      </c>
      <c r="B27" s="23">
        <f>B26</f>
        <v/>
      </c>
      <c r="C27" t="n">
        <v>25.1819</v>
      </c>
    </row>
    <row r="28">
      <c r="A28" s="9" t="n">
        <v>46099</v>
      </c>
      <c r="B28" s="23">
        <f>B27</f>
        <v/>
      </c>
      <c r="C28" t="n">
        <v>25.4023</v>
      </c>
    </row>
    <row r="29">
      <c r="A29" s="9" t="n">
        <v>46100</v>
      </c>
      <c r="B29" s="23">
        <f>B28</f>
        <v/>
      </c>
      <c r="C29" t="n">
        <v>25.5015</v>
      </c>
    </row>
    <row r="30">
      <c r="A30" s="9" t="n">
        <v>46101</v>
      </c>
      <c r="B30" s="23">
        <f>B29</f>
        <v/>
      </c>
      <c r="C30" t="n">
        <v>25.3858</v>
      </c>
    </row>
    <row r="31">
      <c r="A31" s="9" t="n">
        <v>46104</v>
      </c>
      <c r="B31" s="23">
        <f>B30</f>
        <v/>
      </c>
      <c r="C31" t="n">
        <v>25.5181</v>
      </c>
    </row>
    <row r="32">
      <c r="A32" s="9" t="n">
        <v>46105</v>
      </c>
      <c r="B32" s="23">
        <f>B31</f>
        <v/>
      </c>
      <c r="C32" t="n">
        <v>25.4575</v>
      </c>
    </row>
    <row r="33">
      <c r="A33" s="9" t="n">
        <v>46106</v>
      </c>
      <c r="B33" s="23">
        <f>B32</f>
        <v/>
      </c>
      <c r="C33" t="n">
        <v>25.6007</v>
      </c>
    </row>
    <row r="34">
      <c r="A34" s="9" t="n">
        <v>46107</v>
      </c>
      <c r="B34" s="23">
        <f>B33</f>
        <v/>
      </c>
      <c r="C34" t="n">
        <v>25.6504</v>
      </c>
    </row>
    <row r="35">
      <c r="A35" s="9" t="n">
        <v>46108</v>
      </c>
      <c r="B35" s="23">
        <f>B34</f>
        <v/>
      </c>
      <c r="C35" t="n">
        <v>25.463</v>
      </c>
    </row>
    <row r="36">
      <c r="A36" s="9" t="n">
        <v>46111</v>
      </c>
      <c r="B36" s="23">
        <f>B35</f>
        <v/>
      </c>
      <c r="C36" t="n">
        <v>25.4575</v>
      </c>
    </row>
    <row r="37">
      <c r="A37" s="9" t="n">
        <v>46112</v>
      </c>
      <c r="B37" s="23">
        <f>B36</f>
        <v/>
      </c>
      <c r="C37" t="n">
        <v>25.7385</v>
      </c>
    </row>
    <row r="38">
      <c r="A38" s="9" t="n">
        <v>46113</v>
      </c>
      <c r="B38" s="23">
        <f>B47</f>
        <v/>
      </c>
      <c r="C38" t="n">
        <v>25.6889</v>
      </c>
    </row>
    <row r="39">
      <c r="A39" s="9" t="n">
        <v>46114</v>
      </c>
      <c r="B39" s="23">
        <f>B48</f>
        <v/>
      </c>
      <c r="C39" t="n">
        <v>25.6559</v>
      </c>
    </row>
    <row r="40">
      <c r="A40" s="9" t="n">
        <v>46118</v>
      </c>
      <c r="B40" s="23">
        <f>B49</f>
        <v/>
      </c>
      <c r="C40" t="n">
        <v>25.7275</v>
      </c>
    </row>
    <row r="41">
      <c r="A41" s="9" t="n">
        <v>46119</v>
      </c>
      <c r="B41" s="23">
        <f>B50</f>
        <v/>
      </c>
      <c r="C41" t="n">
        <v>25.5897</v>
      </c>
    </row>
    <row r="42">
      <c r="A42" s="9" t="n">
        <v>46120</v>
      </c>
      <c r="B42" s="23">
        <f>B51</f>
        <v/>
      </c>
      <c r="C42" t="n">
        <v>25.6173</v>
      </c>
    </row>
    <row r="43">
      <c r="A43" s="9" t="n">
        <v>46121</v>
      </c>
      <c r="B43" s="23">
        <f>B52</f>
        <v/>
      </c>
      <c r="C43" t="n">
        <v>25.6448</v>
      </c>
    </row>
    <row r="44">
      <c r="A44" s="9" t="n">
        <v>46122</v>
      </c>
      <c r="B44" s="23">
        <f>B53</f>
        <v/>
      </c>
      <c r="C44" t="n">
        <v>25.7551</v>
      </c>
    </row>
    <row r="45">
      <c r="A45" s="9" t="n">
        <v>46125</v>
      </c>
      <c r="B45" s="23">
        <f>B54</f>
        <v/>
      </c>
      <c r="C45" t="n">
        <v>25.5897</v>
      </c>
    </row>
    <row r="46">
      <c r="A46" s="9" t="n">
        <v>46126</v>
      </c>
      <c r="B46" s="23">
        <f>B55</f>
        <v/>
      </c>
      <c r="C46" t="n">
        <v>25.4685</v>
      </c>
    </row>
    <row r="47">
      <c r="A47" s="9" t="n">
        <v>46127</v>
      </c>
      <c r="B47" s="23">
        <f>B56</f>
        <v/>
      </c>
      <c r="C47" t="n">
        <v>25.711</v>
      </c>
    </row>
    <row r="48">
      <c r="A48" s="9" t="n">
        <v>46128</v>
      </c>
      <c r="B48" s="23">
        <f>B57</f>
        <v/>
      </c>
      <c r="C48" t="n">
        <v>25.7551</v>
      </c>
    </row>
    <row r="49">
      <c r="A49" s="9" t="n">
        <v>46129</v>
      </c>
      <c r="B49" s="23">
        <f>B48</f>
        <v/>
      </c>
      <c r="C49" t="n">
        <v>25.7881</v>
      </c>
    </row>
    <row r="50">
      <c r="A50" s="9" t="n">
        <v>46132</v>
      </c>
      <c r="B50" s="23">
        <f>B49</f>
        <v/>
      </c>
      <c r="C50" t="n">
        <v>25.8157</v>
      </c>
    </row>
    <row r="51">
      <c r="A51" s="9" t="n">
        <v>46134</v>
      </c>
      <c r="B51" s="23">
        <f>B50</f>
        <v/>
      </c>
      <c r="C51" t="n">
        <v>25.7551</v>
      </c>
    </row>
    <row r="52">
      <c r="A52" s="9" t="n">
        <v>46135</v>
      </c>
      <c r="B52" s="23">
        <f>B51</f>
        <v/>
      </c>
      <c r="C52" t="n">
        <v>25.7275</v>
      </c>
    </row>
    <row r="53">
      <c r="A53" s="9" t="n">
        <v>46136</v>
      </c>
      <c r="B53" s="23">
        <f>B52</f>
        <v/>
      </c>
      <c r="C53" t="n">
        <v>25.7496</v>
      </c>
    </row>
    <row r="54">
      <c r="A54" s="9" t="n">
        <v>46139</v>
      </c>
      <c r="B54" s="23">
        <f>B53</f>
        <v/>
      </c>
      <c r="C54" t="n">
        <v>25.959</v>
      </c>
    </row>
    <row r="55">
      <c r="A55" s="9" t="n">
        <v>46140</v>
      </c>
      <c r="B55" s="23">
        <f>B54</f>
        <v/>
      </c>
      <c r="C55" t="n">
        <v>25.9866</v>
      </c>
    </row>
    <row r="56">
      <c r="A56" s="9" t="n">
        <v>46141</v>
      </c>
      <c r="B56" s="23">
        <f>B55</f>
        <v/>
      </c>
      <c r="C56" t="n">
        <v>26.0802</v>
      </c>
    </row>
    <row r="57">
      <c r="A57" s="9" t="n">
        <v>46142</v>
      </c>
      <c r="B57" s="23">
        <f>B56</f>
        <v/>
      </c>
      <c r="C57" t="n">
        <v>26.1188</v>
      </c>
    </row>
    <row r="58">
      <c r="A58" s="9" t="n">
        <v>46146</v>
      </c>
      <c r="B58" s="23">
        <f>B57</f>
        <v/>
      </c>
      <c r="C58" t="n">
        <v>26.6369</v>
      </c>
    </row>
    <row r="59">
      <c r="A59" s="9" t="n">
        <v>46147</v>
      </c>
      <c r="B59" s="23">
        <f>B58</f>
        <v/>
      </c>
      <c r="C59" t="n">
        <v>26.4881</v>
      </c>
    </row>
    <row r="60">
      <c r="A60" s="9" t="n">
        <v>46148</v>
      </c>
      <c r="B60" s="23">
        <f>B59</f>
        <v/>
      </c>
      <c r="C60" t="n">
        <v>26.1795</v>
      </c>
    </row>
    <row r="61">
      <c r="A61" s="9" t="n">
        <v>46149</v>
      </c>
      <c r="B61" s="23">
        <f>B60</f>
        <v/>
      </c>
      <c r="C61" t="n">
        <v>26.1354</v>
      </c>
    </row>
    <row r="62">
      <c r="A62" s="9" t="n">
        <v>46150</v>
      </c>
      <c r="B62" s="23">
        <f>B61</f>
        <v/>
      </c>
      <c r="C62" t="n">
        <v>26.4881</v>
      </c>
    </row>
    <row r="63">
      <c r="A63" s="9" t="n">
        <v>46153</v>
      </c>
      <c r="B63" s="23">
        <f>B62</f>
        <v/>
      </c>
      <c r="C63" t="n">
        <v>26.5928</v>
      </c>
    </row>
    <row r="64">
      <c r="A64" s="9" t="n">
        <v>46154</v>
      </c>
      <c r="B64" s="23">
        <f>B63</f>
        <v/>
      </c>
      <c r="C64" t="n">
        <v>26.8133</v>
      </c>
    </row>
    <row r="65">
      <c r="A65" s="9" t="n">
        <v>46155</v>
      </c>
      <c r="B65" s="23">
        <f>B64</f>
        <v/>
      </c>
      <c r="C65" t="n">
        <v>26.8794</v>
      </c>
    </row>
    <row r="66">
      <c r="A66" s="9" t="n">
        <v>46156</v>
      </c>
      <c r="B66" s="23">
        <f>B65</f>
        <v/>
      </c>
      <c r="C66" t="n">
        <v>26.3558</v>
      </c>
    </row>
    <row r="67">
      <c r="A67" s="9" t="n">
        <v>46157</v>
      </c>
      <c r="B67" s="23">
        <f>B66</f>
        <v/>
      </c>
      <c r="C67" t="n">
        <v>26.0858</v>
      </c>
    </row>
    <row r="68">
      <c r="A68" s="9" t="n">
        <v>46160</v>
      </c>
      <c r="B68" s="23">
        <f>B67</f>
        <v/>
      </c>
      <c r="C68" t="n">
        <v>26.7251</v>
      </c>
    </row>
    <row r="69">
      <c r="A69" s="9" t="n">
        <v>46161</v>
      </c>
      <c r="B69" s="23">
        <f>B68</f>
        <v/>
      </c>
      <c r="C69" t="n">
        <v>26.7582</v>
      </c>
    </row>
    <row r="70">
      <c r="A70" s="9" t="n">
        <v>46162</v>
      </c>
      <c r="B70" s="23">
        <f>B69</f>
        <v/>
      </c>
      <c r="C70" t="n">
        <v>26.5653</v>
      </c>
    </row>
    <row r="71">
      <c r="A71" s="9" t="n">
        <v>46163</v>
      </c>
      <c r="B71" s="23">
        <f>B70</f>
        <v/>
      </c>
      <c r="C71" t="n">
        <v>26.4275</v>
      </c>
    </row>
    <row r="72">
      <c r="A72" s="9" t="n">
        <v>46164</v>
      </c>
      <c r="B72" s="23">
        <f>B71</f>
        <v/>
      </c>
      <c r="C72" t="n">
        <v>26.4495</v>
      </c>
    </row>
    <row r="73">
      <c r="A73" s="9" t="n">
        <v>46167</v>
      </c>
      <c r="B73" s="23">
        <f>B72</f>
        <v/>
      </c>
      <c r="C73" t="n">
        <v>26.4495</v>
      </c>
    </row>
    <row r="74">
      <c r="A74" s="9" t="n">
        <v>46168</v>
      </c>
      <c r="B74" s="23">
        <f>B73</f>
        <v/>
      </c>
      <c r="C74" t="n">
        <v>26.3117</v>
      </c>
    </row>
    <row r="75">
      <c r="A75" s="9" t="n">
        <v>46169</v>
      </c>
      <c r="B75" s="23">
        <f>B74</f>
        <v/>
      </c>
      <c r="C75" t="n">
        <v>26.3283</v>
      </c>
    </row>
    <row r="76">
      <c r="A76" s="9" t="n">
        <v>46170</v>
      </c>
      <c r="B76" s="23">
        <f>B75</f>
        <v/>
      </c>
      <c r="C76" t="n">
        <v>26.6093</v>
      </c>
    </row>
    <row r="77">
      <c r="A77" s="9" t="n">
        <v>46171</v>
      </c>
      <c r="B77" s="23">
        <f>B76</f>
        <v/>
      </c>
      <c r="C77" t="n">
        <v>26.5322</v>
      </c>
    </row>
    <row r="78">
      <c r="A78" s="9" t="n">
        <v>46174</v>
      </c>
      <c r="B78" s="23">
        <f>B77</f>
        <v/>
      </c>
      <c r="C78" t="n">
        <v>26.5101</v>
      </c>
    </row>
    <row r="79">
      <c r="A79" s="9" t="n">
        <v>46175</v>
      </c>
      <c r="B79" s="23">
        <f>B78</f>
        <v/>
      </c>
      <c r="C79" t="n">
        <v>26.2731</v>
      </c>
    </row>
    <row r="80">
      <c r="A80" s="9" t="n">
        <v>46176</v>
      </c>
      <c r="B80" s="23">
        <f>B79</f>
        <v/>
      </c>
      <c r="C80" t="n">
        <v>26.0527</v>
      </c>
    </row>
    <row r="81">
      <c r="A81" s="9" t="n">
        <v>46178</v>
      </c>
      <c r="B81" s="23">
        <f>B80</f>
        <v/>
      </c>
      <c r="C81" t="n">
        <v>25.4023</v>
      </c>
    </row>
    <row r="82">
      <c r="A82" s="9" t="n">
        <v>46181</v>
      </c>
      <c r="B82" s="23">
        <f>B81</f>
        <v/>
      </c>
      <c r="C82" t="n">
        <v>25.3527</v>
      </c>
    </row>
    <row r="83">
      <c r="A83" s="9" t="n">
        <v>46182</v>
      </c>
      <c r="B83" s="23">
        <f>B82</f>
        <v/>
      </c>
      <c r="C83" t="n">
        <v>25.2701</v>
      </c>
    </row>
    <row r="84">
      <c r="A84" s="9" t="n">
        <v>46183</v>
      </c>
      <c r="B84" s="23">
        <f>B83</f>
        <v/>
      </c>
      <c r="C84" t="n">
        <v>25.4023</v>
      </c>
    </row>
    <row r="85">
      <c r="A85" s="9" t="n">
        <v>46184</v>
      </c>
      <c r="B85" s="23">
        <f>B84</f>
        <v/>
      </c>
      <c r="C85" t="n">
        <v>25.3086</v>
      </c>
    </row>
    <row r="86">
      <c r="A86" s="9" t="n">
        <v>46185</v>
      </c>
      <c r="B86" s="23">
        <f>B85</f>
        <v/>
      </c>
      <c r="C86" t="n">
        <v>25.2866</v>
      </c>
    </row>
    <row r="87">
      <c r="A87" s="9" t="n">
        <v>46188</v>
      </c>
      <c r="B87" s="23">
        <f>B86</f>
        <v/>
      </c>
      <c r="C87" t="n">
        <v>25.3417</v>
      </c>
    </row>
    <row r="88">
      <c r="A88" s="9" t="n">
        <v>46189</v>
      </c>
      <c r="B88" s="23">
        <f>B87</f>
        <v/>
      </c>
      <c r="C88" t="n">
        <v>25.5787</v>
      </c>
    </row>
    <row r="89">
      <c r="A89" s="9" t="n">
        <v>46190</v>
      </c>
      <c r="B89" s="23">
        <f>B88</f>
        <v/>
      </c>
      <c r="C89" t="n">
        <v>25.6393</v>
      </c>
    </row>
    <row r="90">
      <c r="A90" s="9" t="n">
        <v>46191</v>
      </c>
      <c r="B90" s="23">
        <f>B89</f>
        <v/>
      </c>
      <c r="C90" t="n">
        <v>25.496</v>
      </c>
    </row>
    <row r="91">
      <c r="A91" s="9" t="n">
        <v>46192</v>
      </c>
      <c r="B91" s="23">
        <f>B90</f>
        <v/>
      </c>
      <c r="C91" t="n">
        <v>25.496</v>
      </c>
    </row>
    <row r="92">
      <c r="A92" s="9" t="n">
        <v>46195</v>
      </c>
      <c r="B92" s="23">
        <f>B91</f>
        <v/>
      </c>
      <c r="C92" t="n">
        <v>25.4795</v>
      </c>
    </row>
    <row r="93">
      <c r="A93" s="9" t="n">
        <v>46196</v>
      </c>
      <c r="B93" s="23">
        <f>B92</f>
        <v/>
      </c>
      <c r="C93" t="n">
        <v>25.485</v>
      </c>
    </row>
    <row r="94">
      <c r="A94" s="9" t="n">
        <v>46197</v>
      </c>
      <c r="B94" s="23">
        <f>B93</f>
        <v/>
      </c>
      <c r="C94" t="n">
        <v>25.3307</v>
      </c>
    </row>
    <row r="95">
      <c r="A95" s="9" t="n">
        <v>46198</v>
      </c>
      <c r="B95" s="23">
        <f>B94</f>
        <v/>
      </c>
      <c r="C95" t="n">
        <v>25.8157</v>
      </c>
    </row>
    <row r="96">
      <c r="A96" s="9" t="n">
        <v>46199</v>
      </c>
      <c r="B96" s="23">
        <f>B95</f>
        <v/>
      </c>
      <c r="C96" t="n">
        <v>25.8047</v>
      </c>
    </row>
    <row r="97">
      <c r="A97" s="9" t="n"/>
      <c r="B97" s="23">
        <f>B106</f>
        <v/>
      </c>
    </row>
    <row r="98">
      <c r="A98" s="9" t="n"/>
      <c r="B98" s="23">
        <f>B107</f>
        <v/>
      </c>
    </row>
    <row r="99">
      <c r="A99" s="9" t="n"/>
      <c r="B99" s="23">
        <f>B108</f>
        <v/>
      </c>
    </row>
    <row r="100">
      <c r="A100" s="9" t="n"/>
      <c r="B100" s="23">
        <f>B109</f>
        <v/>
      </c>
    </row>
    <row r="101">
      <c r="A101" s="9" t="n"/>
      <c r="B101" s="23">
        <f>B110</f>
        <v/>
      </c>
    </row>
    <row r="102">
      <c r="A102" s="9" t="n"/>
      <c r="B102" s="23">
        <f>B111</f>
        <v/>
      </c>
    </row>
    <row r="103">
      <c r="A103" s="9" t="n"/>
      <c r="B103" s="23">
        <f>B112</f>
        <v/>
      </c>
    </row>
    <row r="104">
      <c r="A104" s="9" t="n"/>
      <c r="B104" s="23">
        <f>B113</f>
        <v/>
      </c>
    </row>
    <row r="105">
      <c r="A105" s="9" t="n"/>
      <c r="B105" s="23">
        <f>B114</f>
        <v/>
      </c>
    </row>
    <row r="106">
      <c r="A106" s="9" t="n"/>
      <c r="B106" s="23">
        <f>B115</f>
        <v/>
      </c>
    </row>
    <row r="107">
      <c r="A107" s="9" t="n"/>
      <c r="B107" s="23">
        <f>B116</f>
        <v/>
      </c>
    </row>
    <row r="108">
      <c r="A108" s="9" t="n"/>
      <c r="B108" s="23">
        <f>B117</f>
        <v/>
      </c>
    </row>
    <row r="109">
      <c r="A109" s="9" t="n"/>
      <c r="B109" s="23">
        <f>B118</f>
        <v/>
      </c>
    </row>
    <row r="110">
      <c r="A110" s="9" t="n"/>
      <c r="B110" s="23">
        <f>B119</f>
        <v/>
      </c>
    </row>
    <row r="111">
      <c r="A111" s="9" t="n"/>
      <c r="B111" s="23">
        <f>B120</f>
        <v/>
      </c>
    </row>
    <row r="112">
      <c r="A112" s="9" t="n"/>
      <c r="B112" s="23">
        <f>B121</f>
        <v/>
      </c>
    </row>
    <row r="113">
      <c r="A113" s="9" t="n"/>
      <c r="B113" s="23">
        <f>B122</f>
        <v/>
      </c>
    </row>
    <row r="114">
      <c r="A114" s="9" t="n"/>
      <c r="B114" s="23">
        <f>B123</f>
        <v/>
      </c>
    </row>
    <row r="115">
      <c r="A115" s="9" t="n"/>
      <c r="B115" s="23">
        <f>B124</f>
        <v/>
      </c>
    </row>
    <row r="116">
      <c r="A116" s="9" t="n"/>
      <c r="B116" s="23">
        <f>B125</f>
        <v/>
      </c>
    </row>
    <row r="117">
      <c r="A117" s="9" t="n"/>
      <c r="B117" s="23">
        <f>B126</f>
        <v/>
      </c>
    </row>
    <row r="118">
      <c r="A118" s="9" t="n"/>
      <c r="B118" s="23">
        <f>B127</f>
        <v/>
      </c>
    </row>
    <row r="119">
      <c r="A119" s="9" t="n"/>
      <c r="B119" s="23">
        <f>B128</f>
        <v/>
      </c>
    </row>
    <row r="120">
      <c r="A120" s="9" t="n"/>
      <c r="B120" s="23">
        <f>B129</f>
        <v/>
      </c>
    </row>
    <row r="121">
      <c r="A121" s="9" t="n"/>
      <c r="B121" s="23">
        <f>B130</f>
        <v/>
      </c>
    </row>
    <row r="122">
      <c r="A122" s="9" t="n"/>
      <c r="B122" s="23">
        <f>B131</f>
        <v/>
      </c>
    </row>
    <row r="123">
      <c r="A123" s="9" t="n"/>
      <c r="B123" s="23">
        <f>B132</f>
        <v/>
      </c>
    </row>
    <row r="124">
      <c r="A124" s="9" t="n"/>
      <c r="B124" s="23">
        <f>B133</f>
        <v/>
      </c>
    </row>
    <row r="125">
      <c r="A125" s="9" t="n"/>
      <c r="B125" s="23">
        <f>B134</f>
        <v/>
      </c>
    </row>
    <row r="126">
      <c r="A126" s="9" t="n"/>
      <c r="B126" s="23">
        <f>B135</f>
        <v/>
      </c>
    </row>
    <row r="127">
      <c r="A127" s="9" t="n"/>
      <c r="B127" s="23">
        <f>B136</f>
        <v/>
      </c>
    </row>
    <row r="128">
      <c r="A128" s="9" t="n"/>
      <c r="B128" s="23">
        <f>B137</f>
        <v/>
      </c>
    </row>
    <row r="129">
      <c r="A129" s="9" t="n"/>
      <c r="B129" s="23">
        <f>B138</f>
        <v/>
      </c>
    </row>
    <row r="130">
      <c r="A130" s="9" t="n"/>
      <c r="B130" s="23">
        <f>B139</f>
        <v/>
      </c>
    </row>
    <row r="131">
      <c r="A131" s="9" t="n"/>
      <c r="B131" s="23">
        <f>B140</f>
        <v/>
      </c>
    </row>
    <row r="132">
      <c r="A132" s="9" t="n"/>
      <c r="B132" s="23">
        <f>B141</f>
        <v/>
      </c>
    </row>
    <row r="133">
      <c r="A133" s="9" t="n"/>
      <c r="B133" s="23">
        <f>B142</f>
        <v/>
      </c>
    </row>
    <row r="134">
      <c r="A134" s="9" t="n"/>
      <c r="B134" s="23">
        <f>B143</f>
        <v/>
      </c>
    </row>
    <row r="135">
      <c r="A135" s="9" t="n"/>
      <c r="B135" s="23">
        <f>B144</f>
        <v/>
      </c>
    </row>
    <row r="136">
      <c r="A136" s="9" t="n"/>
      <c r="B136" s="23">
        <f>B145</f>
        <v/>
      </c>
    </row>
    <row r="137">
      <c r="A137" s="9" t="n"/>
      <c r="B137" s="23">
        <f>B146</f>
        <v/>
      </c>
    </row>
    <row r="138">
      <c r="A138" s="9" t="n"/>
      <c r="B138" s="23">
        <f>B147</f>
        <v/>
      </c>
    </row>
    <row r="139">
      <c r="A139" s="9" t="n"/>
      <c r="B139" s="23">
        <f>B148</f>
        <v/>
      </c>
    </row>
    <row r="140">
      <c r="A140" s="9" t="n"/>
      <c r="B140" s="23">
        <f>B149</f>
        <v/>
      </c>
    </row>
    <row r="141">
      <c r="A141" s="9" t="n"/>
      <c r="B141" s="23">
        <f>B150</f>
        <v/>
      </c>
    </row>
    <row r="142">
      <c r="A142" s="9" t="n"/>
      <c r="B142" s="23">
        <f>B151</f>
        <v/>
      </c>
    </row>
    <row r="143">
      <c r="A143" s="9" t="n"/>
      <c r="B143" s="23">
        <f>B152</f>
        <v/>
      </c>
    </row>
    <row r="144">
      <c r="A144" s="9" t="n"/>
      <c r="B144" s="23">
        <f>B153</f>
        <v/>
      </c>
    </row>
    <row r="145">
      <c r="A145" s="9" t="n"/>
      <c r="B145" s="23">
        <f>B154</f>
        <v/>
      </c>
    </row>
    <row r="146">
      <c r="B146" s="23">
        <f>B155</f>
        <v/>
      </c>
    </row>
    <row r="147">
      <c r="B147" s="23">
        <f>B156</f>
        <v/>
      </c>
    </row>
    <row r="148">
      <c r="B148" s="23">
        <f>B157</f>
        <v/>
      </c>
    </row>
    <row r="149">
      <c r="B149" s="23">
        <f>B158</f>
        <v/>
      </c>
    </row>
    <row r="150">
      <c r="B150" s="23">
        <f>B159</f>
        <v/>
      </c>
    </row>
    <row r="151">
      <c r="B151" s="23">
        <f>B160</f>
        <v/>
      </c>
    </row>
    <row r="152">
      <c r="B152" s="23">
        <f>B161</f>
        <v/>
      </c>
    </row>
    <row r="153">
      <c r="B153" s="23">
        <f>B162</f>
        <v/>
      </c>
    </row>
    <row r="154">
      <c r="B154" s="23">
        <f>B163</f>
        <v/>
      </c>
    </row>
    <row r="155">
      <c r="B155" s="23">
        <f>B164</f>
        <v/>
      </c>
    </row>
    <row r="156">
      <c r="B156" s="23">
        <f>B165</f>
        <v/>
      </c>
    </row>
    <row r="157">
      <c r="B157" s="23">
        <f>B166</f>
        <v/>
      </c>
    </row>
    <row r="158">
      <c r="B158" s="23">
        <f>B167</f>
        <v/>
      </c>
    </row>
    <row r="159">
      <c r="B159" s="23">
        <f>B168</f>
        <v/>
      </c>
    </row>
    <row r="160">
      <c r="B160" s="23">
        <f>B169</f>
        <v/>
      </c>
    </row>
    <row r="161">
      <c r="B161" s="23">
        <f>B170</f>
        <v/>
      </c>
    </row>
    <row r="162">
      <c r="B162" s="23">
        <f>B171</f>
        <v/>
      </c>
    </row>
    <row r="163">
      <c r="B163" s="23">
        <f>B172</f>
        <v/>
      </c>
    </row>
    <row r="164">
      <c r="B164" s="23">
        <f>B173</f>
        <v/>
      </c>
    </row>
    <row r="165">
      <c r="B165" s="23">
        <f>B174</f>
        <v/>
      </c>
    </row>
    <row r="166">
      <c r="B166" s="23">
        <f>B175</f>
        <v/>
      </c>
    </row>
    <row r="167">
      <c r="B167" s="23">
        <f>B176</f>
        <v/>
      </c>
    </row>
    <row r="168">
      <c r="B168" s="23">
        <f>B177</f>
        <v/>
      </c>
    </row>
    <row r="169">
      <c r="B169" s="23">
        <f>B178</f>
        <v/>
      </c>
    </row>
    <row r="170">
      <c r="B170" s="23">
        <f>B179</f>
        <v/>
      </c>
    </row>
    <row r="171">
      <c r="B171" s="23">
        <f>B180</f>
        <v/>
      </c>
    </row>
    <row r="172">
      <c r="B172" s="23">
        <f>B181</f>
        <v/>
      </c>
    </row>
    <row r="173">
      <c r="B173" s="23">
        <f>B182</f>
        <v/>
      </c>
    </row>
    <row r="174">
      <c r="B174" s="23">
        <f>B183</f>
        <v/>
      </c>
    </row>
    <row r="175">
      <c r="B175" s="23">
        <f>B184</f>
        <v/>
      </c>
    </row>
    <row r="176">
      <c r="B176" s="23">
        <f>B185</f>
        <v/>
      </c>
    </row>
    <row r="177">
      <c r="B177" s="23">
        <f>B186</f>
        <v/>
      </c>
    </row>
    <row r="178">
      <c r="B178" s="23">
        <f>B187</f>
        <v/>
      </c>
    </row>
    <row r="179">
      <c r="B179" s="23">
        <f>B188</f>
        <v/>
      </c>
    </row>
    <row r="180">
      <c r="B180" s="23">
        <f>B189</f>
        <v/>
      </c>
    </row>
    <row r="181">
      <c r="B181" s="23">
        <f>B190</f>
        <v/>
      </c>
    </row>
    <row r="182">
      <c r="B182" s="23">
        <f>B191</f>
        <v/>
      </c>
    </row>
    <row r="183">
      <c r="B183" s="23">
        <f>B192</f>
        <v/>
      </c>
    </row>
    <row r="184">
      <c r="B184" s="23">
        <f>B193</f>
        <v/>
      </c>
    </row>
    <row r="185">
      <c r="B185" s="23">
        <f>B194</f>
        <v/>
      </c>
    </row>
    <row r="186">
      <c r="B186" s="23">
        <f>B195</f>
        <v/>
      </c>
    </row>
    <row r="187">
      <c r="B187" s="23">
        <f>B196</f>
        <v/>
      </c>
    </row>
    <row r="188">
      <c r="B188" s="23">
        <f>B197</f>
        <v/>
      </c>
    </row>
    <row r="189">
      <c r="B189" s="23">
        <f>B198</f>
        <v/>
      </c>
    </row>
    <row r="190">
      <c r="B190" s="23">
        <f>B199</f>
        <v/>
      </c>
    </row>
    <row r="191">
      <c r="B191" s="23">
        <f>B200</f>
        <v/>
      </c>
    </row>
    <row r="192">
      <c r="B192" s="23">
        <f>B201</f>
        <v/>
      </c>
    </row>
    <row r="193">
      <c r="B193" s="23">
        <f>B202</f>
        <v/>
      </c>
    </row>
    <row r="194">
      <c r="B194" s="23">
        <f>B203</f>
        <v/>
      </c>
    </row>
    <row r="195">
      <c r="B195" s="23">
        <f>B204</f>
        <v/>
      </c>
    </row>
    <row r="196">
      <c r="B196" s="23">
        <f>B205</f>
        <v/>
      </c>
    </row>
    <row r="197">
      <c r="B197" s="23">
        <f>B206</f>
        <v/>
      </c>
    </row>
    <row r="198">
      <c r="B198" s="23">
        <f>B207</f>
        <v/>
      </c>
    </row>
    <row r="199">
      <c r="B199" s="23">
        <f>B208</f>
        <v/>
      </c>
    </row>
    <row r="200">
      <c r="B200" s="23">
        <f>B209</f>
        <v/>
      </c>
    </row>
    <row r="201">
      <c r="B201" s="23">
        <f>B210</f>
        <v/>
      </c>
    </row>
    <row r="202">
      <c r="B202" s="23">
        <f>B211</f>
        <v/>
      </c>
    </row>
    <row r="203">
      <c r="B203" s="23">
        <f>B212</f>
        <v/>
      </c>
    </row>
    <row r="204">
      <c r="B204" s="23">
        <f>B213</f>
        <v/>
      </c>
    </row>
    <row r="205">
      <c r="B205" s="23">
        <f>B214</f>
        <v/>
      </c>
    </row>
    <row r="206">
      <c r="B206" s="23">
        <f>B215</f>
        <v/>
      </c>
    </row>
    <row r="207">
      <c r="B207" s="23">
        <f>B216</f>
        <v/>
      </c>
    </row>
    <row r="208">
      <c r="B208" s="23">
        <f>B217</f>
        <v/>
      </c>
    </row>
    <row r="209">
      <c r="B209" s="23">
        <f>B218</f>
        <v/>
      </c>
    </row>
    <row r="210">
      <c r="B210" s="23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/>
      <c r="B97" s="1">
        <f>B106</f>
        <v/>
      </c>
    </row>
    <row r="98">
      <c r="A98" s="9" t="n"/>
      <c r="B98" s="1">
        <f>B107</f>
        <v/>
      </c>
    </row>
    <row r="99">
      <c r="A99" s="9" t="n"/>
      <c r="B99" s="1">
        <f>B108</f>
        <v/>
      </c>
    </row>
    <row r="100">
      <c r="A100" s="9" t="n"/>
      <c r="B100" s="1">
        <f>B109</f>
        <v/>
      </c>
    </row>
    <row r="101">
      <c r="A101" s="9" t="n"/>
      <c r="B101" s="1">
        <f>B110</f>
        <v/>
      </c>
    </row>
    <row r="102">
      <c r="A102" s="9" t="n"/>
      <c r="B102" s="1">
        <f>B111</f>
        <v/>
      </c>
    </row>
    <row r="103">
      <c r="A103" s="9" t="n"/>
      <c r="B103" s="1">
        <f>B112</f>
        <v/>
      </c>
    </row>
    <row r="104">
      <c r="A104" s="9" t="n"/>
      <c r="B104" s="1">
        <f>B113</f>
        <v/>
      </c>
    </row>
    <row r="105">
      <c r="A105" s="9" t="n"/>
      <c r="B105" s="1">
        <f>B114</f>
        <v/>
      </c>
    </row>
    <row r="106">
      <c r="A106" s="9" t="n"/>
      <c r="B106" s="1">
        <f>B115</f>
        <v/>
      </c>
    </row>
    <row r="107">
      <c r="A107" s="9" t="n"/>
      <c r="B107" s="1">
        <f>B116</f>
        <v/>
      </c>
    </row>
    <row r="108">
      <c r="A108" s="9" t="n"/>
      <c r="B108" s="1">
        <f>B117</f>
        <v/>
      </c>
    </row>
    <row r="109">
      <c r="A109" s="9" t="n"/>
      <c r="B109" s="1">
        <f>B118</f>
        <v/>
      </c>
    </row>
    <row r="110">
      <c r="A110" s="9" t="n"/>
      <c r="B110" s="1">
        <f>B119</f>
        <v/>
      </c>
    </row>
    <row r="111">
      <c r="A111" s="9" t="n"/>
      <c r="B111" s="1">
        <f>B120</f>
        <v/>
      </c>
    </row>
    <row r="112">
      <c r="A112" s="9" t="n"/>
      <c r="B112" s="1">
        <f>B121</f>
        <v/>
      </c>
    </row>
    <row r="113">
      <c r="A113" s="9" t="n"/>
      <c r="B113" s="1">
        <f>B122</f>
        <v/>
      </c>
    </row>
    <row r="114">
      <c r="A114" s="9" t="n"/>
      <c r="B114" s="1">
        <f>B123</f>
        <v/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>
        <f>IF('S.H BOI GORDO'!A7206=""," ",'S.H BOI GORDO'!A7206)</f>
        <v/>
      </c>
      <c r="B97" s="1">
        <f>B106</f>
        <v/>
      </c>
    </row>
    <row r="98">
      <c r="A98" s="9">
        <f>IF('S.H BOI GORDO'!A7207=""," ",'S.H BOI GORDO'!A7207)</f>
        <v/>
      </c>
      <c r="B98" s="1">
        <f>B107</f>
        <v/>
      </c>
    </row>
    <row r="99">
      <c r="A99" s="9">
        <f>IF('S.H BOI GORDO'!A7208=""," ",'S.H BOI GORDO'!A7208)</f>
        <v/>
      </c>
      <c r="B99" s="1">
        <f>B108</f>
        <v/>
      </c>
    </row>
    <row r="100">
      <c r="A100" s="9">
        <f>IF('S.H BOI GORDO'!A7209=""," ",'S.H BOI GORDO'!A7209)</f>
        <v/>
      </c>
      <c r="B100" s="1">
        <f>B109</f>
        <v/>
      </c>
    </row>
    <row r="101">
      <c r="A101" s="9">
        <f>IF('S.H BOI GORDO'!A7210=""," ",'S.H BOI GORDO'!A7210)</f>
        <v/>
      </c>
      <c r="B101" s="1">
        <f>B110</f>
        <v/>
      </c>
    </row>
    <row r="102">
      <c r="A102" s="9">
        <f>IF('S.H BOI GORDO'!A7211=""," ",'S.H BOI GORDO'!A7211)</f>
        <v/>
      </c>
      <c r="B102" s="1">
        <f>B111</f>
        <v/>
      </c>
    </row>
    <row r="103">
      <c r="A103" s="9">
        <f>IF('S.H BOI GORDO'!A7212=""," ",'S.H BOI GORDO'!A7212)</f>
        <v/>
      </c>
      <c r="B103" s="1">
        <f>B112</f>
        <v/>
      </c>
    </row>
    <row r="104">
      <c r="A104" s="9">
        <f>IF('S.H BOI GORDO'!A7213=""," ",'S.H BOI GORDO'!A7213)</f>
        <v/>
      </c>
      <c r="B104" s="1">
        <f>B113</f>
        <v/>
      </c>
    </row>
    <row r="105">
      <c r="A105" s="9">
        <f>IF('S.H BOI GORDO'!A7214=""," ",'S.H BOI GORDO'!A7214)</f>
        <v/>
      </c>
      <c r="B105" s="1">
        <f>B114</f>
        <v/>
      </c>
    </row>
    <row r="106">
      <c r="A106" s="9">
        <f>IF('S.H BOI GORDO'!A7215=""," ",'S.H BOI GORDO'!A7215)</f>
        <v/>
      </c>
      <c r="B106" s="1">
        <f>B115</f>
        <v/>
      </c>
    </row>
    <row r="107">
      <c r="A107" s="9">
        <f>IF('S.H BOI GORDO'!A7216=""," ",'S.H BOI GORDO'!A7216)</f>
        <v/>
      </c>
      <c r="B107" s="1">
        <f>B116</f>
        <v/>
      </c>
    </row>
    <row r="108">
      <c r="A108" s="9">
        <f>IF('S.H BOI GORDO'!A7217=""," ",'S.H BOI GORDO'!A7217)</f>
        <v/>
      </c>
      <c r="B108" s="1">
        <f>B117</f>
        <v/>
      </c>
    </row>
    <row r="109">
      <c r="A109" s="9">
        <f>IF('S.H BOI GORDO'!A7218=""," ",'S.H BOI GORDO'!A7218)</f>
        <v/>
      </c>
      <c r="B109" s="1">
        <f>B118</f>
        <v/>
      </c>
    </row>
    <row r="110">
      <c r="A110" s="9">
        <f>IF('S.H BOI GORDO'!A7219=""," ",'S.H BOI GORDO'!A7219)</f>
        <v/>
      </c>
      <c r="B110" s="1">
        <f>B119</f>
        <v/>
      </c>
    </row>
    <row r="111">
      <c r="A111" s="9">
        <f>IF('S.H BOI GORDO'!A7220=""," ",'S.H BOI GORDO'!A7220)</f>
        <v/>
      </c>
      <c r="B111" s="1">
        <f>B120</f>
        <v/>
      </c>
    </row>
    <row r="112">
      <c r="A112" s="9">
        <f>IF('S.H BOI GORDO'!A7221=""," ",'S.H BOI GORDO'!A7221)</f>
        <v/>
      </c>
      <c r="B112" s="1">
        <f>B121</f>
        <v/>
      </c>
    </row>
    <row r="113">
      <c r="A113" s="9">
        <f>IF('S.H BOI GORDO'!A7222=""," ",'S.H BOI GORDO'!A7222)</f>
        <v/>
      </c>
      <c r="B113" s="1">
        <f>B122</f>
        <v/>
      </c>
    </row>
    <row r="114">
      <c r="A114" s="9">
        <f>IF('S.H BOI GORDO'!A7223=""," ",'S.H BOI GORDO'!A7223)</f>
        <v/>
      </c>
      <c r="B114" s="1">
        <f>B123</f>
        <v/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>
        <f>IF('S.H BOI GORDO'!A7168="","  ",'S.H BOI GORDO'!A7168)</f>
        <v/>
      </c>
      <c r="B40" s="1">
        <f>B39</f>
        <v/>
      </c>
    </row>
    <row r="41">
      <c r="A41" s="9">
        <f>IF('S.H BOI GORDO'!A7169="","  ",'S.H BOI GORDO'!A7169)</f>
        <v/>
      </c>
      <c r="B41" s="1">
        <f>B40</f>
        <v/>
      </c>
    </row>
    <row r="42">
      <c r="A42" s="9">
        <f>IF('S.H BOI GORDO'!A7170="","  ",'S.H BOI GORDO'!A7170)</f>
        <v/>
      </c>
      <c r="B42" s="1">
        <f>B41</f>
        <v/>
      </c>
    </row>
    <row r="43">
      <c r="A43" s="9">
        <f>IF('S.H BOI GORDO'!A7171="","  ",'S.H BOI GORDO'!A7171)</f>
        <v/>
      </c>
      <c r="B43" s="1">
        <f>B42</f>
        <v/>
      </c>
    </row>
    <row r="44">
      <c r="A44" s="9">
        <f>IF('S.H BOI GORDO'!A7172="","  ",'S.H BOI GORDO'!A7172)</f>
        <v/>
      </c>
      <c r="B44" s="1">
        <f>B43</f>
        <v/>
      </c>
    </row>
    <row r="45">
      <c r="A45" s="9">
        <f>IF('S.H BOI GORDO'!A7173="","  ",'S.H BOI GORDO'!A7173)</f>
        <v/>
      </c>
      <c r="B45" s="1">
        <f>B44</f>
        <v/>
      </c>
    </row>
    <row r="46">
      <c r="A46" s="9">
        <f>IF('S.H BOI GORDO'!A7174="","  ",'S.H BOI GORDO'!A7174)</f>
        <v/>
      </c>
      <c r="B46" s="1">
        <f>B45</f>
        <v/>
      </c>
    </row>
    <row r="47">
      <c r="A47" s="9">
        <f>IF('S.H BOI GORDO'!A7175="","  ",'S.H BOI GORDO'!A7175)</f>
        <v/>
      </c>
      <c r="B47" s="1">
        <f>B46</f>
        <v/>
      </c>
    </row>
    <row r="48">
      <c r="A48" s="9">
        <f>IF('S.H BOI GORDO'!A7176="","  ",'S.H BOI GORDO'!A7176)</f>
        <v/>
      </c>
      <c r="B48" s="1">
        <f>B47</f>
        <v/>
      </c>
    </row>
    <row r="49">
      <c r="A49" s="9">
        <f>IF('S.H BOI GORDO'!A7177="","  ",'S.H BOI GORDO'!A7177)</f>
        <v/>
      </c>
      <c r="B49" s="1">
        <f>B48</f>
        <v/>
      </c>
    </row>
    <row r="50">
      <c r="A50" s="9">
        <f>IF('S.H BOI GORDO'!A7178="","  ",'S.H BOI GORDO'!A7178)</f>
        <v/>
      </c>
      <c r="B50" s="1">
        <f>B49</f>
        <v/>
      </c>
    </row>
    <row r="51">
      <c r="A51" s="9">
        <f>IF('S.H BOI GORDO'!A7179="","  ",'S.H BOI GORDO'!A7179)</f>
        <v/>
      </c>
      <c r="B51" s="1">
        <f>B50</f>
        <v/>
      </c>
    </row>
    <row r="52">
      <c r="A52" s="9">
        <f>IF('S.H BOI GORDO'!A7180="","  ",'S.H BOI GORDO'!A7180)</f>
        <v/>
      </c>
      <c r="B52" s="1">
        <f>B51</f>
        <v/>
      </c>
    </row>
    <row r="53">
      <c r="A53" s="9">
        <f>IF('S.H BOI GORDO'!A7181="","  ",'S.H BOI GORDO'!A7181)</f>
        <v/>
      </c>
      <c r="B53" s="1">
        <f>B52</f>
        <v/>
      </c>
    </row>
    <row r="54">
      <c r="A54" s="9">
        <f>IF('S.H BOI GORDO'!A7182="","  ",'S.H BOI GORDO'!A7182)</f>
        <v/>
      </c>
      <c r="B54" s="1">
        <f>B53</f>
        <v/>
      </c>
    </row>
    <row r="55">
      <c r="A55" s="9">
        <f>IF('S.H BOI GORDO'!A7183="","  ",'S.H BOI GORDO'!A7183)</f>
        <v/>
      </c>
      <c r="B55" s="1">
        <f>B54</f>
        <v/>
      </c>
    </row>
    <row r="56">
      <c r="A56" s="2">
        <f>IF('S.H BOI GORDO'!A7184="","  ",'S.H BOI GORDO'!A7184)</f>
        <v/>
      </c>
      <c r="B56" s="1">
        <f>B55</f>
        <v/>
      </c>
    </row>
    <row r="57">
      <c r="A57" s="2">
        <f>IF('S.H BOI GORDO'!A7185="","  ",'S.H BOI GORDO'!A7185)</f>
        <v/>
      </c>
      <c r="B57" s="1">
        <f>B56</f>
        <v/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/>
      <c r="B12" s="1" t="inlineStr">
        <is>
          <t>DOLN26</t>
        </is>
      </c>
    </row>
    <row r="13">
      <c r="A13" s="9" t="n"/>
      <c r="B13" s="1" t="inlineStr">
        <is>
          <t>DOLN26</t>
        </is>
      </c>
    </row>
    <row r="14">
      <c r="A14" s="9" t="n"/>
      <c r="B14" s="1" t="inlineStr">
        <is>
          <t>DOLN26</t>
        </is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/>
      <c r="B12" s="1" t="inlineStr">
        <is>
          <t>DOLQ26</t>
        </is>
      </c>
    </row>
    <row r="13">
      <c r="A13" s="9" t="n"/>
      <c r="B13" s="1" t="inlineStr">
        <is>
          <t>DOLQ26</t>
        </is>
      </c>
    </row>
    <row r="14">
      <c r="A14" s="9" t="n"/>
      <c r="B14" s="1" t="inlineStr">
        <is>
          <t>DOLQ26</t>
        </is>
      </c>
    </row>
    <row r="15">
      <c r="A15" s="9" t="n"/>
      <c r="B15" s="1" t="inlineStr">
        <is>
          <t>DOLQ26</t>
        </is>
      </c>
    </row>
    <row r="16">
      <c r="A16" s="9" t="n"/>
      <c r="B16" s="1" t="inlineStr">
        <is>
          <t>DOLQ26</t>
        </is>
      </c>
    </row>
    <row r="17">
      <c r="A17" s="9" t="n"/>
      <c r="B17" s="1" t="inlineStr">
        <is>
          <t>DOLQ26</t>
        </is>
      </c>
    </row>
    <row r="18">
      <c r="A18" s="9" t="n"/>
      <c r="B18" s="1" t="inlineStr">
        <is>
          <t>DOLQ26</t>
        </is>
      </c>
    </row>
    <row r="19">
      <c r="A19" s="9" t="n"/>
      <c r="B19" s="1" t="inlineStr">
        <is>
          <t>DOLQ26</t>
        </is>
      </c>
    </row>
    <row r="20">
      <c r="A20" s="9" t="n"/>
      <c r="B20" s="1" t="inlineStr">
        <is>
          <t>DOLQ26</t>
        </is>
      </c>
    </row>
    <row r="21">
      <c r="A21" s="9" t="n"/>
      <c r="B21" s="1" t="inlineStr">
        <is>
          <t>DOLQ26</t>
        </is>
      </c>
    </row>
    <row r="22">
      <c r="A22" s="9" t="n"/>
      <c r="B22" s="1" t="inlineStr">
        <is>
          <t>DOLQ26</t>
        </is>
      </c>
    </row>
    <row r="23">
      <c r="A23" s="9" t="n"/>
      <c r="B23" s="1" t="inlineStr">
        <is>
          <t>DOLQ26</t>
        </is>
      </c>
    </row>
    <row r="24">
      <c r="A24" s="9" t="n"/>
      <c r="B24" s="1" t="inlineStr">
        <is>
          <t>DOLQ26</t>
        </is>
      </c>
    </row>
    <row r="25">
      <c r="A25" s="9" t="n"/>
      <c r="B25" s="1" t="inlineStr">
        <is>
          <t>DOLQ26</t>
        </is>
      </c>
    </row>
    <row r="26">
      <c r="A26" s="9" t="n"/>
      <c r="B26" s="1" t="inlineStr">
        <is>
          <t>DOLQ26</t>
        </is>
      </c>
    </row>
    <row r="27">
      <c r="A27" s="9" t="n"/>
      <c r="B27" s="1" t="inlineStr">
        <is>
          <t>DOLQ26</t>
        </is>
      </c>
    </row>
    <row r="28">
      <c r="A28" s="9" t="n"/>
      <c r="B28" s="1" t="inlineStr">
        <is>
          <t>DOLQ26</t>
        </is>
      </c>
    </row>
    <row r="29">
      <c r="A29" s="9" t="n"/>
      <c r="B29" s="1" t="inlineStr">
        <is>
          <t>DOLQ26</t>
        </is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/>
      <c r="B12" s="1" t="inlineStr">
        <is>
          <t>DOLU26</t>
        </is>
      </c>
    </row>
    <row r="13">
      <c r="A13" s="9" t="n"/>
      <c r="B13" s="1" t="inlineStr">
        <is>
          <t>DOLU26</t>
        </is>
      </c>
    </row>
    <row r="14">
      <c r="A14" s="9" t="n"/>
      <c r="B14" s="1" t="inlineStr">
        <is>
          <t>DOLU26</t>
        </is>
      </c>
    </row>
    <row r="15">
      <c r="A15" s="9" t="n"/>
      <c r="B15" s="1" t="inlineStr">
        <is>
          <t>DOLU26</t>
        </is>
      </c>
    </row>
    <row r="16">
      <c r="A16" s="9" t="n"/>
      <c r="B16" s="1" t="inlineStr">
        <is>
          <t>DOLU26</t>
        </is>
      </c>
    </row>
    <row r="17">
      <c r="A17" s="9" t="n"/>
      <c r="B17" s="1" t="inlineStr">
        <is>
          <t>DOLU26</t>
        </is>
      </c>
    </row>
    <row r="18">
      <c r="A18" s="9" t="n"/>
      <c r="B18" s="1" t="inlineStr">
        <is>
          <t>DOLU26</t>
        </is>
      </c>
    </row>
    <row r="19">
      <c r="A19" s="9" t="n"/>
      <c r="B19" s="1" t="inlineStr">
        <is>
          <t>DOLU26</t>
        </is>
      </c>
    </row>
    <row r="20">
      <c r="A20" s="9" t="n"/>
      <c r="B20" s="1" t="inlineStr">
        <is>
          <t>DOLU26</t>
        </is>
      </c>
    </row>
    <row r="21">
      <c r="A21" s="9" t="n"/>
      <c r="B21" s="1" t="inlineStr">
        <is>
          <t>DOLU26</t>
        </is>
      </c>
    </row>
    <row r="22">
      <c r="A22" s="9" t="n"/>
      <c r="B22" s="1" t="inlineStr">
        <is>
          <t>DOLU26</t>
        </is>
      </c>
    </row>
    <row r="23">
      <c r="A23" s="9" t="n"/>
      <c r="B23" s="1" t="inlineStr">
        <is>
          <t>DOLU26</t>
        </is>
      </c>
    </row>
    <row r="24">
      <c r="A24" s="9" t="n"/>
      <c r="B24" s="1" t="inlineStr">
        <is>
          <t>DOLU26</t>
        </is>
      </c>
    </row>
    <row r="25">
      <c r="A25" s="9" t="n"/>
      <c r="B25" s="1" t="inlineStr">
        <is>
          <t>DOLU26</t>
        </is>
      </c>
    </row>
    <row r="26">
      <c r="A26" s="9" t="n"/>
      <c r="B26" s="1" t="inlineStr">
        <is>
          <t>DOLU26</t>
        </is>
      </c>
    </row>
    <row r="27">
      <c r="A27" s="9" t="n"/>
      <c r="B27" s="1" t="inlineStr">
        <is>
          <t>DOLU26</t>
        </is>
      </c>
    </row>
    <row r="28">
      <c r="A28" s="9" t="n"/>
      <c r="B28" s="1" t="inlineStr">
        <is>
          <t>DOLU26</t>
        </is>
      </c>
    </row>
    <row r="29">
      <c r="A29" s="9" t="n"/>
      <c r="B29" s="1" t="inlineStr">
        <is>
          <t>DOLU26</t>
        </is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/>
      <c r="B12" s="1" t="inlineStr">
        <is>
          <t>DOLV26</t>
        </is>
      </c>
    </row>
    <row r="13">
      <c r="A13" s="9" t="n"/>
      <c r="B13" s="1" t="inlineStr">
        <is>
          <t>DOLV26</t>
        </is>
      </c>
    </row>
    <row r="14">
      <c r="A14" s="9" t="n"/>
      <c r="B14" s="1" t="inlineStr">
        <is>
          <t>DOLV26</t>
        </is>
      </c>
    </row>
    <row r="15">
      <c r="A15" s="9" t="n"/>
      <c r="B15" s="1" t="inlineStr">
        <is>
          <t>DOLV26</t>
        </is>
      </c>
    </row>
    <row r="16">
      <c r="A16" s="9" t="n"/>
      <c r="B16" s="1" t="inlineStr">
        <is>
          <t>DOLV26</t>
        </is>
      </c>
    </row>
    <row r="17">
      <c r="A17" s="9" t="n"/>
      <c r="B17" s="1" t="inlineStr">
        <is>
          <t>DOLV26</t>
        </is>
      </c>
    </row>
    <row r="18">
      <c r="A18" s="9" t="n"/>
      <c r="B18" s="1" t="inlineStr">
        <is>
          <t>DOLV26</t>
        </is>
      </c>
    </row>
    <row r="19">
      <c r="A19" s="9" t="n"/>
      <c r="B19" s="1" t="inlineStr">
        <is>
          <t>DOLV26</t>
        </is>
      </c>
    </row>
    <row r="20">
      <c r="A20" s="9" t="n"/>
      <c r="B20" s="1" t="inlineStr">
        <is>
          <t>DOLV26</t>
        </is>
      </c>
    </row>
    <row r="21">
      <c r="A21" s="9" t="n"/>
      <c r="B21" s="1" t="inlineStr">
        <is>
          <t>DOLV26</t>
        </is>
      </c>
    </row>
    <row r="22">
      <c r="A22" s="9" t="n"/>
      <c r="B22" s="1" t="inlineStr">
        <is>
          <t>DOLV26</t>
        </is>
      </c>
    </row>
    <row r="23">
      <c r="A23" s="9" t="n"/>
      <c r="B23" s="1" t="inlineStr">
        <is>
          <t>DOLV26</t>
        </is>
      </c>
    </row>
    <row r="24">
      <c r="A24" s="9" t="n"/>
      <c r="B24" s="1" t="inlineStr">
        <is>
          <t>DOLV26</t>
        </is>
      </c>
    </row>
    <row r="25">
      <c r="A25" s="9" t="n"/>
      <c r="B25" s="1" t="inlineStr">
        <is>
          <t>DOLV26</t>
        </is>
      </c>
    </row>
    <row r="26">
      <c r="A26" s="9" t="n"/>
      <c r="B26" s="1" t="inlineStr">
        <is>
          <t>DOLV26</t>
        </is>
      </c>
    </row>
    <row r="27">
      <c r="A27" s="9" t="n"/>
      <c r="B27" s="1" t="inlineStr">
        <is>
          <t>DOLV26</t>
        </is>
      </c>
    </row>
    <row r="28">
      <c r="A28" s="9" t="n"/>
      <c r="B28" s="1" t="inlineStr">
        <is>
          <t>DOLV26</t>
        </is>
      </c>
    </row>
    <row r="29">
      <c r="A29" s="9" t="n"/>
      <c r="B29" s="1" t="inlineStr">
        <is>
          <t>DOLV26</t>
        </is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/>
      <c r="B12" s="1" t="inlineStr">
        <is>
          <t>DOLX26</t>
        </is>
      </c>
    </row>
    <row r="13">
      <c r="A13" s="9" t="n"/>
      <c r="B13" s="1" t="inlineStr">
        <is>
          <t>DOLX26</t>
        </is>
      </c>
    </row>
    <row r="14">
      <c r="A14" s="9" t="n"/>
      <c r="B14" s="1" t="inlineStr">
        <is>
          <t>DOLX26</t>
        </is>
      </c>
    </row>
    <row r="15">
      <c r="A15" s="9" t="n"/>
      <c r="B15" s="1" t="inlineStr">
        <is>
          <t>DOLX26</t>
        </is>
      </c>
    </row>
    <row r="16">
      <c r="A16" s="9" t="n"/>
      <c r="B16" s="1" t="inlineStr">
        <is>
          <t>DOLX26</t>
        </is>
      </c>
    </row>
    <row r="17">
      <c r="A17" s="9" t="n"/>
      <c r="B17" s="1" t="inlineStr">
        <is>
          <t>DOLX26</t>
        </is>
      </c>
    </row>
    <row r="18">
      <c r="A18" s="9" t="n"/>
      <c r="B18" s="1" t="inlineStr">
        <is>
          <t>DOLX26</t>
        </is>
      </c>
    </row>
    <row r="19">
      <c r="A19" s="9" t="n"/>
      <c r="B19" s="1" t="inlineStr">
        <is>
          <t>DOLX26</t>
        </is>
      </c>
    </row>
    <row r="20">
      <c r="A20" s="9" t="n"/>
      <c r="B20" s="1" t="inlineStr">
        <is>
          <t>DOLX26</t>
        </is>
      </c>
    </row>
    <row r="21">
      <c r="A21" s="9" t="n"/>
      <c r="B21" s="1" t="inlineStr">
        <is>
          <t>DOLX26</t>
        </is>
      </c>
    </row>
    <row r="22">
      <c r="A22" s="9" t="n"/>
      <c r="B22" s="1" t="inlineStr">
        <is>
          <t>DOLX26</t>
        </is>
      </c>
    </row>
    <row r="23">
      <c r="A23" s="9" t="n"/>
      <c r="B23" s="1" t="inlineStr">
        <is>
          <t>DOLX26</t>
        </is>
      </c>
    </row>
    <row r="24">
      <c r="A24" s="9" t="n"/>
      <c r="B24" s="1" t="inlineStr">
        <is>
          <t>DOLX26</t>
        </is>
      </c>
    </row>
    <row r="25">
      <c r="A25" s="9" t="n"/>
      <c r="B25" s="1" t="inlineStr">
        <is>
          <t>DOLX26</t>
        </is>
      </c>
    </row>
    <row r="26">
      <c r="A26" s="9" t="n"/>
      <c r="B26" s="1" t="inlineStr">
        <is>
          <t>DOLX26</t>
        </is>
      </c>
    </row>
    <row r="27">
      <c r="A27" s="9" t="n"/>
      <c r="B27" s="1" t="inlineStr">
        <is>
          <t>DOLX26</t>
        </is>
      </c>
    </row>
    <row r="28">
      <c r="A28" s="9" t="n"/>
      <c r="B28" s="1" t="inlineStr">
        <is>
          <t>DOLX26</t>
        </is>
      </c>
    </row>
    <row r="29">
      <c r="A29" s="9" t="n"/>
      <c r="B29" s="1" t="inlineStr">
        <is>
          <t>DOLX26</t>
        </is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/>
      <c r="B12" s="1" t="inlineStr">
        <is>
          <t>DOLZ26</t>
        </is>
      </c>
    </row>
    <row r="13">
      <c r="A13" s="9" t="n"/>
      <c r="B13" s="1" t="inlineStr">
        <is>
          <t>DOLZ26</t>
        </is>
      </c>
    </row>
    <row r="14">
      <c r="A14" s="9" t="n"/>
      <c r="B14" s="1" t="inlineStr">
        <is>
          <t>DOLZ26</t>
        </is>
      </c>
    </row>
    <row r="15">
      <c r="A15" s="9" t="n"/>
      <c r="B15" s="1" t="inlineStr">
        <is>
          <t>DOLZ26</t>
        </is>
      </c>
    </row>
    <row r="16">
      <c r="A16" s="9" t="n"/>
      <c r="B16" s="1" t="inlineStr">
        <is>
          <t>DOLZ26</t>
        </is>
      </c>
    </row>
    <row r="17">
      <c r="A17" s="9" t="n"/>
      <c r="B17" s="1" t="inlineStr">
        <is>
          <t>DOLZ26</t>
        </is>
      </c>
    </row>
    <row r="18">
      <c r="A18" s="9" t="n"/>
      <c r="B18" s="1" t="inlineStr">
        <is>
          <t>DOLZ26</t>
        </is>
      </c>
    </row>
    <row r="19">
      <c r="A19" s="9" t="n"/>
      <c r="B19" s="1" t="inlineStr">
        <is>
          <t>DOLZ26</t>
        </is>
      </c>
    </row>
    <row r="20">
      <c r="A20" s="9" t="n"/>
      <c r="B20" s="1" t="inlineStr">
        <is>
          <t>DOLZ26</t>
        </is>
      </c>
    </row>
    <row r="21">
      <c r="A21" s="9" t="n"/>
      <c r="B21" s="1" t="inlineStr">
        <is>
          <t>DOLZ26</t>
        </is>
      </c>
    </row>
    <row r="22">
      <c r="A22" s="9" t="n"/>
      <c r="B22" s="1" t="inlineStr">
        <is>
          <t>DOLZ26</t>
        </is>
      </c>
    </row>
    <row r="23">
      <c r="A23" s="9" t="n"/>
      <c r="B23" s="1" t="inlineStr">
        <is>
          <t>DOLZ26</t>
        </is>
      </c>
    </row>
    <row r="24">
      <c r="A24" s="9" t="n"/>
      <c r="B24" s="1" t="inlineStr">
        <is>
          <t>DOLZ26</t>
        </is>
      </c>
    </row>
    <row r="25">
      <c r="A25" s="9" t="n"/>
      <c r="B25" s="1" t="inlineStr">
        <is>
          <t>DOLZ26</t>
        </is>
      </c>
    </row>
    <row r="26">
      <c r="A26" s="9" t="n"/>
      <c r="B26" s="1" t="inlineStr">
        <is>
          <t>DOLZ26</t>
        </is>
      </c>
    </row>
    <row r="27">
      <c r="A27" s="9" t="n"/>
      <c r="B27" s="1" t="inlineStr">
        <is>
          <t>DOLZ26</t>
        </is>
      </c>
    </row>
    <row r="28">
      <c r="A28" s="9" t="n"/>
      <c r="B28" s="1" t="inlineStr">
        <is>
          <t>DOLZ26</t>
        </is>
      </c>
    </row>
    <row r="29">
      <c r="A29" s="9" t="n"/>
      <c r="B29" s="1" t="inlineStr">
        <is>
          <t>DOLZ26</t>
        </is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/>
      <c r="B12" s="1" t="inlineStr">
        <is>
          <t>DOLF27</t>
        </is>
      </c>
    </row>
    <row r="13">
      <c r="A13" s="9" t="n"/>
      <c r="B13" s="1" t="inlineStr">
        <is>
          <t>DOLF27</t>
        </is>
      </c>
    </row>
    <row r="14">
      <c r="A14" s="9" t="n"/>
      <c r="B14" s="1" t="inlineStr">
        <is>
          <t>DOLF27</t>
        </is>
      </c>
    </row>
    <row r="15">
      <c r="A15" s="9" t="n"/>
      <c r="B15" s="1" t="inlineStr">
        <is>
          <t>DOLF27</t>
        </is>
      </c>
    </row>
    <row r="16">
      <c r="A16" s="9" t="n"/>
      <c r="B16" s="1" t="inlineStr">
        <is>
          <t>DOLF27</t>
        </is>
      </c>
    </row>
    <row r="17">
      <c r="A17" s="9" t="n"/>
      <c r="B17" s="1" t="inlineStr">
        <is>
          <t>DOLF27</t>
        </is>
      </c>
    </row>
    <row r="18">
      <c r="A18" s="9" t="n"/>
      <c r="B18" s="1" t="inlineStr">
        <is>
          <t>DOLF27</t>
        </is>
      </c>
    </row>
    <row r="19">
      <c r="A19" s="9" t="n"/>
      <c r="B19" s="1" t="inlineStr">
        <is>
          <t>DOLF27</t>
        </is>
      </c>
    </row>
    <row r="20">
      <c r="A20" s="9" t="n"/>
      <c r="B20" s="1" t="inlineStr">
        <is>
          <t>DOLF27</t>
        </is>
      </c>
    </row>
    <row r="21">
      <c r="A21" s="9" t="n"/>
      <c r="B21" s="1" t="inlineStr">
        <is>
          <t>DOLF27</t>
        </is>
      </c>
    </row>
    <row r="22">
      <c r="A22" s="9" t="n"/>
      <c r="B22" s="1" t="inlineStr">
        <is>
          <t>DOLF27</t>
        </is>
      </c>
    </row>
    <row r="23">
      <c r="A23" s="9" t="n"/>
      <c r="B23" s="1" t="inlineStr">
        <is>
          <t>DOLF27</t>
        </is>
      </c>
    </row>
    <row r="24">
      <c r="A24" s="9" t="n"/>
      <c r="B24" s="1" t="inlineStr">
        <is>
          <t>DOLF27</t>
        </is>
      </c>
    </row>
    <row r="25">
      <c r="A25" s="9" t="n"/>
      <c r="B25" s="1" t="inlineStr">
        <is>
          <t>DOLF27</t>
        </is>
      </c>
    </row>
    <row r="26">
      <c r="A26" s="9" t="n"/>
      <c r="B26" s="1" t="inlineStr">
        <is>
          <t>DOLF27</t>
        </is>
      </c>
    </row>
    <row r="27">
      <c r="A27" s="9" t="n"/>
      <c r="B27" s="1" t="inlineStr">
        <is>
          <t>DOLF27</t>
        </is>
      </c>
    </row>
    <row r="28">
      <c r="A28" s="9" t="n"/>
      <c r="B28" s="1" t="inlineStr">
        <is>
          <t>DOLF27</t>
        </is>
      </c>
    </row>
    <row r="29">
      <c r="A29" s="9" t="n"/>
      <c r="B29" s="1" t="inlineStr">
        <is>
          <t>DOLF27</t>
        </is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/>
      <c r="B12" s="1" t="inlineStr">
        <is>
          <t>DOLG27</t>
        </is>
      </c>
    </row>
    <row r="13">
      <c r="A13" s="9" t="n"/>
      <c r="B13" s="1" t="inlineStr">
        <is>
          <t>DOLG27</t>
        </is>
      </c>
    </row>
    <row r="14">
      <c r="A14" s="9" t="n"/>
      <c r="B14" s="1" t="inlineStr">
        <is>
          <t>DOLG27</t>
        </is>
      </c>
    </row>
    <row r="15">
      <c r="A15" s="9" t="n"/>
      <c r="B15" s="1" t="inlineStr">
        <is>
          <t>DOLG27</t>
        </is>
      </c>
    </row>
    <row r="16">
      <c r="A16" s="9" t="n"/>
      <c r="B16" s="1" t="inlineStr">
        <is>
          <t>DOLG27</t>
        </is>
      </c>
    </row>
    <row r="17">
      <c r="A17" s="9" t="n"/>
      <c r="B17" s="1" t="inlineStr">
        <is>
          <t>DOLG27</t>
        </is>
      </c>
    </row>
    <row r="18">
      <c r="A18" s="9" t="n"/>
      <c r="B18" s="1" t="inlineStr">
        <is>
          <t>DOLG27</t>
        </is>
      </c>
    </row>
    <row r="19">
      <c r="A19" s="9" t="n"/>
      <c r="B19" s="1" t="inlineStr">
        <is>
          <t>DOLG27</t>
        </is>
      </c>
    </row>
    <row r="20">
      <c r="A20" s="9" t="n"/>
      <c r="B20" s="1" t="inlineStr">
        <is>
          <t>DOLG27</t>
        </is>
      </c>
    </row>
    <row r="21">
      <c r="A21" s="9" t="n"/>
      <c r="B21" s="1" t="inlineStr">
        <is>
          <t>DOLG27</t>
        </is>
      </c>
    </row>
    <row r="22">
      <c r="A22" s="9" t="n"/>
      <c r="B22" s="1" t="inlineStr">
        <is>
          <t>DOLG27</t>
        </is>
      </c>
    </row>
    <row r="23">
      <c r="A23" s="9" t="n"/>
      <c r="B23" s="1" t="inlineStr">
        <is>
          <t>DOLG27</t>
        </is>
      </c>
    </row>
    <row r="24">
      <c r="A24" s="9" t="n"/>
      <c r="B24" s="1" t="inlineStr">
        <is>
          <t>DOLG27</t>
        </is>
      </c>
    </row>
    <row r="25">
      <c r="A25" s="9" t="n"/>
      <c r="B25" s="1" t="inlineStr">
        <is>
          <t>DOLG27</t>
        </is>
      </c>
    </row>
    <row r="26">
      <c r="A26" s="9" t="n"/>
      <c r="B26" s="1" t="inlineStr">
        <is>
          <t>DOLG27</t>
        </is>
      </c>
    </row>
    <row r="27">
      <c r="A27" s="9" t="n"/>
      <c r="B27" s="1" t="inlineStr">
        <is>
          <t>DOLG27</t>
        </is>
      </c>
    </row>
    <row r="28">
      <c r="A28" s="9" t="n"/>
      <c r="B28" s="1" t="inlineStr">
        <is>
          <t>DOLG27</t>
        </is>
      </c>
    </row>
    <row r="29">
      <c r="A29" s="9" t="n"/>
      <c r="B29" s="1" t="inlineStr">
        <is>
          <t>DOLG27</t>
        </is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/>
      <c r="B12" s="1" t="inlineStr">
        <is>
          <t>DOLH27</t>
        </is>
      </c>
    </row>
    <row r="13">
      <c r="A13" s="9" t="n"/>
      <c r="B13" s="1" t="inlineStr">
        <is>
          <t>DOLH27</t>
        </is>
      </c>
    </row>
    <row r="14">
      <c r="A14" s="9" t="n"/>
      <c r="B14" s="1" t="inlineStr">
        <is>
          <t>DOLH27</t>
        </is>
      </c>
    </row>
    <row r="15">
      <c r="A15" s="9" t="n"/>
      <c r="B15" s="1" t="inlineStr">
        <is>
          <t>DOLH27</t>
        </is>
      </c>
    </row>
    <row r="16">
      <c r="A16" s="9" t="n"/>
      <c r="B16" s="1" t="inlineStr">
        <is>
          <t>DOLH27</t>
        </is>
      </c>
    </row>
    <row r="17">
      <c r="A17" s="9" t="n"/>
      <c r="B17" s="1" t="inlineStr">
        <is>
          <t>DOLH27</t>
        </is>
      </c>
    </row>
    <row r="18">
      <c r="A18" s="9" t="n"/>
      <c r="B18" s="1" t="inlineStr">
        <is>
          <t>DOLH27</t>
        </is>
      </c>
    </row>
    <row r="19">
      <c r="A19" s="9" t="n"/>
      <c r="B19" s="1" t="inlineStr">
        <is>
          <t>DOLH27</t>
        </is>
      </c>
    </row>
    <row r="20">
      <c r="A20" s="9" t="n"/>
      <c r="B20" s="1" t="inlineStr">
        <is>
          <t>DOLH27</t>
        </is>
      </c>
    </row>
    <row r="21">
      <c r="A21" s="9" t="n"/>
      <c r="B21" s="1" t="inlineStr">
        <is>
          <t>DOLH27</t>
        </is>
      </c>
    </row>
    <row r="22">
      <c r="A22" s="9" t="n"/>
      <c r="B22" s="1" t="inlineStr">
        <is>
          <t>DOLH27</t>
        </is>
      </c>
    </row>
    <row r="23">
      <c r="A23" s="9" t="n"/>
      <c r="B23" s="1" t="inlineStr">
        <is>
          <t>DOLH27</t>
        </is>
      </c>
    </row>
    <row r="24">
      <c r="A24" s="9" t="n"/>
      <c r="B24" s="1" t="inlineStr">
        <is>
          <t>DOLH27</t>
        </is>
      </c>
    </row>
    <row r="25">
      <c r="A25" s="9" t="n"/>
      <c r="B25" s="1" t="inlineStr">
        <is>
          <t>DOLH27</t>
        </is>
      </c>
    </row>
    <row r="26">
      <c r="A26" s="9" t="n"/>
      <c r="B26" s="1" t="inlineStr">
        <is>
          <t>DOLH27</t>
        </is>
      </c>
    </row>
    <row r="27">
      <c r="A27" s="9" t="n"/>
      <c r="B27" s="1" t="inlineStr">
        <is>
          <t>DOLH27</t>
        </is>
      </c>
    </row>
    <row r="28">
      <c r="A28" s="9" t="n"/>
      <c r="B28" s="1" t="inlineStr">
        <is>
          <t>DOLH27</t>
        </is>
      </c>
    </row>
    <row r="29">
      <c r="A29" s="9" t="n"/>
      <c r="B29" s="1" t="inlineStr">
        <is>
          <t>DOLH27</t>
        </is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/>
      <c r="B12" s="1" t="inlineStr">
        <is>
          <t>DOLJ27</t>
        </is>
      </c>
    </row>
    <row r="13">
      <c r="A13" s="9" t="n"/>
      <c r="B13" s="1" t="inlineStr">
        <is>
          <t>DOLJ27</t>
        </is>
      </c>
    </row>
    <row r="14">
      <c r="A14" s="9" t="n"/>
      <c r="B14" s="1" t="inlineStr">
        <is>
          <t>DOLJ27</t>
        </is>
      </c>
    </row>
    <row r="15">
      <c r="A15" s="9" t="n"/>
      <c r="B15" s="1" t="inlineStr">
        <is>
          <t>DOLJ27</t>
        </is>
      </c>
    </row>
    <row r="16">
      <c r="A16" s="9" t="n"/>
      <c r="B16" s="1" t="inlineStr">
        <is>
          <t>DOLJ27</t>
        </is>
      </c>
    </row>
    <row r="17">
      <c r="A17" s="9" t="n"/>
      <c r="B17" s="1" t="inlineStr">
        <is>
          <t>DOLJ27</t>
        </is>
      </c>
    </row>
    <row r="18">
      <c r="A18" s="9" t="n"/>
      <c r="B18" s="1" t="inlineStr">
        <is>
          <t>DOLJ27</t>
        </is>
      </c>
    </row>
    <row r="19">
      <c r="A19" s="9" t="n"/>
      <c r="B19" s="1" t="inlineStr">
        <is>
          <t>DOLJ27</t>
        </is>
      </c>
    </row>
    <row r="20">
      <c r="A20" s="9" t="n"/>
      <c r="B20" s="1" t="inlineStr">
        <is>
          <t>DOLJ27</t>
        </is>
      </c>
    </row>
    <row r="21">
      <c r="A21" s="9" t="n"/>
      <c r="B21" s="1" t="inlineStr">
        <is>
          <t>DOLJ27</t>
        </is>
      </c>
    </row>
    <row r="22">
      <c r="A22" s="9" t="n"/>
      <c r="B22" s="1" t="inlineStr">
        <is>
          <t>DOLJ27</t>
        </is>
      </c>
    </row>
    <row r="23">
      <c r="A23" s="9" t="n"/>
      <c r="B23" s="1" t="inlineStr">
        <is>
          <t>DOLJ27</t>
        </is>
      </c>
    </row>
    <row r="24">
      <c r="A24" s="9" t="n"/>
      <c r="B24" s="1" t="inlineStr">
        <is>
          <t>DOLJ27</t>
        </is>
      </c>
    </row>
    <row r="25">
      <c r="A25" s="9" t="n"/>
      <c r="B25" s="1" t="inlineStr">
        <is>
          <t>DOLJ27</t>
        </is>
      </c>
    </row>
    <row r="26">
      <c r="A26" s="9" t="n"/>
      <c r="B26" s="1" t="inlineStr">
        <is>
          <t>DOLJ27</t>
        </is>
      </c>
    </row>
    <row r="27">
      <c r="A27" s="9" t="n"/>
      <c r="B27" s="1" t="inlineStr">
        <is>
          <t>DOLJ27</t>
        </is>
      </c>
    </row>
    <row r="28">
      <c r="A28" s="9" t="n"/>
      <c r="B28" s="1" t="inlineStr">
        <is>
          <t>DOLJ27</t>
        </is>
      </c>
    </row>
    <row r="29">
      <c r="A29" s="9" t="n"/>
      <c r="B29" s="1" t="inlineStr">
        <is>
          <t>DOLJ27</t>
        </is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/>
      <c r="B12" s="1" t="inlineStr">
        <is>
          <t>DOLK27</t>
        </is>
      </c>
    </row>
    <row r="13">
      <c r="A13" s="9" t="n"/>
      <c r="B13" s="1" t="inlineStr">
        <is>
          <t>DOLK27</t>
        </is>
      </c>
    </row>
    <row r="14">
      <c r="A14" s="9" t="n"/>
      <c r="B14" s="1" t="inlineStr">
        <is>
          <t>DOLK27</t>
        </is>
      </c>
    </row>
    <row r="15">
      <c r="A15" s="9" t="n"/>
      <c r="B15" s="1" t="inlineStr">
        <is>
          <t>DOLK27</t>
        </is>
      </c>
    </row>
    <row r="16">
      <c r="A16" s="9" t="n"/>
      <c r="B16" s="1" t="inlineStr">
        <is>
          <t>DOLK27</t>
        </is>
      </c>
    </row>
    <row r="17">
      <c r="A17" s="9" t="n"/>
      <c r="B17" s="1" t="inlineStr">
        <is>
          <t>DOLK27</t>
        </is>
      </c>
    </row>
    <row r="18">
      <c r="A18" s="9" t="n"/>
      <c r="B18" s="1" t="inlineStr">
        <is>
          <t>DOLK27</t>
        </is>
      </c>
    </row>
    <row r="19">
      <c r="A19" s="9" t="n"/>
      <c r="B19" s="1" t="inlineStr">
        <is>
          <t>DOLK27</t>
        </is>
      </c>
    </row>
    <row r="20">
      <c r="A20" s="9" t="n"/>
      <c r="B20" s="1" t="inlineStr">
        <is>
          <t>DOLK27</t>
        </is>
      </c>
    </row>
    <row r="21">
      <c r="A21" s="9" t="n"/>
      <c r="B21" s="1" t="inlineStr">
        <is>
          <t>DOLK27</t>
        </is>
      </c>
    </row>
    <row r="22">
      <c r="A22" s="9" t="n"/>
      <c r="B22" s="1" t="inlineStr">
        <is>
          <t>DOLK27</t>
        </is>
      </c>
    </row>
    <row r="23">
      <c r="A23" s="9" t="n"/>
      <c r="B23" s="1" t="inlineStr">
        <is>
          <t>DOLK27</t>
        </is>
      </c>
    </row>
    <row r="24">
      <c r="A24" s="9" t="n"/>
      <c r="B24" s="1" t="inlineStr">
        <is>
          <t>DOLK27</t>
        </is>
      </c>
    </row>
    <row r="25">
      <c r="A25" s="9" t="n"/>
      <c r="B25" s="1" t="inlineStr">
        <is>
          <t>DOLK27</t>
        </is>
      </c>
    </row>
    <row r="26">
      <c r="A26" s="9" t="n"/>
      <c r="B26" s="1" t="inlineStr">
        <is>
          <t>DOLK27</t>
        </is>
      </c>
    </row>
    <row r="27">
      <c r="A27" s="9" t="n"/>
      <c r="B27" s="1" t="inlineStr">
        <is>
          <t>DOLK27</t>
        </is>
      </c>
    </row>
    <row r="28">
      <c r="A28" s="9" t="n"/>
      <c r="B28" s="1" t="inlineStr">
        <is>
          <t>DOLK27</t>
        </is>
      </c>
    </row>
    <row r="29">
      <c r="A29" s="9" t="n"/>
      <c r="B29" s="1" t="inlineStr">
        <is>
          <t>DOLK27</t>
        </is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/>
      <c r="B12" s="1" t="inlineStr">
        <is>
          <t>DOLM27</t>
        </is>
      </c>
    </row>
    <row r="13">
      <c r="A13" s="9" t="n"/>
      <c r="B13" s="1" t="inlineStr">
        <is>
          <t>DOLM27</t>
        </is>
      </c>
    </row>
    <row r="14">
      <c r="A14" s="9" t="n"/>
      <c r="B14" s="1" t="inlineStr">
        <is>
          <t>DOLM27</t>
        </is>
      </c>
    </row>
    <row r="15">
      <c r="A15" s="9" t="n"/>
      <c r="B15" s="1" t="inlineStr">
        <is>
          <t>DOLM27</t>
        </is>
      </c>
    </row>
    <row r="16">
      <c r="A16" s="9" t="n"/>
      <c r="B16" s="1" t="inlineStr">
        <is>
          <t>DOLM27</t>
        </is>
      </c>
    </row>
    <row r="17">
      <c r="A17" s="9" t="n"/>
      <c r="B17" s="1" t="inlineStr">
        <is>
          <t>DOLM27</t>
        </is>
      </c>
    </row>
    <row r="18">
      <c r="A18" s="9" t="n"/>
      <c r="B18" s="1" t="inlineStr">
        <is>
          <t>DOLM27</t>
        </is>
      </c>
    </row>
    <row r="19">
      <c r="A19" s="9" t="n"/>
      <c r="B19" s="1" t="inlineStr">
        <is>
          <t>DOLM27</t>
        </is>
      </c>
    </row>
    <row r="20">
      <c r="A20" s="9" t="n"/>
      <c r="B20" s="1" t="inlineStr">
        <is>
          <t>DOLM27</t>
        </is>
      </c>
    </row>
    <row r="21">
      <c r="A21" s="9" t="n"/>
      <c r="B21" s="1" t="inlineStr">
        <is>
          <t>DOLM27</t>
        </is>
      </c>
    </row>
    <row r="22">
      <c r="A22" s="9" t="n"/>
      <c r="B22" s="1" t="inlineStr">
        <is>
          <t>DOLM27</t>
        </is>
      </c>
    </row>
    <row r="23">
      <c r="A23" s="9" t="n"/>
      <c r="B23" s="1" t="inlineStr">
        <is>
          <t>DOLM27</t>
        </is>
      </c>
    </row>
    <row r="24">
      <c r="A24" s="9" t="n"/>
      <c r="B24" s="1" t="inlineStr">
        <is>
          <t>DOLM27</t>
        </is>
      </c>
    </row>
    <row r="25">
      <c r="A25" s="9" t="n"/>
      <c r="B25" s="1" t="inlineStr">
        <is>
          <t>DOLM27</t>
        </is>
      </c>
    </row>
    <row r="26">
      <c r="A26" s="9" t="n"/>
      <c r="B26" s="1" t="inlineStr">
        <is>
          <t>DOLM27</t>
        </is>
      </c>
    </row>
    <row r="27">
      <c r="A27" s="9" t="n"/>
      <c r="B27" s="1" t="inlineStr">
        <is>
          <t>DOLM27</t>
        </is>
      </c>
    </row>
    <row r="28">
      <c r="A28" s="9" t="n"/>
      <c r="B28" s="1" t="inlineStr">
        <is>
          <t>DOLM27</t>
        </is>
      </c>
    </row>
    <row r="29">
      <c r="A29" s="9" t="n"/>
      <c r="B29" s="1" t="inlineStr">
        <is>
          <t>DOLM27</t>
        </is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/>
      <c r="B12" s="1" t="inlineStr">
        <is>
          <t>DOLN27</t>
        </is>
      </c>
    </row>
    <row r="13">
      <c r="A13" s="9" t="n"/>
      <c r="B13" s="1" t="inlineStr">
        <is>
          <t>DOLN27</t>
        </is>
      </c>
    </row>
    <row r="14">
      <c r="A14" s="9" t="n"/>
      <c r="B14" s="1" t="inlineStr">
        <is>
          <t>DOLN27</t>
        </is>
      </c>
    </row>
    <row r="15">
      <c r="A15" s="9" t="n"/>
      <c r="B15" s="1" t="inlineStr">
        <is>
          <t>DOLN27</t>
        </is>
      </c>
    </row>
    <row r="16">
      <c r="A16" s="9" t="n"/>
      <c r="B16" s="1" t="inlineStr">
        <is>
          <t>DOLN27</t>
        </is>
      </c>
    </row>
    <row r="17">
      <c r="A17" s="9" t="n"/>
      <c r="B17" s="1" t="inlineStr">
        <is>
          <t>DOLN27</t>
        </is>
      </c>
    </row>
    <row r="18">
      <c r="A18" s="9" t="n"/>
      <c r="B18" s="1" t="inlineStr">
        <is>
          <t>DOLN27</t>
        </is>
      </c>
    </row>
    <row r="19">
      <c r="A19" s="9" t="n"/>
      <c r="B19" s="1" t="inlineStr">
        <is>
          <t>DOLN27</t>
        </is>
      </c>
    </row>
    <row r="20">
      <c r="A20" s="9" t="n"/>
      <c r="B20" s="1" t="inlineStr">
        <is>
          <t>DOLN27</t>
        </is>
      </c>
    </row>
    <row r="21">
      <c r="A21" s="9" t="n"/>
      <c r="B21" s="1" t="inlineStr">
        <is>
          <t>DOLN27</t>
        </is>
      </c>
    </row>
    <row r="22">
      <c r="A22" s="9" t="n"/>
      <c r="B22" s="1" t="inlineStr">
        <is>
          <t>DOLN27</t>
        </is>
      </c>
    </row>
    <row r="23">
      <c r="A23" s="9" t="n"/>
      <c r="B23" s="1" t="inlineStr">
        <is>
          <t>DOLN27</t>
        </is>
      </c>
    </row>
    <row r="24">
      <c r="A24" s="9" t="n"/>
      <c r="B24" s="1" t="inlineStr">
        <is>
          <t>DOLN27</t>
        </is>
      </c>
    </row>
    <row r="25">
      <c r="A25" s="9" t="n"/>
      <c r="B25" s="1" t="inlineStr">
        <is>
          <t>DOLN27</t>
        </is>
      </c>
    </row>
    <row r="26">
      <c r="A26" s="9" t="n"/>
      <c r="B26" s="1" t="inlineStr">
        <is>
          <t>DOLN27</t>
        </is>
      </c>
    </row>
    <row r="27">
      <c r="A27" s="9" t="n"/>
      <c r="B27" s="1" t="inlineStr">
        <is>
          <t>DOLN27</t>
        </is>
      </c>
    </row>
    <row r="28">
      <c r="A28" s="9" t="n"/>
      <c r="B28" s="1" t="inlineStr">
        <is>
          <t>DOLN27</t>
        </is>
      </c>
    </row>
    <row r="29">
      <c r="A29" s="9" t="n"/>
      <c r="B29" s="1" t="inlineStr">
        <is>
          <t>DOLN27</t>
        </is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/>
      <c r="B12" s="1" t="inlineStr">
        <is>
          <t>DOLQ27</t>
        </is>
      </c>
    </row>
    <row r="13">
      <c r="A13" s="9" t="n"/>
      <c r="B13" s="1" t="inlineStr">
        <is>
          <t>DOLQ27</t>
        </is>
      </c>
    </row>
    <row r="14">
      <c r="A14" s="9" t="n"/>
      <c r="B14" s="1" t="inlineStr">
        <is>
          <t>DOLQ27</t>
        </is>
      </c>
    </row>
    <row r="15">
      <c r="A15" s="9" t="n"/>
      <c r="B15" s="1" t="inlineStr">
        <is>
          <t>DOLQ27</t>
        </is>
      </c>
    </row>
    <row r="16">
      <c r="A16" s="9" t="n"/>
      <c r="B16" s="1" t="inlineStr">
        <is>
          <t>DOLQ27</t>
        </is>
      </c>
    </row>
    <row r="17">
      <c r="A17" s="9" t="n"/>
      <c r="B17" s="1" t="inlineStr">
        <is>
          <t>DOLQ27</t>
        </is>
      </c>
    </row>
    <row r="18">
      <c r="A18" s="9" t="n"/>
      <c r="B18" s="1" t="inlineStr">
        <is>
          <t>DOLQ27</t>
        </is>
      </c>
    </row>
    <row r="19">
      <c r="A19" s="9" t="n"/>
      <c r="B19" s="1" t="inlineStr">
        <is>
          <t>DOLQ27</t>
        </is>
      </c>
    </row>
    <row r="20">
      <c r="A20" s="9" t="n"/>
      <c r="B20" s="1" t="inlineStr">
        <is>
          <t>DOLQ27</t>
        </is>
      </c>
    </row>
    <row r="21">
      <c r="A21" s="9" t="n"/>
      <c r="B21" s="1" t="inlineStr">
        <is>
          <t>DOLQ27</t>
        </is>
      </c>
    </row>
    <row r="22">
      <c r="A22" s="9" t="n"/>
      <c r="B22" s="1" t="inlineStr">
        <is>
          <t>DOLQ27</t>
        </is>
      </c>
    </row>
    <row r="23">
      <c r="A23" s="9" t="n"/>
      <c r="B23" s="1" t="inlineStr">
        <is>
          <t>DOLQ27</t>
        </is>
      </c>
    </row>
    <row r="24">
      <c r="A24" s="9" t="n"/>
      <c r="B24" s="1" t="inlineStr">
        <is>
          <t>DOLQ27</t>
        </is>
      </c>
    </row>
    <row r="25">
      <c r="A25" s="9" t="n"/>
      <c r="B25" s="1" t="inlineStr">
        <is>
          <t>DOLQ27</t>
        </is>
      </c>
    </row>
    <row r="26">
      <c r="A26" s="9" t="n"/>
      <c r="B26" s="1" t="inlineStr">
        <is>
          <t>DOLQ27</t>
        </is>
      </c>
    </row>
    <row r="27">
      <c r="A27" s="9" t="n"/>
      <c r="B27" s="1" t="inlineStr">
        <is>
          <t>DOLQ27</t>
        </is>
      </c>
    </row>
    <row r="28">
      <c r="A28" s="9" t="n"/>
      <c r="B28" s="1" t="inlineStr">
        <is>
          <t>DOLQ27</t>
        </is>
      </c>
    </row>
    <row r="29">
      <c r="A29" s="9" t="n"/>
      <c r="B29" s="1" t="inlineStr">
        <is>
          <t>DOLQ27</t>
        </is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/>
      <c r="B12" s="1" t="inlineStr">
        <is>
          <t>DOLV27</t>
        </is>
      </c>
    </row>
    <row r="13">
      <c r="A13" s="9" t="n"/>
      <c r="B13" s="1" t="inlineStr">
        <is>
          <t>DOLV27</t>
        </is>
      </c>
    </row>
    <row r="14">
      <c r="A14" s="9" t="n"/>
      <c r="B14" s="1" t="inlineStr">
        <is>
          <t>DOLV27</t>
        </is>
      </c>
    </row>
    <row r="15">
      <c r="A15" s="9" t="n"/>
      <c r="B15" s="1" t="inlineStr">
        <is>
          <t>DOLV27</t>
        </is>
      </c>
    </row>
    <row r="16">
      <c r="A16" s="9" t="n"/>
      <c r="B16" s="1" t="inlineStr">
        <is>
          <t>DOLV27</t>
        </is>
      </c>
    </row>
    <row r="17">
      <c r="A17" s="9" t="n"/>
      <c r="B17" s="1" t="inlineStr">
        <is>
          <t>DOLV27</t>
        </is>
      </c>
    </row>
    <row r="18">
      <c r="A18" s="9" t="n"/>
      <c r="B18" s="1" t="inlineStr">
        <is>
          <t>DOLV27</t>
        </is>
      </c>
    </row>
    <row r="19">
      <c r="A19" s="9" t="n"/>
      <c r="B19" s="1" t="inlineStr">
        <is>
          <t>DOLV27</t>
        </is>
      </c>
    </row>
    <row r="20">
      <c r="A20" s="9" t="n"/>
      <c r="B20" s="1" t="inlineStr">
        <is>
          <t>DOLV27</t>
        </is>
      </c>
    </row>
    <row r="21">
      <c r="A21" s="9" t="n"/>
      <c r="B21" s="1" t="inlineStr">
        <is>
          <t>DOLV27</t>
        </is>
      </c>
    </row>
    <row r="22">
      <c r="A22" s="9" t="n"/>
      <c r="B22" s="1" t="inlineStr">
        <is>
          <t>DOLV27</t>
        </is>
      </c>
    </row>
    <row r="23">
      <c r="A23" s="9" t="n"/>
      <c r="B23" s="1" t="inlineStr">
        <is>
          <t>DOLV27</t>
        </is>
      </c>
    </row>
    <row r="24">
      <c r="A24" s="9" t="n"/>
      <c r="B24" s="1" t="inlineStr">
        <is>
          <t>DOLV27</t>
        </is>
      </c>
    </row>
    <row r="25">
      <c r="A25" s="9" t="n"/>
      <c r="B25" s="1" t="inlineStr">
        <is>
          <t>DOLV27</t>
        </is>
      </c>
    </row>
    <row r="26">
      <c r="A26" s="9" t="n"/>
      <c r="B26" s="1" t="inlineStr">
        <is>
          <t>DOLV27</t>
        </is>
      </c>
    </row>
    <row r="27">
      <c r="A27" s="9" t="n"/>
      <c r="B27" s="1" t="inlineStr">
        <is>
          <t>DOLV27</t>
        </is>
      </c>
    </row>
    <row r="28">
      <c r="A28" s="9" t="n"/>
      <c r="B28" s="1" t="inlineStr">
        <is>
          <t>DOLV27</t>
        </is>
      </c>
    </row>
    <row r="29">
      <c r="A29" s="9" t="n"/>
      <c r="B29" s="1" t="inlineStr">
        <is>
          <t>DOLV27</t>
        </is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/>
      <c r="B12" s="1" t="inlineStr">
        <is>
          <t>DOLF28</t>
        </is>
      </c>
    </row>
    <row r="13">
      <c r="A13" s="9" t="n"/>
      <c r="B13" s="1" t="inlineStr">
        <is>
          <t>DOLF28</t>
        </is>
      </c>
    </row>
    <row r="14">
      <c r="A14" s="9" t="n"/>
      <c r="B14" s="1" t="inlineStr">
        <is>
          <t>DOLF28</t>
        </is>
      </c>
    </row>
    <row r="15">
      <c r="A15" s="9" t="n"/>
      <c r="B15" s="1" t="inlineStr">
        <is>
          <t>DOLF28</t>
        </is>
      </c>
    </row>
    <row r="16">
      <c r="A16" s="9" t="n"/>
      <c r="B16" s="1" t="inlineStr">
        <is>
          <t>DOLF28</t>
        </is>
      </c>
    </row>
    <row r="17">
      <c r="A17" s="9" t="n"/>
      <c r="B17" s="1" t="inlineStr">
        <is>
          <t>DOLF28</t>
        </is>
      </c>
    </row>
    <row r="18">
      <c r="A18" s="9" t="n"/>
      <c r="B18" s="1" t="inlineStr">
        <is>
          <t>DOLF28</t>
        </is>
      </c>
    </row>
    <row r="19">
      <c r="A19" s="9" t="n"/>
      <c r="B19" s="1" t="inlineStr">
        <is>
          <t>DOLF28</t>
        </is>
      </c>
    </row>
    <row r="20">
      <c r="A20" s="9" t="n"/>
      <c r="B20" s="1" t="inlineStr">
        <is>
          <t>DOLF28</t>
        </is>
      </c>
    </row>
    <row r="21">
      <c r="A21" s="9" t="n"/>
      <c r="B21" s="1" t="inlineStr">
        <is>
          <t>DOLF28</t>
        </is>
      </c>
    </row>
    <row r="22">
      <c r="A22" s="9" t="n"/>
      <c r="B22" s="1" t="inlineStr">
        <is>
          <t>DOLF28</t>
        </is>
      </c>
    </row>
    <row r="23">
      <c r="A23" s="9" t="n"/>
      <c r="B23" s="1" t="inlineStr">
        <is>
          <t>DOLF28</t>
        </is>
      </c>
    </row>
    <row r="24">
      <c r="A24" s="9" t="n"/>
      <c r="B24" s="1" t="inlineStr">
        <is>
          <t>DOLF28</t>
        </is>
      </c>
    </row>
    <row r="25">
      <c r="A25" s="9" t="n"/>
      <c r="B25" s="1" t="inlineStr">
        <is>
          <t>DOLF28</t>
        </is>
      </c>
    </row>
    <row r="26">
      <c r="A26" s="9" t="n"/>
      <c r="B26" s="1" t="inlineStr">
        <is>
          <t>DOLF28</t>
        </is>
      </c>
    </row>
    <row r="27">
      <c r="A27" s="9" t="n"/>
      <c r="B27" s="1" t="inlineStr">
        <is>
          <t>DOLF28</t>
        </is>
      </c>
    </row>
    <row r="28">
      <c r="A28" s="9" t="n"/>
      <c r="B28" s="1" t="inlineStr">
        <is>
          <t>DOLF28</t>
        </is>
      </c>
    </row>
    <row r="29">
      <c r="A29" s="9" t="n"/>
      <c r="B29" s="1" t="inlineStr">
        <is>
          <t>DOLF28</t>
        </is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/>
      <c r="B12" s="1" t="inlineStr">
        <is>
          <t>DOLJ28</t>
        </is>
      </c>
    </row>
    <row r="13">
      <c r="A13" s="9" t="n"/>
      <c r="B13" s="1" t="inlineStr">
        <is>
          <t>DOLJ28</t>
        </is>
      </c>
    </row>
    <row r="14">
      <c r="A14" s="9" t="n"/>
      <c r="B14" s="1" t="inlineStr">
        <is>
          <t>DOLJ28</t>
        </is>
      </c>
    </row>
    <row r="15">
      <c r="A15" s="9" t="n"/>
      <c r="B15" s="1" t="inlineStr">
        <is>
          <t>DOLJ28</t>
        </is>
      </c>
    </row>
    <row r="16">
      <c r="A16" s="9" t="n"/>
      <c r="B16" s="1" t="inlineStr">
        <is>
          <t>DOLJ28</t>
        </is>
      </c>
    </row>
    <row r="17">
      <c r="A17" s="9" t="n"/>
      <c r="B17" s="1" t="inlineStr">
        <is>
          <t>DOLJ28</t>
        </is>
      </c>
    </row>
    <row r="18">
      <c r="A18" s="9" t="n"/>
      <c r="B18" s="1" t="inlineStr">
        <is>
          <t>DOLJ28</t>
        </is>
      </c>
    </row>
    <row r="19">
      <c r="A19" s="9" t="n"/>
      <c r="B19" s="1" t="inlineStr">
        <is>
          <t>DOLJ28</t>
        </is>
      </c>
    </row>
    <row r="20">
      <c r="A20" s="9" t="n"/>
      <c r="B20" s="1" t="inlineStr">
        <is>
          <t>DOLJ28</t>
        </is>
      </c>
    </row>
    <row r="21">
      <c r="A21" s="9" t="n"/>
      <c r="B21" s="1" t="inlineStr">
        <is>
          <t>DOLJ28</t>
        </is>
      </c>
    </row>
    <row r="22">
      <c r="A22" s="9" t="n"/>
      <c r="B22" s="1" t="inlineStr">
        <is>
          <t>DOLJ28</t>
        </is>
      </c>
    </row>
    <row r="23">
      <c r="A23" s="9" t="n"/>
      <c r="B23" s="1" t="inlineStr">
        <is>
          <t>DOLJ28</t>
        </is>
      </c>
    </row>
    <row r="24">
      <c r="A24" s="9" t="n"/>
      <c r="B24" s="1" t="inlineStr">
        <is>
          <t>DOLJ28</t>
        </is>
      </c>
    </row>
    <row r="25">
      <c r="A25" s="9" t="n"/>
      <c r="B25" s="1" t="inlineStr">
        <is>
          <t>DOLJ28</t>
        </is>
      </c>
    </row>
    <row r="26">
      <c r="A26" s="9" t="n"/>
      <c r="B26" s="1" t="inlineStr">
        <is>
          <t>DOLJ28</t>
        </is>
      </c>
    </row>
    <row r="27">
      <c r="A27" s="9" t="n"/>
      <c r="B27" s="1" t="inlineStr">
        <is>
          <t>DOLJ28</t>
        </is>
      </c>
    </row>
    <row r="28">
      <c r="A28" s="9" t="n"/>
      <c r="B28" s="1" t="inlineStr">
        <is>
          <t>DOLJ28</t>
        </is>
      </c>
    </row>
    <row r="29">
      <c r="A29" s="9" t="n"/>
      <c r="B29" s="1" t="inlineStr">
        <is>
          <t>DOLJ28</t>
        </is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/>
      <c r="B12" s="1" t="inlineStr">
        <is>
          <t>DOLN28</t>
        </is>
      </c>
    </row>
    <row r="13">
      <c r="A13" s="9" t="n"/>
      <c r="B13" s="1" t="inlineStr">
        <is>
          <t>DOLN28</t>
        </is>
      </c>
    </row>
    <row r="14">
      <c r="A14" s="9" t="n"/>
      <c r="B14" s="1" t="inlineStr">
        <is>
          <t>DOLN28</t>
        </is>
      </c>
    </row>
    <row r="15">
      <c r="A15" s="9" t="n"/>
      <c r="B15" s="1" t="inlineStr">
        <is>
          <t>DOLN28</t>
        </is>
      </c>
    </row>
    <row r="16">
      <c r="A16" s="9" t="n"/>
      <c r="B16" s="1" t="inlineStr">
        <is>
          <t>DOLN28</t>
        </is>
      </c>
    </row>
    <row r="17">
      <c r="A17" s="9" t="n"/>
      <c r="B17" s="1" t="inlineStr">
        <is>
          <t>DOLN28</t>
        </is>
      </c>
    </row>
    <row r="18">
      <c r="A18" s="9" t="n"/>
      <c r="B18" s="1" t="inlineStr">
        <is>
          <t>DOLN28</t>
        </is>
      </c>
    </row>
    <row r="19">
      <c r="A19" s="9" t="n"/>
      <c r="B19" s="1" t="inlineStr">
        <is>
          <t>DOLN28</t>
        </is>
      </c>
    </row>
    <row r="20">
      <c r="A20" s="9" t="n"/>
      <c r="B20" s="1" t="inlineStr">
        <is>
          <t>DOLN28</t>
        </is>
      </c>
    </row>
    <row r="21">
      <c r="A21" s="9" t="n"/>
      <c r="B21" s="1" t="inlineStr">
        <is>
          <t>DOLN28</t>
        </is>
      </c>
    </row>
    <row r="22">
      <c r="A22" s="9" t="n"/>
      <c r="B22" s="1" t="inlineStr">
        <is>
          <t>DOLN28</t>
        </is>
      </c>
    </row>
    <row r="23">
      <c r="A23" s="9" t="n"/>
      <c r="B23" s="1" t="inlineStr">
        <is>
          <t>DOLN28</t>
        </is>
      </c>
    </row>
    <row r="24">
      <c r="A24" s="9" t="n"/>
      <c r="B24" s="1" t="inlineStr">
        <is>
          <t>DOLN28</t>
        </is>
      </c>
    </row>
    <row r="25">
      <c r="A25" s="9" t="n"/>
      <c r="B25" s="1" t="inlineStr">
        <is>
          <t>DOLN28</t>
        </is>
      </c>
    </row>
    <row r="26">
      <c r="A26" s="9" t="n"/>
      <c r="B26" s="1" t="inlineStr">
        <is>
          <t>DOLN28</t>
        </is>
      </c>
    </row>
    <row r="27">
      <c r="A27" s="9" t="n"/>
      <c r="B27" s="1" t="inlineStr">
        <is>
          <t>DOLN28</t>
        </is>
      </c>
    </row>
    <row r="28">
      <c r="A28" s="9" t="n"/>
      <c r="B28" s="1" t="inlineStr">
        <is>
          <t>DOLN28</t>
        </is>
      </c>
    </row>
    <row r="29">
      <c r="A29" s="9" t="n"/>
      <c r="B29" s="1" t="inlineStr">
        <is>
          <t>DOLN28</t>
        </is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/>
      <c r="B12" s="1" t="inlineStr">
        <is>
          <t>DOLV28</t>
        </is>
      </c>
    </row>
    <row r="13">
      <c r="A13" s="9" t="n"/>
      <c r="B13" s="1" t="inlineStr">
        <is>
          <t>DOLV28</t>
        </is>
      </c>
    </row>
    <row r="14">
      <c r="A14" s="9" t="n"/>
      <c r="B14" s="1" t="inlineStr">
        <is>
          <t>DOLV28</t>
        </is>
      </c>
    </row>
    <row r="15">
      <c r="A15" s="9" t="n"/>
      <c r="B15" s="1" t="inlineStr">
        <is>
          <t>DOLV28</t>
        </is>
      </c>
    </row>
    <row r="16">
      <c r="A16" s="9" t="n"/>
      <c r="B16" s="1" t="inlineStr">
        <is>
          <t>DOLV28</t>
        </is>
      </c>
    </row>
    <row r="17">
      <c r="A17" s="9" t="n"/>
      <c r="B17" s="1" t="inlineStr">
        <is>
          <t>DOLV28</t>
        </is>
      </c>
    </row>
    <row r="18">
      <c r="A18" s="9" t="n"/>
      <c r="B18" s="1" t="inlineStr">
        <is>
          <t>DOLV28</t>
        </is>
      </c>
    </row>
    <row r="19">
      <c r="A19" s="9" t="n"/>
      <c r="B19" s="1" t="inlineStr">
        <is>
          <t>DOLV28</t>
        </is>
      </c>
    </row>
    <row r="20">
      <c r="A20" s="9" t="n"/>
      <c r="B20" s="1" t="inlineStr">
        <is>
          <t>DOLV28</t>
        </is>
      </c>
    </row>
    <row r="21">
      <c r="A21" s="9" t="n"/>
      <c r="B21" s="1" t="inlineStr">
        <is>
          <t>DOLV28</t>
        </is>
      </c>
    </row>
    <row r="22">
      <c r="A22" s="9" t="n"/>
      <c r="B22" s="1" t="inlineStr">
        <is>
          <t>DOLV28</t>
        </is>
      </c>
    </row>
    <row r="23">
      <c r="A23" s="9" t="n"/>
      <c r="B23" s="1" t="inlineStr">
        <is>
          <t>DOLV28</t>
        </is>
      </c>
    </row>
    <row r="24">
      <c r="A24" s="9" t="n"/>
      <c r="B24" s="1" t="inlineStr">
        <is>
          <t>DOLV28</t>
        </is>
      </c>
    </row>
    <row r="25">
      <c r="A25" s="9" t="n"/>
      <c r="B25" s="1" t="inlineStr">
        <is>
          <t>DOLV28</t>
        </is>
      </c>
    </row>
    <row r="26">
      <c r="A26" s="9" t="n"/>
      <c r="B26" s="1" t="inlineStr">
        <is>
          <t>DOLV28</t>
        </is>
      </c>
    </row>
    <row r="27">
      <c r="A27" s="9" t="n"/>
      <c r="B27" s="1" t="inlineStr">
        <is>
          <t>DOLV28</t>
        </is>
      </c>
    </row>
    <row r="28">
      <c r="A28" s="9" t="n"/>
      <c r="B28" s="1" t="inlineStr">
        <is>
          <t>DOLV28</t>
        </is>
      </c>
    </row>
    <row r="29">
      <c r="A29" s="9" t="n"/>
      <c r="B29" s="1" t="inlineStr">
        <is>
          <t>DOLV28</t>
        </is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/>
      <c r="B12" s="1" t="inlineStr">
        <is>
          <t>DOLF29</t>
        </is>
      </c>
    </row>
    <row r="13">
      <c r="A13" s="9" t="n"/>
      <c r="B13" s="1" t="inlineStr">
        <is>
          <t>DOLF29</t>
        </is>
      </c>
    </row>
    <row r="14">
      <c r="A14" s="9" t="n"/>
      <c r="B14" s="1" t="inlineStr">
        <is>
          <t>DOLF29</t>
        </is>
      </c>
    </row>
    <row r="15">
      <c r="A15" s="9" t="n"/>
      <c r="B15" s="1" t="inlineStr">
        <is>
          <t>DOLF29</t>
        </is>
      </c>
    </row>
    <row r="16">
      <c r="A16" s="9" t="n"/>
      <c r="B16" s="1" t="inlineStr">
        <is>
          <t>DOLF29</t>
        </is>
      </c>
    </row>
    <row r="17">
      <c r="A17" s="9" t="n"/>
      <c r="B17" s="1" t="inlineStr">
        <is>
          <t>DOLF29</t>
        </is>
      </c>
    </row>
    <row r="18">
      <c r="A18" s="9" t="n"/>
      <c r="B18" s="1" t="inlineStr">
        <is>
          <t>DOLF29</t>
        </is>
      </c>
    </row>
    <row r="19">
      <c r="A19" s="9" t="n"/>
      <c r="B19" s="1" t="inlineStr">
        <is>
          <t>DOLF29</t>
        </is>
      </c>
    </row>
    <row r="20">
      <c r="A20" s="9" t="n"/>
      <c r="B20" s="1" t="inlineStr">
        <is>
          <t>DOLF29</t>
        </is>
      </c>
    </row>
    <row r="21">
      <c r="A21" s="9" t="n"/>
      <c r="B21" s="1" t="inlineStr">
        <is>
          <t>DOLF29</t>
        </is>
      </c>
    </row>
    <row r="22">
      <c r="A22" s="9" t="n"/>
      <c r="B22" s="1" t="inlineStr">
        <is>
          <t>DOLF29</t>
        </is>
      </c>
    </row>
    <row r="23">
      <c r="A23" s="9" t="n"/>
      <c r="B23" s="1" t="inlineStr">
        <is>
          <t>DOLF29</t>
        </is>
      </c>
    </row>
    <row r="24">
      <c r="A24" s="9" t="n"/>
      <c r="B24" s="1" t="inlineStr">
        <is>
          <t>DOLF29</t>
        </is>
      </c>
    </row>
    <row r="25">
      <c r="A25" s="9" t="n"/>
      <c r="B25" s="1" t="inlineStr">
        <is>
          <t>DOLF29</t>
        </is>
      </c>
    </row>
    <row r="26">
      <c r="A26" s="9" t="n"/>
      <c r="B26" s="1" t="inlineStr">
        <is>
          <t>DOLF29</t>
        </is>
      </c>
    </row>
    <row r="27">
      <c r="A27" s="9" t="n"/>
      <c r="B27" s="1" t="inlineStr">
        <is>
          <t>DOLF29</t>
        </is>
      </c>
    </row>
    <row r="28">
      <c r="A28" s="9" t="n"/>
      <c r="B28" s="1" t="inlineStr">
        <is>
          <t>DOLF29</t>
        </is>
      </c>
    </row>
    <row r="29">
      <c r="A29" s="9" t="n"/>
      <c r="B29" s="1" t="inlineStr">
        <is>
          <t>DOLF29</t>
        </is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/>
      <c r="B12" s="1" t="inlineStr">
        <is>
          <t>DOLJ29</t>
        </is>
      </c>
    </row>
    <row r="13">
      <c r="A13" s="9" t="n"/>
      <c r="B13" s="1" t="inlineStr">
        <is>
          <t>DOLJ29</t>
        </is>
      </c>
    </row>
    <row r="14">
      <c r="A14" s="9" t="n"/>
      <c r="B14" s="1" t="inlineStr">
        <is>
          <t>DOLJ29</t>
        </is>
      </c>
    </row>
    <row r="15">
      <c r="A15" s="9" t="n"/>
      <c r="B15" s="1" t="inlineStr">
        <is>
          <t>DOLJ29</t>
        </is>
      </c>
    </row>
    <row r="16">
      <c r="A16" s="9" t="n"/>
      <c r="B16" s="1" t="inlineStr">
        <is>
          <t>DOLJ29</t>
        </is>
      </c>
    </row>
    <row r="17">
      <c r="A17" s="9" t="n"/>
      <c r="B17" s="1" t="inlineStr">
        <is>
          <t>DOLJ29</t>
        </is>
      </c>
    </row>
    <row r="18">
      <c r="A18" s="9" t="n"/>
      <c r="B18" s="1" t="inlineStr">
        <is>
          <t>DOLJ29</t>
        </is>
      </c>
    </row>
    <row r="19">
      <c r="A19" s="9" t="n"/>
      <c r="B19" s="1" t="inlineStr">
        <is>
          <t>DOLJ29</t>
        </is>
      </c>
    </row>
    <row r="20">
      <c r="A20" s="9" t="n"/>
      <c r="B20" s="1" t="inlineStr">
        <is>
          <t>DOLJ29</t>
        </is>
      </c>
    </row>
    <row r="21">
      <c r="A21" s="9" t="n"/>
      <c r="B21" s="1" t="inlineStr">
        <is>
          <t>DOLJ29</t>
        </is>
      </c>
    </row>
    <row r="22">
      <c r="A22" s="9" t="n"/>
      <c r="B22" s="1" t="inlineStr">
        <is>
          <t>DOLJ29</t>
        </is>
      </c>
    </row>
    <row r="23">
      <c r="A23" s="9" t="n"/>
      <c r="B23" s="1" t="inlineStr">
        <is>
          <t>DOLJ29</t>
        </is>
      </c>
    </row>
    <row r="24">
      <c r="A24" s="9" t="n"/>
      <c r="B24" s="1" t="inlineStr">
        <is>
          <t>DOLJ29</t>
        </is>
      </c>
    </row>
    <row r="25">
      <c r="A25" s="9" t="n"/>
      <c r="B25" s="1" t="inlineStr">
        <is>
          <t>DOLJ29</t>
        </is>
      </c>
    </row>
    <row r="26">
      <c r="A26" s="9" t="n"/>
      <c r="B26" s="1" t="inlineStr">
        <is>
          <t>DOLJ29</t>
        </is>
      </c>
    </row>
    <row r="27">
      <c r="A27" s="9" t="n"/>
      <c r="B27" s="1" t="inlineStr">
        <is>
          <t>DOLJ29</t>
        </is>
      </c>
    </row>
    <row r="28">
      <c r="A28" s="9" t="n"/>
      <c r="B28" s="1" t="inlineStr">
        <is>
          <t>DOLJ29</t>
        </is>
      </c>
    </row>
    <row r="29">
      <c r="A29" s="9" t="n"/>
      <c r="B29" s="1" t="inlineStr">
        <is>
          <t>DOLJ29</t>
        </is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/>
      <c r="B12" s="1" t="inlineStr">
        <is>
          <t>DOLN29</t>
        </is>
      </c>
    </row>
    <row r="13">
      <c r="A13" s="9" t="n"/>
      <c r="B13" s="1" t="inlineStr">
        <is>
          <t>DOLN29</t>
        </is>
      </c>
    </row>
    <row r="14">
      <c r="A14" s="9" t="n"/>
      <c r="B14" s="1" t="inlineStr">
        <is>
          <t>DOLN29</t>
        </is>
      </c>
    </row>
    <row r="15">
      <c r="A15" s="9" t="n"/>
      <c r="B15" s="1" t="inlineStr">
        <is>
          <t>DOLN29</t>
        </is>
      </c>
    </row>
    <row r="16">
      <c r="A16" s="9" t="n"/>
      <c r="B16" s="1" t="inlineStr">
        <is>
          <t>DOLN29</t>
        </is>
      </c>
    </row>
    <row r="17">
      <c r="A17" s="9" t="n"/>
      <c r="B17" s="1" t="inlineStr">
        <is>
          <t>DOLN29</t>
        </is>
      </c>
    </row>
    <row r="18">
      <c r="A18" s="9" t="n"/>
      <c r="B18" s="1" t="inlineStr">
        <is>
          <t>DOLN29</t>
        </is>
      </c>
    </row>
    <row r="19">
      <c r="A19" s="9" t="n"/>
      <c r="B19" s="1" t="inlineStr">
        <is>
          <t>DOLN29</t>
        </is>
      </c>
    </row>
    <row r="20">
      <c r="A20" s="9" t="n"/>
      <c r="B20" s="1" t="inlineStr">
        <is>
          <t>DOLN29</t>
        </is>
      </c>
    </row>
    <row r="21">
      <c r="A21" s="9" t="n"/>
      <c r="B21" s="1" t="inlineStr">
        <is>
          <t>DOLN29</t>
        </is>
      </c>
    </row>
    <row r="22">
      <c r="A22" s="9" t="n"/>
      <c r="B22" s="1" t="inlineStr">
        <is>
          <t>DOLN29</t>
        </is>
      </c>
    </row>
    <row r="23">
      <c r="A23" s="9" t="n"/>
      <c r="B23" s="1" t="inlineStr">
        <is>
          <t>DOLN29</t>
        </is>
      </c>
    </row>
    <row r="24">
      <c r="A24" s="9" t="n"/>
      <c r="B24" s="1" t="inlineStr">
        <is>
          <t>DOLN29</t>
        </is>
      </c>
    </row>
    <row r="25">
      <c r="A25" s="9" t="n"/>
      <c r="B25" s="1" t="inlineStr">
        <is>
          <t>DOLN29</t>
        </is>
      </c>
    </row>
    <row r="26">
      <c r="A26" s="9" t="n"/>
      <c r="B26" s="1" t="inlineStr">
        <is>
          <t>DOLN29</t>
        </is>
      </c>
    </row>
    <row r="27">
      <c r="A27" s="9" t="n"/>
      <c r="B27" s="1" t="inlineStr">
        <is>
          <t>DOLN29</t>
        </is>
      </c>
    </row>
    <row r="28">
      <c r="A28" s="9" t="n"/>
      <c r="B28" s="1" t="inlineStr">
        <is>
          <t>DOLN29</t>
        </is>
      </c>
    </row>
    <row r="29">
      <c r="A29" s="9" t="n"/>
      <c r="B29" s="1" t="inlineStr">
        <is>
          <t>DOLN29</t>
        </is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D10" sqref="D10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DOLF30</t>
        </is>
      </c>
      <c r="C2" t="n">
        <v>6714.071</v>
      </c>
    </row>
    <row r="3">
      <c r="A3" s="9" t="n">
        <v>46189</v>
      </c>
      <c r="B3" s="1" t="inlineStr">
        <is>
          <t>DOLF30</t>
        </is>
      </c>
      <c r="C3" t="n">
        <v>6763.351</v>
      </c>
    </row>
    <row r="4">
      <c r="A4" s="9" t="n">
        <v>46190</v>
      </c>
      <c r="B4" s="1" t="inlineStr">
        <is>
          <t>DOLF30</t>
        </is>
      </c>
      <c r="C4" t="n">
        <v>6762.664</v>
      </c>
    </row>
    <row r="5">
      <c r="A5" s="9" t="n">
        <v>46191</v>
      </c>
      <c r="B5" s="1" t="inlineStr">
        <is>
          <t>DOLF30</t>
        </is>
      </c>
      <c r="C5" t="n">
        <v>6930.334</v>
      </c>
    </row>
    <row r="6">
      <c r="A6" s="9" t="n">
        <v>46192</v>
      </c>
      <c r="B6" s="1" t="inlineStr">
        <is>
          <t>DOLF30</t>
        </is>
      </c>
      <c r="C6" t="n">
        <v>6907.846</v>
      </c>
    </row>
    <row r="7">
      <c r="A7" s="9" t="n">
        <v>46195</v>
      </c>
      <c r="B7" s="1" t="inlineStr">
        <is>
          <t>DOLF30</t>
        </is>
      </c>
      <c r="C7" t="n">
        <v>6861.518</v>
      </c>
    </row>
    <row r="8">
      <c r="A8" s="9" t="n">
        <v>46196</v>
      </c>
      <c r="B8" s="1" t="inlineStr">
        <is>
          <t>DOLF30</t>
        </is>
      </c>
      <c r="C8" t="n">
        <v>6897.266</v>
      </c>
    </row>
    <row r="9">
      <c r="A9" s="9" t="n">
        <v>46197</v>
      </c>
      <c r="B9" s="1" t="inlineStr">
        <is>
          <t>DOLF30</t>
        </is>
      </c>
      <c r="C9" t="n">
        <v>6856.052</v>
      </c>
    </row>
    <row r="10">
      <c r="A10" s="9" t="n">
        <v>46198</v>
      </c>
      <c r="B10" s="1" t="inlineStr">
        <is>
          <t>DOLF30</t>
        </is>
      </c>
      <c r="C10" t="n">
        <v>6841.178</v>
      </c>
    </row>
    <row r="11">
      <c r="A11" s="9" t="n">
        <v>46199</v>
      </c>
      <c r="B11" s="1" t="inlineStr">
        <is>
          <t>DOLF30</t>
        </is>
      </c>
      <c r="C11" t="n">
        <v>6810.66</v>
      </c>
    </row>
    <row r="12">
      <c r="A12" s="9" t="n"/>
      <c r="B12" s="1" t="inlineStr">
        <is>
          <t>DOLF30</t>
        </is>
      </c>
    </row>
    <row r="13">
      <c r="A13" s="9" t="n"/>
      <c r="B13" s="1" t="inlineStr">
        <is>
          <t>DOLF30</t>
        </is>
      </c>
    </row>
    <row r="14">
      <c r="A14" s="9" t="n"/>
      <c r="B14" s="1" t="inlineStr">
        <is>
          <t>DOLF30</t>
        </is>
      </c>
    </row>
    <row r="15">
      <c r="A15" s="9" t="n"/>
      <c r="B15" s="1" t="inlineStr">
        <is>
          <t>DOLF30</t>
        </is>
      </c>
    </row>
    <row r="16">
      <c r="A16" s="9" t="n"/>
      <c r="B16" s="1" t="inlineStr">
        <is>
          <t>DOLF30</t>
        </is>
      </c>
    </row>
    <row r="17">
      <c r="A17" s="9" t="n"/>
      <c r="B17" s="1" t="inlineStr">
        <is>
          <t>DOLF30</t>
        </is>
      </c>
    </row>
    <row r="18">
      <c r="A18" s="9" t="n"/>
      <c r="B18" s="1" t="inlineStr">
        <is>
          <t>DOLF30</t>
        </is>
      </c>
    </row>
    <row r="19">
      <c r="A19" s="9" t="n"/>
      <c r="B19" s="1" t="inlineStr">
        <is>
          <t>DOLF30</t>
        </is>
      </c>
    </row>
    <row r="20">
      <c r="A20" s="9" t="n"/>
      <c r="B20" s="1" t="inlineStr">
        <is>
          <t>DOLF30</t>
        </is>
      </c>
    </row>
    <row r="21">
      <c r="A21" s="9" t="n"/>
      <c r="B21" s="1" t="inlineStr">
        <is>
          <t>DOLF30</t>
        </is>
      </c>
    </row>
    <row r="22">
      <c r="A22" s="9" t="n"/>
      <c r="B22" s="1" t="inlineStr">
        <is>
          <t>DOLF30</t>
        </is>
      </c>
    </row>
    <row r="23">
      <c r="A23" s="9" t="n"/>
      <c r="B23" s="1" t="inlineStr">
        <is>
          <t>DOLF30</t>
        </is>
      </c>
    </row>
    <row r="24">
      <c r="A24" s="9" t="n"/>
      <c r="B24" s="1" t="inlineStr">
        <is>
          <t>DOLF30</t>
        </is>
      </c>
    </row>
    <row r="25">
      <c r="A25" s="9" t="n"/>
      <c r="B25" s="1" t="inlineStr">
        <is>
          <t>DOLF30</t>
        </is>
      </c>
    </row>
    <row r="26">
      <c r="A26" s="9" t="n"/>
      <c r="B26" s="1" t="inlineStr">
        <is>
          <t>DOLF30</t>
        </is>
      </c>
    </row>
    <row r="27">
      <c r="A27" s="9" t="n"/>
      <c r="B27" s="1" t="inlineStr">
        <is>
          <t>DOLF30</t>
        </is>
      </c>
    </row>
    <row r="28">
      <c r="A28" s="9" t="n"/>
      <c r="B28" s="1" t="inlineStr">
        <is>
          <t>DOLF30</t>
        </is>
      </c>
    </row>
    <row r="29">
      <c r="A29" s="9" t="n"/>
      <c r="B29" s="1" t="inlineStr">
        <is>
          <t>DOLF30</t>
        </is>
      </c>
    </row>
    <row r="30">
      <c r="A30" s="9" t="n"/>
      <c r="B30" s="1" t="inlineStr">
        <is>
          <t>DOLF30</t>
        </is>
      </c>
    </row>
    <row r="31">
      <c r="A31" s="9" t="n"/>
      <c r="B31" s="1" t="inlineStr">
        <is>
          <t>DOLF30</t>
        </is>
      </c>
    </row>
    <row r="32">
      <c r="A32" s="9" t="n"/>
      <c r="B32" s="1" t="inlineStr">
        <is>
          <t>DOLF30</t>
        </is>
      </c>
    </row>
    <row r="33">
      <c r="A33" s="9" t="n"/>
      <c r="B33" s="1" t="inlineStr">
        <is>
          <t>DOLF30</t>
        </is>
      </c>
    </row>
    <row r="34">
      <c r="A34" s="9" t="n"/>
      <c r="B34" s="1" t="inlineStr">
        <is>
          <t>DOLF30</t>
        </is>
      </c>
    </row>
    <row r="35">
      <c r="A35" s="9" t="n"/>
      <c r="B35" s="1" t="inlineStr">
        <is>
          <t>DOLF30</t>
        </is>
      </c>
    </row>
    <row r="36">
      <c r="A36" s="9" t="n"/>
      <c r="B36" s="1" t="inlineStr">
        <is>
          <t>DOLF30</t>
        </is>
      </c>
    </row>
    <row r="37">
      <c r="A37" s="9" t="n"/>
      <c r="B37" s="1" t="inlineStr">
        <is>
          <t>DOLF30</t>
        </is>
      </c>
    </row>
    <row r="38">
      <c r="A38" s="9" t="n"/>
      <c r="B38" s="1" t="inlineStr">
        <is>
          <t>DOLF30</t>
        </is>
      </c>
    </row>
    <row r="39">
      <c r="A39" s="9" t="n"/>
      <c r="B39" s="1" t="inlineStr">
        <is>
          <t>DOLF30</t>
        </is>
      </c>
    </row>
    <row r="40">
      <c r="A40" s="9" t="n"/>
      <c r="B40" s="1" t="inlineStr">
        <is>
          <t>DOLF30</t>
        </is>
      </c>
    </row>
    <row r="41">
      <c r="A41" s="9" t="n"/>
      <c r="B41" s="1" t="inlineStr">
        <is>
          <t>DOLF30</t>
        </is>
      </c>
    </row>
    <row r="42">
      <c r="A42" s="9" t="n"/>
      <c r="B42" s="1" t="inlineStr">
        <is>
          <t>DOLF30</t>
        </is>
      </c>
    </row>
    <row r="43">
      <c r="A43" s="9" t="n"/>
      <c r="B43" s="1" t="inlineStr">
        <is>
          <t>DOLF30</t>
        </is>
      </c>
    </row>
    <row r="44">
      <c r="A44" s="9" t="n"/>
      <c r="B44" s="1" t="inlineStr">
        <is>
          <t>DOLF30</t>
        </is>
      </c>
    </row>
    <row r="45">
      <c r="A45" s="9" t="n"/>
      <c r="B45" s="1" t="inlineStr">
        <is>
          <t>DOLF30</t>
        </is>
      </c>
    </row>
    <row r="46">
      <c r="A46" s="9" t="n"/>
      <c r="B46" s="1" t="inlineStr">
        <is>
          <t>DOLF30</t>
        </is>
      </c>
    </row>
    <row r="47">
      <c r="A47" s="9" t="n"/>
      <c r="B47" s="1" t="inlineStr">
        <is>
          <t>DOLF30</t>
        </is>
      </c>
    </row>
    <row r="48">
      <c r="A48" s="9" t="n"/>
      <c r="B48" s="1" t="inlineStr">
        <is>
          <t>DOLF30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/>
      <c r="B12" s="1" t="inlineStr">
        <is>
          <t>DOLN30</t>
        </is>
      </c>
    </row>
    <row r="13">
      <c r="A13" s="9" t="n"/>
      <c r="B13" s="1" t="inlineStr">
        <is>
          <t>DOLN30</t>
        </is>
      </c>
    </row>
    <row r="14">
      <c r="A14" s="9" t="n"/>
      <c r="B14" s="1" t="inlineStr">
        <is>
          <t>DOLN30</t>
        </is>
      </c>
    </row>
    <row r="15">
      <c r="A15" s="9" t="n"/>
      <c r="B15" s="1" t="inlineStr">
        <is>
          <t>DOLN30</t>
        </is>
      </c>
    </row>
    <row r="16">
      <c r="A16" s="9" t="n"/>
      <c r="B16" s="1" t="inlineStr">
        <is>
          <t>DOLN30</t>
        </is>
      </c>
    </row>
    <row r="17">
      <c r="A17" s="9" t="n"/>
      <c r="B17" s="1" t="inlineStr">
        <is>
          <t>DOLN30</t>
        </is>
      </c>
    </row>
    <row r="18">
      <c r="A18" s="9" t="n"/>
      <c r="B18" s="1" t="inlineStr">
        <is>
          <t>DOLN30</t>
        </is>
      </c>
    </row>
    <row r="19">
      <c r="A19" s="9" t="n"/>
      <c r="B19" s="1" t="inlineStr">
        <is>
          <t>DOLN30</t>
        </is>
      </c>
    </row>
    <row r="20">
      <c r="A20" s="9" t="n"/>
      <c r="B20" s="1" t="inlineStr">
        <is>
          <t>DOLN30</t>
        </is>
      </c>
    </row>
    <row r="21">
      <c r="A21" s="9" t="n"/>
      <c r="B21" s="1" t="inlineStr">
        <is>
          <t>DOLN30</t>
        </is>
      </c>
    </row>
    <row r="22">
      <c r="A22" s="9" t="n"/>
      <c r="B22" s="1" t="inlineStr">
        <is>
          <t>DOLN30</t>
        </is>
      </c>
    </row>
    <row r="23">
      <c r="A23" s="9" t="n"/>
      <c r="B23" s="1" t="inlineStr">
        <is>
          <t>DOLN30</t>
        </is>
      </c>
    </row>
    <row r="24">
      <c r="A24" s="9" t="n"/>
      <c r="B24" s="1" t="inlineStr">
        <is>
          <t>DOLN30</t>
        </is>
      </c>
    </row>
    <row r="25">
      <c r="A25" s="9" t="n"/>
      <c r="B25" s="1" t="inlineStr">
        <is>
          <t>DOLN30</t>
        </is>
      </c>
    </row>
    <row r="26">
      <c r="A26" s="9" t="n"/>
      <c r="B26" s="1" t="inlineStr">
        <is>
          <t>DOLN30</t>
        </is>
      </c>
    </row>
    <row r="27">
      <c r="A27" s="9" t="n"/>
      <c r="B27" s="1" t="inlineStr">
        <is>
          <t>DOLN30</t>
        </is>
      </c>
    </row>
    <row r="28">
      <c r="A28" s="9" t="n"/>
      <c r="B28" s="1" t="inlineStr">
        <is>
          <t>DOLN30</t>
        </is>
      </c>
    </row>
    <row r="29">
      <c r="A29" s="9" t="n"/>
      <c r="B29" s="1" t="inlineStr">
        <is>
          <t>DOLN30</t>
        </is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E11" sqref="E11"/>
    </sheetView>
  </sheetViews>
  <sheetFormatPr baseColWidth="8" defaultRowHeight="15"/>
  <cols>
    <col width="12.5703125" bestFit="1" customWidth="1" style="2" min="1" max="1"/>
    <col width="9.140625" customWidth="1" style="1" min="2" max="29"/>
    <col width="9.140625" customWidth="1" style="1" min="3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/>
      <c r="B12" s="1" t="inlineStr">
        <is>
          <t>DOLF31</t>
        </is>
      </c>
    </row>
    <row r="13">
      <c r="A13" s="9" t="n"/>
      <c r="B13" s="1" t="inlineStr">
        <is>
          <t>DOLF31</t>
        </is>
      </c>
    </row>
    <row r="14">
      <c r="A14" s="9" t="n"/>
      <c r="B14" s="1" t="inlineStr">
        <is>
          <t>DOLF31</t>
        </is>
      </c>
    </row>
    <row r="15">
      <c r="A15" s="9" t="n"/>
      <c r="B15" s="1" t="inlineStr">
        <is>
          <t>DOLF31</t>
        </is>
      </c>
    </row>
    <row r="16">
      <c r="A16" s="9" t="n"/>
      <c r="B16" s="1" t="inlineStr">
        <is>
          <t>DOLF31</t>
        </is>
      </c>
    </row>
    <row r="17">
      <c r="A17" s="9" t="n"/>
      <c r="B17" s="1" t="inlineStr">
        <is>
          <t>DOLF31</t>
        </is>
      </c>
    </row>
    <row r="18">
      <c r="A18" s="9" t="n"/>
      <c r="B18" s="1" t="inlineStr">
        <is>
          <t>DOLF31</t>
        </is>
      </c>
    </row>
    <row r="19">
      <c r="A19" s="9" t="n"/>
      <c r="B19" s="1" t="inlineStr">
        <is>
          <t>DOLF31</t>
        </is>
      </c>
    </row>
    <row r="20">
      <c r="A20" s="9" t="n"/>
      <c r="B20" s="1" t="inlineStr">
        <is>
          <t>DOLF31</t>
        </is>
      </c>
    </row>
    <row r="21">
      <c r="A21" s="9" t="n"/>
      <c r="B21" s="1" t="inlineStr">
        <is>
          <t>DOLF31</t>
        </is>
      </c>
    </row>
    <row r="22">
      <c r="A22" s="9" t="n"/>
      <c r="B22" s="1" t="inlineStr">
        <is>
          <t>DOLF31</t>
        </is>
      </c>
    </row>
    <row r="23">
      <c r="A23" s="9" t="n"/>
      <c r="B23" s="1" t="inlineStr">
        <is>
          <t>DOLF31</t>
        </is>
      </c>
    </row>
    <row r="24">
      <c r="A24" s="9" t="n"/>
      <c r="B24" s="1" t="inlineStr">
        <is>
          <t>DOLF31</t>
        </is>
      </c>
    </row>
    <row r="25">
      <c r="A25" s="9" t="n"/>
      <c r="B25" s="1" t="inlineStr">
        <is>
          <t>DOLF31</t>
        </is>
      </c>
    </row>
    <row r="26">
      <c r="A26" s="9" t="n"/>
      <c r="B26" s="1" t="inlineStr">
        <is>
          <t>DOLF31</t>
        </is>
      </c>
    </row>
    <row r="27">
      <c r="A27" s="9" t="n"/>
      <c r="B27" s="1" t="inlineStr">
        <is>
          <t>DOLF31</t>
        </is>
      </c>
    </row>
    <row r="28">
      <c r="A28" s="9" t="n"/>
      <c r="B28" s="1" t="inlineStr">
        <is>
          <t>DOLF31</t>
        </is>
      </c>
    </row>
    <row r="29">
      <c r="A29" s="9" t="n"/>
      <c r="B29" s="1" t="inlineStr">
        <is>
          <t>DOLF31</t>
        </is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111.42578125" bestFit="1" customWidth="1" min="1" max="1"/>
    <col width="6.85546875" bestFit="1" customWidth="1" min="2" max="13"/>
  </cols>
  <sheetData>
    <row r="1" ht="15.75" customHeight="1">
      <c r="A1" s="33" t="inlineStr">
        <is>
          <t>Tabela IGP-M Mensal (%) - FGV  |  Base para correção: Dezembro de 2025  |  Fonte: FGV via dadosdemercado.com.br</t>
        </is>
      </c>
    </row>
    <row r="2">
      <c r="A2" s="34" t="inlineStr">
        <is>
          <t>Ano</t>
        </is>
      </c>
      <c r="B2" s="34" t="inlineStr">
        <is>
          <t>Jan</t>
        </is>
      </c>
      <c r="C2" s="34" t="inlineStr">
        <is>
          <t>Fev</t>
        </is>
      </c>
      <c r="D2" s="34" t="inlineStr">
        <is>
          <t>Mar</t>
        </is>
      </c>
      <c r="E2" s="34" t="inlineStr">
        <is>
          <t>Abr</t>
        </is>
      </c>
      <c r="F2" s="34" t="inlineStr">
        <is>
          <t>Mai</t>
        </is>
      </c>
      <c r="G2" s="34" t="inlineStr">
        <is>
          <t>Jun</t>
        </is>
      </c>
      <c r="H2" s="34" t="inlineStr">
        <is>
          <t>Jul</t>
        </is>
      </c>
      <c r="I2" s="34" t="inlineStr">
        <is>
          <t>Ago</t>
        </is>
      </c>
      <c r="J2" s="34" t="inlineStr">
        <is>
          <t>Set</t>
        </is>
      </c>
      <c r="K2" s="34" t="inlineStr">
        <is>
          <t>Out</t>
        </is>
      </c>
      <c r="L2" s="34" t="inlineStr">
        <is>
          <t>Nov</t>
        </is>
      </c>
      <c r="M2" s="34" t="inlineStr">
        <is>
          <t>Dez</t>
        </is>
      </c>
    </row>
    <row r="3">
      <c r="A3" s="34" t="n">
        <v>2003</v>
      </c>
      <c r="B3" s="44" t="n">
        <v>0.0233</v>
      </c>
      <c r="C3" s="44" t="n">
        <v>0.0228</v>
      </c>
      <c r="D3" s="44" t="n">
        <v>0.0153</v>
      </c>
      <c r="E3" s="44" t="n">
        <v>0.0092</v>
      </c>
      <c r="F3" s="44" t="n">
        <v>-0.0026</v>
      </c>
      <c r="G3" s="44" t="n">
        <v>-0.01</v>
      </c>
      <c r="H3" s="44" t="n">
        <v>-0.0042</v>
      </c>
      <c r="I3" s="44" t="n">
        <v>0.0038</v>
      </c>
      <c r="J3" s="44" t="n">
        <v>0.0118</v>
      </c>
      <c r="K3" s="44" t="n">
        <v>0.0038</v>
      </c>
      <c r="L3" s="44" t="n">
        <v>0.0049</v>
      </c>
      <c r="M3" s="44" t="n">
        <v>0.0061</v>
      </c>
    </row>
    <row r="4">
      <c r="A4" s="45" t="n">
        <v>2004</v>
      </c>
      <c r="B4" s="36" t="n">
        <v>0.008800000000000001</v>
      </c>
      <c r="C4" s="36" t="n">
        <v>0.0069</v>
      </c>
      <c r="D4" s="35" t="n">
        <v>0.0113</v>
      </c>
      <c r="E4" s="35" t="n">
        <v>0.0121</v>
      </c>
      <c r="F4" s="35" t="n">
        <v>0.0131</v>
      </c>
      <c r="G4" s="35" t="n">
        <v>0.0138</v>
      </c>
      <c r="H4" s="35" t="n">
        <v>0.0131</v>
      </c>
      <c r="I4" s="35" t="n">
        <v>0.0122</v>
      </c>
      <c r="J4" s="35" t="n">
        <v>0.0069</v>
      </c>
      <c r="K4" s="35" t="n">
        <v>0.0039</v>
      </c>
      <c r="L4" s="35" t="n">
        <v>0.008200000000000001</v>
      </c>
      <c r="M4" s="35" t="n">
        <v>0.0074</v>
      </c>
    </row>
    <row r="5">
      <c r="A5" s="46" t="n">
        <v>2005</v>
      </c>
      <c r="B5" s="35" t="n">
        <v>0.0039</v>
      </c>
      <c r="C5" s="35" t="n">
        <v>0.003</v>
      </c>
      <c r="D5" s="35" t="n">
        <v>0.008500000000000001</v>
      </c>
      <c r="E5" s="35" t="n">
        <v>0.0086</v>
      </c>
      <c r="F5" s="35" t="n">
        <v>-0.0022</v>
      </c>
      <c r="G5" s="35" t="n">
        <v>-0.0044</v>
      </c>
      <c r="H5" s="35" t="n">
        <v>-0.0034</v>
      </c>
      <c r="I5" s="35" t="n">
        <v>-0.0065</v>
      </c>
      <c r="J5" s="35" t="n">
        <v>-0.0053</v>
      </c>
      <c r="K5" s="35" t="n">
        <v>0.006</v>
      </c>
      <c r="L5" s="35" t="n">
        <v>0.004</v>
      </c>
      <c r="M5" s="35" t="n">
        <v>-0.0001</v>
      </c>
    </row>
    <row r="6">
      <c r="A6" s="45" t="n">
        <v>2006</v>
      </c>
      <c r="B6" s="36" t="n">
        <v>0.0092</v>
      </c>
      <c r="C6" s="36" t="n">
        <v>0.0001</v>
      </c>
      <c r="D6" s="35" t="n">
        <v>-0.0023</v>
      </c>
      <c r="E6" s="35" t="n">
        <v>-0.0042</v>
      </c>
      <c r="F6" s="35" t="n">
        <v>0.0038</v>
      </c>
      <c r="G6" s="35" t="n">
        <v>0.0075</v>
      </c>
      <c r="H6" s="35" t="n">
        <v>0.0018</v>
      </c>
      <c r="I6" s="35" t="n">
        <v>0.0037</v>
      </c>
      <c r="J6" s="35" t="n">
        <v>0.0029</v>
      </c>
      <c r="K6" s="35" t="n">
        <v>0.0047</v>
      </c>
      <c r="L6" s="35" t="n">
        <v>0.0075</v>
      </c>
      <c r="M6" s="35" t="n">
        <v>0.0032</v>
      </c>
    </row>
    <row r="7">
      <c r="A7" s="46" t="n">
        <v>2007</v>
      </c>
      <c r="B7" s="35" t="n">
        <v>0.005</v>
      </c>
      <c r="C7" s="35" t="n">
        <v>0.0027</v>
      </c>
      <c r="D7" s="35" t="n">
        <v>0.0034</v>
      </c>
      <c r="E7" s="35" t="n">
        <v>0.0004</v>
      </c>
      <c r="F7" s="35" t="n">
        <v>0.0004</v>
      </c>
      <c r="G7" s="35" t="n">
        <v>0.0026</v>
      </c>
      <c r="H7" s="35" t="n">
        <v>0.0028</v>
      </c>
      <c r="I7" s="35" t="n">
        <v>0.0098</v>
      </c>
      <c r="J7" s="35" t="n">
        <v>0.0129</v>
      </c>
      <c r="K7" s="35" t="n">
        <v>0.0105</v>
      </c>
      <c r="L7" s="35" t="n">
        <v>0.0069</v>
      </c>
      <c r="M7" s="35" t="n">
        <v>0.0176</v>
      </c>
    </row>
    <row r="8">
      <c r="A8" s="45" t="n">
        <v>2008</v>
      </c>
      <c r="B8" s="36" t="n">
        <v>0.0109</v>
      </c>
      <c r="C8" s="36" t="n">
        <v>0.0053</v>
      </c>
      <c r="D8" s="35" t="n">
        <v>0.0074</v>
      </c>
      <c r="E8" s="35" t="n">
        <v>0.0069</v>
      </c>
      <c r="F8" s="35" t="n">
        <v>0.0161</v>
      </c>
      <c r="G8" s="35" t="n">
        <v>0.0198</v>
      </c>
      <c r="H8" s="35" t="n">
        <v>0.0176</v>
      </c>
      <c r="I8" s="35" t="n">
        <v>-0.0032</v>
      </c>
      <c r="J8" s="35" t="n">
        <v>0.0011</v>
      </c>
      <c r="K8" s="35" t="n">
        <v>0.0098</v>
      </c>
      <c r="L8" s="35" t="n">
        <v>0.0038</v>
      </c>
      <c r="M8" s="35" t="n">
        <v>-0.0013</v>
      </c>
    </row>
    <row r="9">
      <c r="A9" s="46" t="n">
        <v>2009</v>
      </c>
      <c r="B9" s="35" t="n">
        <v>-0.0044</v>
      </c>
      <c r="C9" s="35" t="n">
        <v>0.0026</v>
      </c>
      <c r="D9" s="35" t="n">
        <v>-0.0074</v>
      </c>
      <c r="E9" s="35" t="n">
        <v>-0.0015</v>
      </c>
      <c r="F9" s="35" t="n">
        <v>-0.0007</v>
      </c>
      <c r="G9" s="35" t="n">
        <v>-0.001</v>
      </c>
      <c r="H9" s="35" t="n">
        <v>-0.0043</v>
      </c>
      <c r="I9" s="35" t="n">
        <v>-0.0036</v>
      </c>
      <c r="J9" s="35" t="n">
        <v>0.0042</v>
      </c>
      <c r="K9" s="35" t="n">
        <v>0.0005</v>
      </c>
      <c r="L9" s="35" t="n">
        <v>0.001</v>
      </c>
      <c r="M9" s="35" t="n">
        <v>-0.0026</v>
      </c>
    </row>
    <row r="10">
      <c r="A10" s="45" t="n">
        <v>2010</v>
      </c>
      <c r="B10" s="36" t="n">
        <v>0.0063</v>
      </c>
      <c r="C10" s="36" t="n">
        <v>0.0118</v>
      </c>
      <c r="D10" s="35" t="n">
        <v>0.0094</v>
      </c>
      <c r="E10" s="35" t="n">
        <v>0.0077</v>
      </c>
      <c r="F10" s="35" t="n">
        <v>0.0119</v>
      </c>
      <c r="G10" s="35" t="n">
        <v>0.008500000000000001</v>
      </c>
      <c r="H10" s="35" t="n">
        <v>0.0015</v>
      </c>
      <c r="I10" s="35" t="n">
        <v>0.0077</v>
      </c>
      <c r="J10" s="35" t="n">
        <v>0.0115</v>
      </c>
      <c r="K10" s="35" t="n">
        <v>0.0101</v>
      </c>
      <c r="L10" s="35" t="n">
        <v>0.0145</v>
      </c>
      <c r="M10" s="35" t="n">
        <v>0.0069</v>
      </c>
    </row>
    <row r="11">
      <c r="A11" s="46" t="n">
        <v>2011</v>
      </c>
      <c r="B11" s="35" t="n">
        <v>0.007900000000000001</v>
      </c>
      <c r="C11" s="35" t="n">
        <v>0.01</v>
      </c>
      <c r="D11" s="35" t="n">
        <v>0.0062</v>
      </c>
      <c r="E11" s="35" t="n">
        <v>0.0045</v>
      </c>
      <c r="F11" s="35" t="n">
        <v>0.0043</v>
      </c>
      <c r="G11" s="35" t="n">
        <v>-0.0018</v>
      </c>
      <c r="H11" s="35" t="n">
        <v>-0.0012</v>
      </c>
      <c r="I11" s="35" t="n">
        <v>0.0044</v>
      </c>
      <c r="J11" s="35" t="n">
        <v>0.0065</v>
      </c>
      <c r="K11" s="35" t="n">
        <v>0.0053</v>
      </c>
      <c r="L11" s="35" t="n">
        <v>0.005</v>
      </c>
      <c r="M11" s="35" t="n">
        <v>-0.0012</v>
      </c>
    </row>
    <row r="12">
      <c r="A12" s="45" t="n">
        <v>2012</v>
      </c>
      <c r="B12" s="36" t="n">
        <v>0.0025</v>
      </c>
      <c r="C12" s="36" t="n">
        <v>-0.0005999999999999999</v>
      </c>
      <c r="D12" s="35" t="n">
        <v>0.0043</v>
      </c>
      <c r="E12" s="35" t="n">
        <v>0.008500000000000001</v>
      </c>
      <c r="F12" s="35" t="n">
        <v>0.0102</v>
      </c>
      <c r="G12" s="35" t="n">
        <v>0.0066</v>
      </c>
      <c r="H12" s="35" t="n">
        <v>0.0134</v>
      </c>
      <c r="I12" s="35" t="n">
        <v>0.0143</v>
      </c>
      <c r="J12" s="35" t="n">
        <v>0.0097</v>
      </c>
      <c r="K12" s="35" t="n">
        <v>0.0002</v>
      </c>
      <c r="L12" s="35" t="n">
        <v>-0.0003</v>
      </c>
      <c r="M12" s="35" t="n">
        <v>0.0068</v>
      </c>
    </row>
    <row r="13">
      <c r="A13" s="46" t="n">
        <v>2013</v>
      </c>
      <c r="B13" s="35" t="n">
        <v>0.0034</v>
      </c>
      <c r="C13" s="35" t="n">
        <v>0.0029</v>
      </c>
      <c r="D13" s="35" t="n">
        <v>0.0021</v>
      </c>
      <c r="E13" s="35" t="n">
        <v>0.0015</v>
      </c>
      <c r="F13" s="35" t="n">
        <v>0</v>
      </c>
      <c r="G13" s="35" t="n">
        <v>0.0075</v>
      </c>
      <c r="H13" s="35" t="n">
        <v>0.0026</v>
      </c>
      <c r="I13" s="35" t="n">
        <v>0.0015</v>
      </c>
      <c r="J13" s="35" t="n">
        <v>0.015</v>
      </c>
      <c r="K13" s="35" t="n">
        <v>0.0086</v>
      </c>
      <c r="L13" s="35" t="n">
        <v>0.0029</v>
      </c>
      <c r="M13" s="35" t="n">
        <v>0.006</v>
      </c>
    </row>
    <row r="14">
      <c r="A14" s="45" t="n">
        <v>2014</v>
      </c>
      <c r="B14" s="36" t="n">
        <v>0.0048</v>
      </c>
      <c r="C14" s="36" t="n">
        <v>0.0038</v>
      </c>
      <c r="D14" s="35" t="n">
        <v>0.0167</v>
      </c>
      <c r="E14" s="35" t="n">
        <v>0.0078</v>
      </c>
      <c r="F14" s="35" t="n">
        <v>-0.0013</v>
      </c>
      <c r="G14" s="35" t="n">
        <v>-0.0074</v>
      </c>
      <c r="H14" s="35" t="n">
        <v>-0.0061</v>
      </c>
      <c r="I14" s="35" t="n">
        <v>-0.0027</v>
      </c>
      <c r="J14" s="35" t="n">
        <v>0.002</v>
      </c>
      <c r="K14" s="35" t="n">
        <v>0.0028</v>
      </c>
      <c r="L14" s="35" t="n">
        <v>0.0098</v>
      </c>
      <c r="M14" s="35" t="n">
        <v>0.0062</v>
      </c>
    </row>
    <row r="15">
      <c r="A15" s="46" t="n">
        <v>2015</v>
      </c>
      <c r="B15" s="35" t="n">
        <v>0.0076</v>
      </c>
      <c r="C15" s="35" t="n">
        <v>0.0027</v>
      </c>
      <c r="D15" s="35" t="n">
        <v>0.0098</v>
      </c>
      <c r="E15" s="35" t="n">
        <v>0.0117</v>
      </c>
      <c r="F15" s="35" t="n">
        <v>0.0041</v>
      </c>
      <c r="G15" s="35" t="n">
        <v>0.0067</v>
      </c>
      <c r="H15" s="35" t="n">
        <v>0.0069</v>
      </c>
      <c r="I15" s="35" t="n">
        <v>0.0028</v>
      </c>
      <c r="J15" s="35" t="n">
        <v>0.0095</v>
      </c>
      <c r="K15" s="35" t="n">
        <v>0.0189</v>
      </c>
      <c r="L15" s="35" t="n">
        <v>0.0152</v>
      </c>
      <c r="M15" s="35" t="n">
        <v>0.0049</v>
      </c>
    </row>
    <row r="16">
      <c r="A16" s="45" t="n">
        <v>2016</v>
      </c>
      <c r="B16" s="36" t="n">
        <v>0.0114</v>
      </c>
      <c r="C16" s="36" t="n">
        <v>0.0129</v>
      </c>
      <c r="D16" s="35" t="n">
        <v>0.0051</v>
      </c>
      <c r="E16" s="35" t="n">
        <v>0.0033</v>
      </c>
      <c r="F16" s="35" t="n">
        <v>0.008200000000000001</v>
      </c>
      <c r="G16" s="35" t="n">
        <v>0.0169</v>
      </c>
      <c r="H16" s="35" t="n">
        <v>0.0018</v>
      </c>
      <c r="I16" s="35" t="n">
        <v>0.0015</v>
      </c>
      <c r="J16" s="35" t="n">
        <v>0.002</v>
      </c>
      <c r="K16" s="35" t="n">
        <v>0.0016</v>
      </c>
      <c r="L16" s="35" t="n">
        <v>-0.0003</v>
      </c>
      <c r="M16" s="35" t="n">
        <v>0.0054</v>
      </c>
    </row>
    <row r="17">
      <c r="A17" s="46" t="n">
        <v>2017</v>
      </c>
      <c r="B17" s="35" t="n">
        <v>0.0064</v>
      </c>
      <c r="C17" s="35" t="n">
        <v>0.0008</v>
      </c>
      <c r="D17" s="35" t="n">
        <v>0.0001</v>
      </c>
      <c r="E17" s="35" t="n">
        <v>-0.011</v>
      </c>
      <c r="F17" s="35" t="n">
        <v>-0.009299999999999999</v>
      </c>
      <c r="G17" s="35" t="n">
        <v>-0.0067</v>
      </c>
      <c r="H17" s="35" t="n">
        <v>-0.0072</v>
      </c>
      <c r="I17" s="35" t="n">
        <v>0.001</v>
      </c>
      <c r="J17" s="35" t="n">
        <v>0.0047</v>
      </c>
      <c r="K17" s="35" t="n">
        <v>0.002</v>
      </c>
      <c r="L17" s="35" t="n">
        <v>0.0052</v>
      </c>
      <c r="M17" s="35" t="n">
        <v>0.0089</v>
      </c>
    </row>
    <row r="18">
      <c r="A18" s="45" t="n">
        <v>2018</v>
      </c>
      <c r="B18" s="36" t="n">
        <v>0.0076</v>
      </c>
      <c r="C18" s="36" t="n">
        <v>0.0007000000000000001</v>
      </c>
      <c r="D18" s="35" t="n">
        <v>0.0064</v>
      </c>
      <c r="E18" s="35" t="n">
        <v>0.0057</v>
      </c>
      <c r="F18" s="35" t="n">
        <v>0.0138</v>
      </c>
      <c r="G18" s="35" t="n">
        <v>0.0187</v>
      </c>
      <c r="H18" s="35" t="n">
        <v>0.0051</v>
      </c>
      <c r="I18" s="35" t="n">
        <v>0.007</v>
      </c>
      <c r="J18" s="35" t="n">
        <v>0.0152</v>
      </c>
      <c r="K18" s="35" t="n">
        <v>0.0089</v>
      </c>
      <c r="L18" s="35" t="n">
        <v>-0.0049</v>
      </c>
      <c r="M18" s="35" t="n">
        <v>-0.0108</v>
      </c>
    </row>
    <row r="19">
      <c r="A19" s="46" t="n">
        <v>2019</v>
      </c>
      <c r="B19" s="35" t="n">
        <v>0.0001</v>
      </c>
      <c r="C19" s="35" t="n">
        <v>0.008800000000000001</v>
      </c>
      <c r="D19" s="35" t="n">
        <v>0.0126</v>
      </c>
      <c r="E19" s="35" t="n">
        <v>0.0092</v>
      </c>
      <c r="F19" s="35" t="n">
        <v>0.0045</v>
      </c>
      <c r="G19" s="35" t="n">
        <v>0.008</v>
      </c>
      <c r="H19" s="35" t="n">
        <v>0.004</v>
      </c>
      <c r="I19" s="35" t="n">
        <v>-0.0067</v>
      </c>
      <c r="J19" s="35" t="n">
        <v>-0.0001</v>
      </c>
      <c r="K19" s="35" t="n">
        <v>0.0068</v>
      </c>
      <c r="L19" s="35" t="n">
        <v>0.003</v>
      </c>
      <c r="M19" s="35" t="n">
        <v>0.0209</v>
      </c>
    </row>
    <row r="20">
      <c r="A20" s="45" t="n">
        <v>2020</v>
      </c>
      <c r="B20" s="36" t="n">
        <v>0.0048</v>
      </c>
      <c r="C20" s="36" t="n">
        <v>-0.0004</v>
      </c>
      <c r="D20" s="35" t="n">
        <v>0.0124</v>
      </c>
      <c r="E20" s="35" t="n">
        <v>0.008</v>
      </c>
      <c r="F20" s="35" t="n">
        <v>0.0028</v>
      </c>
      <c r="G20" s="35" t="n">
        <v>0.0156</v>
      </c>
      <c r="H20" s="35" t="n">
        <v>0.0223</v>
      </c>
      <c r="I20" s="35" t="n">
        <v>0.0274</v>
      </c>
      <c r="J20" s="35" t="n">
        <v>0.0434</v>
      </c>
      <c r="K20" s="35" t="n">
        <v>0.0323</v>
      </c>
      <c r="L20" s="35" t="n">
        <v>0.0328</v>
      </c>
      <c r="M20" s="35" t="n">
        <v>0.009599999999999999</v>
      </c>
    </row>
    <row r="21">
      <c r="A21" s="46" t="n">
        <v>2021</v>
      </c>
      <c r="B21" s="35" t="n">
        <v>0.0258</v>
      </c>
      <c r="C21" s="35" t="n">
        <v>0.0253</v>
      </c>
      <c r="D21" s="35" t="n">
        <v>0.0294</v>
      </c>
      <c r="E21" s="35" t="n">
        <v>0.0151</v>
      </c>
      <c r="F21" s="35" t="n">
        <v>0.041</v>
      </c>
      <c r="G21" s="35" t="n">
        <v>0.006</v>
      </c>
      <c r="H21" s="35" t="n">
        <v>0.0078</v>
      </c>
      <c r="I21" s="35" t="n">
        <v>0.0066</v>
      </c>
      <c r="J21" s="35" t="n">
        <v>-0.0064</v>
      </c>
      <c r="K21" s="35" t="n">
        <v>0.0064</v>
      </c>
      <c r="L21" s="35" t="n">
        <v>0.0002</v>
      </c>
      <c r="M21" s="35" t="n">
        <v>0.008699999999999999</v>
      </c>
    </row>
    <row r="22">
      <c r="A22" s="45" t="n">
        <v>2022</v>
      </c>
      <c r="B22" s="36" t="n">
        <v>0.0182</v>
      </c>
      <c r="C22" s="36" t="n">
        <v>0.0183</v>
      </c>
      <c r="D22" s="35" t="n">
        <v>0.0174</v>
      </c>
      <c r="E22" s="35" t="n">
        <v>0.0141</v>
      </c>
      <c r="F22" s="35" t="n">
        <v>0.0052</v>
      </c>
      <c r="G22" s="35" t="n">
        <v>0.0059</v>
      </c>
      <c r="H22" s="35" t="n">
        <v>0.0021</v>
      </c>
      <c r="I22" s="35" t="n">
        <v>-0.007</v>
      </c>
      <c r="J22" s="35" t="n">
        <v>-0.0095</v>
      </c>
      <c r="K22" s="35" t="n">
        <v>-0.0097</v>
      </c>
      <c r="L22" s="35" t="n">
        <v>-0.0056</v>
      </c>
      <c r="M22" s="35" t="n">
        <v>0.0045</v>
      </c>
    </row>
    <row r="23">
      <c r="A23" s="46" t="n">
        <v>2023</v>
      </c>
      <c r="B23" s="35" t="n">
        <v>0.0021</v>
      </c>
      <c r="C23" s="35" t="n">
        <v>-0.0005999999999999999</v>
      </c>
      <c r="D23" s="35" t="n">
        <v>0.0005</v>
      </c>
      <c r="E23" s="35" t="n">
        <v>-0.0095</v>
      </c>
      <c r="F23" s="35" t="n">
        <v>-0.0184</v>
      </c>
      <c r="G23" s="35" t="n">
        <v>-0.0193</v>
      </c>
      <c r="H23" s="35" t="n">
        <v>-0.0072</v>
      </c>
      <c r="I23" s="35" t="n">
        <v>-0.0014</v>
      </c>
      <c r="J23" s="35" t="n">
        <v>0.0037</v>
      </c>
      <c r="K23" s="35" t="n">
        <v>0.005</v>
      </c>
      <c r="L23" s="35" t="n">
        <v>0.0059</v>
      </c>
      <c r="M23" s="35" t="n">
        <v>0.0074</v>
      </c>
    </row>
    <row r="24">
      <c r="A24" s="45" t="n">
        <v>2024</v>
      </c>
      <c r="B24" s="36" t="n">
        <v>0.0007000000000000001</v>
      </c>
      <c r="C24" s="36" t="n">
        <v>-0.0052</v>
      </c>
      <c r="D24" s="35" t="n">
        <v>-0.0047</v>
      </c>
      <c r="E24" s="35" t="n">
        <v>0.0031</v>
      </c>
      <c r="F24" s="35" t="n">
        <v>0.0089</v>
      </c>
      <c r="G24" s="35" t="n">
        <v>0.0081</v>
      </c>
      <c r="H24" s="35" t="n">
        <v>0.0061</v>
      </c>
      <c r="I24" s="35" t="n">
        <v>0.0029</v>
      </c>
      <c r="J24" s="35" t="n">
        <v>0.0062</v>
      </c>
      <c r="K24" s="35" t="n">
        <v>0.0152</v>
      </c>
      <c r="L24" s="35" t="n">
        <v>0.013</v>
      </c>
      <c r="M24" s="35" t="n">
        <v>0.0094</v>
      </c>
    </row>
    <row r="25">
      <c r="A25" s="46" t="n">
        <v>2025</v>
      </c>
      <c r="B25" s="35" t="n">
        <v>0.0027</v>
      </c>
      <c r="C25" s="35" t="n">
        <v>0.0106</v>
      </c>
      <c r="D25" s="35" t="n">
        <v>-0.0034</v>
      </c>
      <c r="E25" s="35" t="n">
        <v>0.0024</v>
      </c>
      <c r="F25" s="35" t="n">
        <v>-0.0049</v>
      </c>
      <c r="G25" s="35" t="n">
        <v>-0.0167</v>
      </c>
      <c r="H25" s="35" t="n">
        <v>-0.0077</v>
      </c>
      <c r="I25" s="35" t="n">
        <v>0.0036</v>
      </c>
      <c r="J25" s="35" t="n">
        <v>0.0042</v>
      </c>
      <c r="K25" s="35" t="n">
        <v>-0.0036</v>
      </c>
      <c r="L25" s="35" t="n">
        <v>0.0027</v>
      </c>
      <c r="M25" s="35" t="n">
        <v>-0.0001</v>
      </c>
    </row>
    <row r="26">
      <c r="A26" s="45" t="n">
        <v>2026</v>
      </c>
      <c r="B26" s="36" t="n">
        <v>0.004099999999999999</v>
      </c>
      <c r="C26" s="36" t="n">
        <v>-0.0073</v>
      </c>
      <c r="D26" s="35" t="n">
        <v>0.0052</v>
      </c>
      <c r="E26" s="35" t="n">
        <v>0.0273</v>
      </c>
      <c r="F26" s="35" t="n">
        <v>0.008399999999999999</v>
      </c>
      <c r="G26" s="35" t="n"/>
      <c r="H26" s="35" t="n"/>
      <c r="I26" s="35" t="n"/>
      <c r="J26" s="35" t="n"/>
      <c r="K26" s="35" t="n"/>
      <c r="L26" s="35" t="n"/>
      <c r="M26" s="35" t="n"/>
    </row>
    <row r="28">
      <c r="A28" s="37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43" t="inlineStr">
        <is>
          <t>Data</t>
        </is>
      </c>
      <c r="B1" s="43" t="inlineStr">
        <is>
          <t>Boi Magro R$/cab</t>
        </is>
      </c>
      <c r="C1" s="43" t="inlineStr">
        <is>
          <t>Boi Magro Troca(@)</t>
        </is>
      </c>
    </row>
    <row r="2">
      <c r="A2" s="27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2026-06-27T14:43:15Z</dcterms:modified>
  <cp:lastModifiedBy>Heitor Salmazi</cp:lastModifiedBy>
  <cp:lastPrinted>2025-12-30T10:56:51Z</cp:lastPrinted>
</cp:coreProperties>
</file>